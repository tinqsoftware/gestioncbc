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namedSheetViews/namedSheetView1.xml" ContentType="application/vnd.ms-excel.namedsheetview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Nicolas\01. Escritorio\"/>
    </mc:Choice>
  </mc:AlternateContent>
  <xr:revisionPtr revIDLastSave="0" documentId="13_ncr:1_{4877A065-5AB3-413A-8C3F-BDDAB655F501}" xr6:coauthVersionLast="47" xr6:coauthVersionMax="47" xr10:uidLastSave="{00000000-0000-0000-0000-000000000000}"/>
  <bookViews>
    <workbookView xWindow="-4185" yWindow="-16320" windowWidth="29040" windowHeight="16440" tabRatio="636" xr2:uid="{00000000-000D-0000-FFFF-FFFF00000000}"/>
  </bookViews>
  <sheets>
    <sheet name="SNP-AD-DEN" sheetId="4" r:id="rId1"/>
    <sheet name="dimUniversidades" sheetId="7" r:id="rId2"/>
    <sheet name="dimLocales" sheetId="8" r:id="rId3"/>
    <sheet name="dimIndicadores" sheetId="9" r:id="rId4"/>
    <sheet name="Gwendy" sheetId="5" r:id="rId5"/>
    <sheet name="Año 2026" sheetId="1" r:id="rId6"/>
    <sheet name="Mapeo_BD" sheetId="11" r:id="rId7"/>
  </sheets>
  <definedNames>
    <definedName name="_xlnm._FilterDatabase" localSheetId="5" hidden="1">'Año 2026'!$A$2:$AD$66</definedName>
    <definedName name="_xlnm._FilterDatabase" localSheetId="4" hidden="1">Gwendy!$A$1:$I$113</definedName>
    <definedName name="_xlnm._FilterDatabase" localSheetId="0" hidden="1">'SNP-AD-DEN'!$A$1:$BB$98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51" i="4" l="1"/>
  <c r="AB52" i="4"/>
  <c r="AB53" i="4"/>
  <c r="AB55" i="4"/>
  <c r="AB56" i="4"/>
  <c r="AB58" i="4"/>
  <c r="AB60" i="4"/>
  <c r="AB61" i="4"/>
  <c r="AB63" i="4"/>
  <c r="AB68" i="4"/>
  <c r="AB71" i="4"/>
  <c r="AB74" i="4"/>
  <c r="AB75" i="4"/>
  <c r="AB80" i="4"/>
  <c r="AB2" i="4"/>
  <c r="AB3" i="4"/>
  <c r="AB4" i="4"/>
  <c r="AB5" i="4"/>
  <c r="AB6" i="4"/>
  <c r="AB7" i="4"/>
  <c r="AB8" i="4"/>
  <c r="AB9" i="4"/>
  <c r="AB10" i="4"/>
  <c r="AB11" i="4"/>
  <c r="AB12" i="4"/>
  <c r="AB13" i="4"/>
  <c r="AB14" i="4"/>
  <c r="AB15" i="4"/>
  <c r="AB16" i="4"/>
  <c r="AB17" i="4"/>
  <c r="AB19" i="4"/>
  <c r="AB20" i="4"/>
  <c r="AB22" i="4"/>
  <c r="AB23" i="4"/>
  <c r="AB24" i="4"/>
  <c r="AB29" i="4"/>
  <c r="AB30" i="4"/>
  <c r="AB37" i="4"/>
  <c r="AB38" i="4"/>
  <c r="AB41" i="4"/>
  <c r="AB43" i="4"/>
  <c r="AB44" i="4"/>
  <c r="AB45" i="4"/>
  <c r="AB46" i="4"/>
  <c r="AB47" i="4"/>
  <c r="AB48" i="4"/>
  <c r="AB49" i="4"/>
  <c r="C2" i="8" l="1"/>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E2" i="7" a="1"/>
  <c r="E2" i="7" s="1"/>
  <c r="F2" i="7" a="1"/>
  <c r="F2" i="7" s="1"/>
  <c r="G2" i="7" a="1"/>
  <c r="G2" i="7" s="1"/>
  <c r="H2" i="7" a="1"/>
  <c r="H2" i="7" s="1"/>
  <c r="I2" i="7" a="1"/>
  <c r="I2" i="7" s="1"/>
  <c r="J2" i="7" a="1"/>
  <c r="J2" i="7" s="1"/>
  <c r="K2" i="7" a="1"/>
  <c r="K2" i="7" s="1"/>
  <c r="L2" i="7" a="1"/>
  <c r="L2" i="7" s="1"/>
  <c r="E3" i="7" a="1"/>
  <c r="E3" i="7" s="1"/>
  <c r="F3" i="7" a="1"/>
  <c r="F3" i="7" s="1"/>
  <c r="G3" i="7" a="1"/>
  <c r="G3" i="7" s="1"/>
  <c r="H3" i="7" a="1"/>
  <c r="H3" i="7" s="1"/>
  <c r="I3" i="7" a="1"/>
  <c r="I3" i="7" s="1"/>
  <c r="J3" i="7" a="1"/>
  <c r="J3" i="7" s="1"/>
  <c r="K3" i="7" a="1"/>
  <c r="K3" i="7" s="1"/>
  <c r="L3" i="7" a="1"/>
  <c r="L3" i="7" s="1"/>
  <c r="E4" i="7" a="1"/>
  <c r="E4" i="7" s="1"/>
  <c r="F4" i="7" a="1"/>
  <c r="F4" i="7" s="1"/>
  <c r="G4" i="7" a="1"/>
  <c r="G4" i="7" s="1"/>
  <c r="H4" i="7" a="1"/>
  <c r="H4" i="7" s="1"/>
  <c r="I4" i="7" a="1"/>
  <c r="I4" i="7" s="1"/>
  <c r="J4" i="7" a="1"/>
  <c r="J4" i="7" s="1"/>
  <c r="K4" i="7" a="1"/>
  <c r="K4" i="7" s="1"/>
  <c r="L4" i="7" a="1"/>
  <c r="L4" i="7" s="1"/>
  <c r="E5" i="7" a="1"/>
  <c r="E5" i="7" s="1"/>
  <c r="F5" i="7" a="1"/>
  <c r="F5" i="7" s="1"/>
  <c r="G5" i="7" a="1"/>
  <c r="G5" i="7" s="1"/>
  <c r="H5" i="7" a="1"/>
  <c r="H5" i="7" s="1"/>
  <c r="I5" i="7" a="1"/>
  <c r="I5" i="7" s="1"/>
  <c r="J5" i="7" a="1"/>
  <c r="J5" i="7" s="1"/>
  <c r="K5" i="7" a="1"/>
  <c r="K5" i="7" s="1"/>
  <c r="L5" i="7" a="1"/>
  <c r="L5" i="7" s="1"/>
  <c r="E6" i="7" a="1"/>
  <c r="E6" i="7" s="1"/>
  <c r="F6" i="7" a="1"/>
  <c r="F6" i="7" s="1"/>
  <c r="G6" i="7" a="1"/>
  <c r="G6" i="7" s="1"/>
  <c r="H6" i="7" a="1"/>
  <c r="H6" i="7" s="1"/>
  <c r="I6" i="7" a="1"/>
  <c r="I6" i="7" s="1"/>
  <c r="J6" i="7" a="1"/>
  <c r="J6" i="7" s="1"/>
  <c r="K6" i="7" a="1"/>
  <c r="K6" i="7"/>
  <c r="L6" i="7" a="1"/>
  <c r="L6" i="7" s="1"/>
  <c r="E7" i="7" a="1"/>
  <c r="E7" i="7" s="1"/>
  <c r="F7" i="7" a="1"/>
  <c r="F7" i="7" s="1"/>
  <c r="G7" i="7" a="1"/>
  <c r="G7" i="7" s="1"/>
  <c r="H7" i="7" a="1"/>
  <c r="H7" i="7" s="1"/>
  <c r="I7" i="7" a="1"/>
  <c r="I7" i="7" s="1"/>
  <c r="J7" i="7" a="1"/>
  <c r="J7" i="7" s="1"/>
  <c r="K7" i="7" a="1"/>
  <c r="K7" i="7" s="1"/>
  <c r="L7" i="7" a="1"/>
  <c r="L7" i="7" s="1"/>
  <c r="E8" i="7" a="1"/>
  <c r="E8" i="7" s="1"/>
  <c r="F8" i="7" a="1"/>
  <c r="F8" i="7" s="1"/>
  <c r="G8" i="7" a="1"/>
  <c r="G8" i="7" s="1"/>
  <c r="H8" i="7" a="1"/>
  <c r="H8" i="7" s="1"/>
  <c r="I8" i="7" a="1"/>
  <c r="I8" i="7" s="1"/>
  <c r="J8" i="7" a="1"/>
  <c r="J8" i="7" s="1"/>
  <c r="K8" i="7" a="1"/>
  <c r="K8" i="7" s="1"/>
  <c r="L8" i="7" a="1"/>
  <c r="L8" i="7" s="1"/>
  <c r="E9" i="7" a="1"/>
  <c r="E9" i="7" s="1"/>
  <c r="F9" i="7" a="1"/>
  <c r="F9" i="7" s="1"/>
  <c r="G9" i="7" a="1"/>
  <c r="G9" i="7" s="1"/>
  <c r="H9" i="7" a="1"/>
  <c r="H9" i="7" s="1"/>
  <c r="I9" i="7" a="1"/>
  <c r="I9" i="7" s="1"/>
  <c r="J9" i="7" a="1"/>
  <c r="J9" i="7" s="1"/>
  <c r="K9" i="7" a="1"/>
  <c r="K9" i="7" s="1"/>
  <c r="L9" i="7" a="1"/>
  <c r="L9" i="7" s="1"/>
  <c r="E10" i="7" a="1"/>
  <c r="E10" i="7" s="1"/>
  <c r="F10" i="7" a="1"/>
  <c r="F10" i="7" s="1"/>
  <c r="G10" i="7" a="1"/>
  <c r="G10" i="7" s="1"/>
  <c r="H10" i="7" a="1"/>
  <c r="H10" i="7" s="1"/>
  <c r="I10" i="7" a="1"/>
  <c r="I10" i="7" s="1"/>
  <c r="J10" i="7" a="1"/>
  <c r="J10" i="7" s="1"/>
  <c r="K10" i="7" a="1"/>
  <c r="K10" i="7"/>
  <c r="L10" i="7" a="1"/>
  <c r="L10" i="7" s="1"/>
  <c r="E11" i="7" a="1"/>
  <c r="E11" i="7" s="1"/>
  <c r="F11" i="7" a="1"/>
  <c r="F11" i="7" s="1"/>
  <c r="G11" i="7" a="1"/>
  <c r="G11" i="7" s="1"/>
  <c r="H11" i="7" a="1"/>
  <c r="H11" i="7" s="1"/>
  <c r="I11" i="7" a="1"/>
  <c r="I11" i="7" s="1"/>
  <c r="J11" i="7" a="1"/>
  <c r="J11" i="7" s="1"/>
  <c r="K11" i="7" a="1"/>
  <c r="K11" i="7" s="1"/>
  <c r="L11" i="7" a="1"/>
  <c r="L11" i="7" s="1"/>
  <c r="E12" i="7" a="1"/>
  <c r="E12" i="7" s="1"/>
  <c r="F12" i="7" a="1"/>
  <c r="F12" i="7" s="1"/>
  <c r="G12" i="7" a="1"/>
  <c r="G12" i="7" s="1"/>
  <c r="H12" i="7" a="1"/>
  <c r="H12" i="7" s="1"/>
  <c r="I12" i="7" a="1"/>
  <c r="I12" i="7" s="1"/>
  <c r="J12" i="7" a="1"/>
  <c r="J12" i="7" s="1"/>
  <c r="K12" i="7" a="1"/>
  <c r="K12" i="7" s="1"/>
  <c r="L12" i="7" a="1"/>
  <c r="L12" i="7" s="1"/>
  <c r="E13" i="7" a="1"/>
  <c r="E13" i="7" s="1"/>
  <c r="F13" i="7" a="1"/>
  <c r="F13" i="7" s="1"/>
  <c r="G13" i="7" a="1"/>
  <c r="G13" i="7" s="1"/>
  <c r="H13" i="7" a="1"/>
  <c r="H13" i="7" s="1"/>
  <c r="I13" i="7" a="1"/>
  <c r="I13" i="7" s="1"/>
  <c r="J13" i="7" a="1"/>
  <c r="J13" i="7" s="1"/>
  <c r="K13" i="7" a="1"/>
  <c r="K13" i="7"/>
  <c r="L13" i="7" a="1"/>
  <c r="L13" i="7" s="1"/>
  <c r="E14" i="7" a="1"/>
  <c r="E14" i="7" s="1"/>
  <c r="F14" i="7" a="1"/>
  <c r="F14" i="7" s="1"/>
  <c r="G14" i="7" a="1"/>
  <c r="G14" i="7" s="1"/>
  <c r="H14" i="7" a="1"/>
  <c r="H14" i="7" s="1"/>
  <c r="I14" i="7" a="1"/>
  <c r="I14" i="7" s="1"/>
  <c r="J14" i="7" a="1"/>
  <c r="J14" i="7" s="1"/>
  <c r="K14" i="7" a="1"/>
  <c r="K14" i="7"/>
  <c r="L14" i="7" a="1"/>
  <c r="L14" i="7" s="1"/>
  <c r="E15" i="7" a="1"/>
  <c r="E15" i="7" s="1"/>
  <c r="F15" i="7" a="1"/>
  <c r="F15" i="7" s="1"/>
  <c r="G15" i="7" a="1"/>
  <c r="G15" i="7" s="1"/>
  <c r="H15" i="7" a="1"/>
  <c r="H15" i="7" s="1"/>
  <c r="I15" i="7" a="1"/>
  <c r="I15" i="7" s="1"/>
  <c r="J15" i="7" a="1"/>
  <c r="J15" i="7" s="1"/>
  <c r="K15" i="7" a="1"/>
  <c r="K15" i="7" s="1"/>
  <c r="L15" i="7" a="1"/>
  <c r="L15" i="7" s="1"/>
  <c r="E16" i="7" a="1"/>
  <c r="E16" i="7" s="1"/>
  <c r="F16" i="7" a="1"/>
  <c r="F16" i="7" s="1"/>
  <c r="G16" i="7" a="1"/>
  <c r="G16" i="7" s="1"/>
  <c r="H16" i="7" a="1"/>
  <c r="H16" i="7" s="1"/>
  <c r="I16" i="7" a="1"/>
  <c r="I16" i="7" s="1"/>
  <c r="J16" i="7" a="1"/>
  <c r="J16" i="7" s="1"/>
  <c r="K16" i="7" a="1"/>
  <c r="K16" i="7" s="1"/>
  <c r="L16" i="7" a="1"/>
  <c r="L16" i="7" s="1"/>
  <c r="E17" i="7" a="1"/>
  <c r="E17" i="7" s="1"/>
  <c r="F17" i="7" a="1"/>
  <c r="F17" i="7" s="1"/>
  <c r="G17" i="7" a="1"/>
  <c r="G17" i="7" s="1"/>
  <c r="H17" i="7" a="1"/>
  <c r="H17" i="7" s="1"/>
  <c r="I17" i="7" a="1"/>
  <c r="I17" i="7" s="1"/>
  <c r="J17" i="7" a="1"/>
  <c r="J17" i="7" s="1"/>
  <c r="K17" i="7" a="1"/>
  <c r="K17" i="7" s="1"/>
  <c r="L17" i="7" a="1"/>
  <c r="L17" i="7" s="1"/>
  <c r="E18" i="7" a="1"/>
  <c r="E18" i="7" s="1"/>
  <c r="F18" i="7" a="1"/>
  <c r="F18" i="7" s="1"/>
  <c r="G18" i="7" a="1"/>
  <c r="G18" i="7" s="1"/>
  <c r="H18" i="7" a="1"/>
  <c r="H18" i="7" s="1"/>
  <c r="I18" i="7" a="1"/>
  <c r="I18" i="7" s="1"/>
  <c r="J18" i="7" a="1"/>
  <c r="J18" i="7" s="1"/>
  <c r="K18" i="7" a="1"/>
  <c r="K18" i="7" s="1"/>
  <c r="L18" i="7" a="1"/>
  <c r="L18" i="7" s="1"/>
  <c r="E19" i="7" a="1"/>
  <c r="E19" i="7" s="1"/>
  <c r="F19" i="7" a="1"/>
  <c r="F19" i="7" s="1"/>
  <c r="G19" i="7" a="1"/>
  <c r="G19" i="7" s="1"/>
  <c r="H19" i="7" a="1"/>
  <c r="H19" i="7" s="1"/>
  <c r="I19" i="7" a="1"/>
  <c r="I19" i="7" s="1"/>
  <c r="J19" i="7" a="1"/>
  <c r="J19" i="7" s="1"/>
  <c r="K19" i="7" a="1"/>
  <c r="K19" i="7" s="1"/>
  <c r="L19" i="7" a="1"/>
  <c r="L19" i="7" s="1"/>
  <c r="E20" i="7" a="1"/>
  <c r="E20" i="7" s="1"/>
  <c r="F20" i="7" a="1"/>
  <c r="F20" i="7" s="1"/>
  <c r="G20" i="7" a="1"/>
  <c r="G20" i="7" s="1"/>
  <c r="H20" i="7" a="1"/>
  <c r="H20" i="7" s="1"/>
  <c r="I20" i="7" a="1"/>
  <c r="I20" i="7" s="1"/>
  <c r="J20" i="7" a="1"/>
  <c r="J20" i="7" s="1"/>
  <c r="K20" i="7" a="1"/>
  <c r="K20" i="7" s="1"/>
  <c r="L20" i="7" a="1"/>
  <c r="L20" i="7" s="1"/>
  <c r="E21" i="7" a="1"/>
  <c r="E21" i="7" s="1"/>
  <c r="F21" i="7" a="1"/>
  <c r="F21" i="7" s="1"/>
  <c r="G21" i="7" a="1"/>
  <c r="G21" i="7" s="1"/>
  <c r="H21" i="7" a="1"/>
  <c r="H21" i="7" s="1"/>
  <c r="I21" i="7" a="1"/>
  <c r="I21" i="7" s="1"/>
  <c r="J21" i="7" a="1"/>
  <c r="J21" i="7" s="1"/>
  <c r="K21" i="7" a="1"/>
  <c r="K21" i="7"/>
  <c r="L21" i="7" a="1"/>
  <c r="L21" i="7" s="1"/>
  <c r="E22" i="7" a="1"/>
  <c r="E22" i="7" s="1"/>
  <c r="F22" i="7" a="1"/>
  <c r="F22" i="7" s="1"/>
  <c r="G22" i="7" a="1"/>
  <c r="G22" i="7" s="1"/>
  <c r="H22" i="7" a="1"/>
  <c r="H22" i="7" s="1"/>
  <c r="I22" i="7" a="1"/>
  <c r="I22" i="7" s="1"/>
  <c r="J22" i="7" a="1"/>
  <c r="J22" i="7" s="1"/>
  <c r="K22" i="7" a="1"/>
  <c r="K22" i="7" s="1"/>
  <c r="L22" i="7" a="1"/>
  <c r="L22" i="7" s="1"/>
  <c r="E23" i="7" a="1"/>
  <c r="E23" i="7" s="1"/>
  <c r="F23" i="7" a="1"/>
  <c r="F23" i="7" s="1"/>
  <c r="G23" i="7" a="1"/>
  <c r="G23" i="7" s="1"/>
  <c r="H23" i="7" a="1"/>
  <c r="H23" i="7" s="1"/>
  <c r="I23" i="7" a="1"/>
  <c r="I23" i="7" s="1"/>
  <c r="J23" i="7" a="1"/>
  <c r="J23" i="7" s="1"/>
  <c r="K23" i="7" a="1"/>
  <c r="K23" i="7" s="1"/>
  <c r="L23" i="7" a="1"/>
  <c r="L23" i="7" s="1"/>
  <c r="E24" i="7" a="1"/>
  <c r="E24" i="7" s="1"/>
  <c r="F24" i="7" a="1"/>
  <c r="F24" i="7" s="1"/>
  <c r="G24" i="7" a="1"/>
  <c r="G24" i="7" s="1"/>
  <c r="H24" i="7" a="1"/>
  <c r="H24" i="7" s="1"/>
  <c r="I24" i="7" a="1"/>
  <c r="I24" i="7" s="1"/>
  <c r="J24" i="7" a="1"/>
  <c r="J24" i="7" s="1"/>
  <c r="K24" i="7" a="1"/>
  <c r="K24" i="7"/>
  <c r="L24" i="7" a="1"/>
  <c r="L24" i="7" s="1"/>
  <c r="E25" i="7" a="1"/>
  <c r="E25" i="7" s="1"/>
  <c r="F25" i="7" a="1"/>
  <c r="F25" i="7" s="1"/>
  <c r="G25" i="7" a="1"/>
  <c r="G25" i="7" s="1"/>
  <c r="H25" i="7" a="1"/>
  <c r="H25" i="7" s="1"/>
  <c r="I25" i="7" a="1"/>
  <c r="I25" i="7" s="1"/>
  <c r="J25" i="7" a="1"/>
  <c r="J25" i="7" s="1"/>
  <c r="K25" i="7" a="1"/>
  <c r="K25" i="7"/>
  <c r="L25" i="7" a="1"/>
  <c r="L25" i="7" s="1"/>
  <c r="E26" i="7" a="1"/>
  <c r="E26" i="7" s="1"/>
  <c r="F26" i="7" a="1"/>
  <c r="F26" i="7" s="1"/>
  <c r="G26" i="7" a="1"/>
  <c r="G26" i="7" s="1"/>
  <c r="H26" i="7" a="1"/>
  <c r="H26" i="7" s="1"/>
  <c r="I26" i="7" a="1"/>
  <c r="I26" i="7" s="1"/>
  <c r="J26" i="7" a="1"/>
  <c r="J26" i="7" s="1"/>
  <c r="K26" i="7" a="1"/>
  <c r="K26" i="7"/>
  <c r="L26" i="7" a="1"/>
  <c r="L26" i="7" s="1"/>
  <c r="E27" i="7" a="1"/>
  <c r="E27" i="7" s="1"/>
  <c r="F27" i="7" a="1"/>
  <c r="F27" i="7" s="1"/>
  <c r="G27" i="7" a="1"/>
  <c r="G27" i="7" s="1"/>
  <c r="H27" i="7" a="1"/>
  <c r="H27" i="7" s="1"/>
  <c r="I27" i="7" a="1"/>
  <c r="I27" i="7" s="1"/>
  <c r="J27" i="7" a="1"/>
  <c r="J27" i="7" s="1"/>
  <c r="K27" i="7" a="1"/>
  <c r="K27" i="7" s="1"/>
  <c r="L27" i="7" a="1"/>
  <c r="L27" i="7" s="1"/>
  <c r="E28" i="7" a="1"/>
  <c r="E28" i="7" s="1"/>
  <c r="F28" i="7" a="1"/>
  <c r="F28" i="7" s="1"/>
  <c r="G28" i="7" a="1"/>
  <c r="G28" i="7" s="1"/>
  <c r="H28" i="7" a="1"/>
  <c r="H28" i="7" s="1"/>
  <c r="I28" i="7" a="1"/>
  <c r="I28" i="7" s="1"/>
  <c r="J28" i="7" a="1"/>
  <c r="J28" i="7" s="1"/>
  <c r="K28" i="7" a="1"/>
  <c r="K28" i="7" s="1"/>
  <c r="L28" i="7" a="1"/>
  <c r="L28" i="7" s="1"/>
  <c r="E29" i="7" a="1"/>
  <c r="E29" i="7" s="1"/>
  <c r="F29" i="7" a="1"/>
  <c r="F29" i="7" s="1"/>
  <c r="G29" i="7" a="1"/>
  <c r="G29" i="7" s="1"/>
  <c r="H29" i="7" a="1"/>
  <c r="H29" i="7" s="1"/>
  <c r="I29" i="7" a="1"/>
  <c r="I29" i="7" s="1"/>
  <c r="J29" i="7" a="1"/>
  <c r="J29" i="7" s="1"/>
  <c r="K29" i="7" a="1"/>
  <c r="K29" i="7" s="1"/>
  <c r="L29" i="7" a="1"/>
  <c r="L29" i="7" s="1"/>
  <c r="E30" i="7" a="1"/>
  <c r="E30" i="7" s="1"/>
  <c r="F30" i="7" a="1"/>
  <c r="F30" i="7" s="1"/>
  <c r="G30" i="7" a="1"/>
  <c r="G30" i="7" s="1"/>
  <c r="H30" i="7" a="1"/>
  <c r="H30" i="7" s="1"/>
  <c r="I30" i="7" a="1"/>
  <c r="I30" i="7" s="1"/>
  <c r="J30" i="7" a="1"/>
  <c r="J30" i="7" s="1"/>
  <c r="K30" i="7" a="1"/>
  <c r="K30" i="7" s="1"/>
  <c r="L30" i="7" a="1"/>
  <c r="L30" i="7" s="1"/>
  <c r="E31" i="7" a="1"/>
  <c r="E31" i="7" s="1"/>
  <c r="F31" i="7" a="1"/>
  <c r="F31" i="7" s="1"/>
  <c r="G31" i="7" a="1"/>
  <c r="G31" i="7" s="1"/>
  <c r="H31" i="7" a="1"/>
  <c r="H31" i="7" s="1"/>
  <c r="I31" i="7" a="1"/>
  <c r="I31" i="7" s="1"/>
  <c r="J31" i="7" a="1"/>
  <c r="J31" i="7" s="1"/>
  <c r="K31" i="7" a="1"/>
  <c r="K31" i="7" s="1"/>
  <c r="L31" i="7" a="1"/>
  <c r="L31" i="7" s="1"/>
  <c r="E32" i="7" a="1"/>
  <c r="E32" i="7" s="1"/>
  <c r="F32" i="7" a="1"/>
  <c r="F32" i="7" s="1"/>
  <c r="G32" i="7" a="1"/>
  <c r="G32" i="7" s="1"/>
  <c r="H32" i="7" a="1"/>
  <c r="H32" i="7" s="1"/>
  <c r="I32" i="7" a="1"/>
  <c r="I32" i="7" s="1"/>
  <c r="J32" i="7" a="1"/>
  <c r="J32" i="7" s="1"/>
  <c r="K32" i="7" a="1"/>
  <c r="K32" i="7"/>
  <c r="L32" i="7" a="1"/>
  <c r="L32" i="7" s="1"/>
  <c r="E33" i="7" a="1"/>
  <c r="E33" i="7" s="1"/>
  <c r="F33" i="7" a="1"/>
  <c r="F33" i="7" s="1"/>
  <c r="G33" i="7" a="1"/>
  <c r="G33" i="7" s="1"/>
  <c r="H33" i="7" a="1"/>
  <c r="H33" i="7" s="1"/>
  <c r="I33" i="7" a="1"/>
  <c r="I33" i="7" s="1"/>
  <c r="J33" i="7" a="1"/>
  <c r="J33" i="7" s="1"/>
  <c r="K33" i="7" a="1"/>
  <c r="K33" i="7" s="1"/>
  <c r="L33" i="7" a="1"/>
  <c r="L33" i="7" s="1"/>
  <c r="E34" i="7" a="1"/>
  <c r="E34" i="7" s="1"/>
  <c r="F34" i="7" a="1"/>
  <c r="F34" i="7" s="1"/>
  <c r="G34" i="7" a="1"/>
  <c r="G34" i="7" s="1"/>
  <c r="H34" i="7" a="1"/>
  <c r="H34" i="7" s="1"/>
  <c r="I34" i="7" a="1"/>
  <c r="I34" i="7" s="1"/>
  <c r="J34" i="7" a="1"/>
  <c r="J34" i="7" s="1"/>
  <c r="K34" i="7" a="1"/>
  <c r="K34" i="7"/>
  <c r="L34" i="7" a="1"/>
  <c r="L34" i="7" s="1"/>
  <c r="E35" i="7" a="1"/>
  <c r="E35" i="7" s="1"/>
  <c r="F35" i="7" a="1"/>
  <c r="F35" i="7" s="1"/>
  <c r="G35" i="7" a="1"/>
  <c r="G35" i="7" s="1"/>
  <c r="H35" i="7" a="1"/>
  <c r="H35" i="7" s="1"/>
  <c r="I35" i="7" a="1"/>
  <c r="I35" i="7" s="1"/>
  <c r="J35" i="7" a="1"/>
  <c r="J35" i="7" s="1"/>
  <c r="K35" i="7" a="1"/>
  <c r="K35" i="7" s="1"/>
  <c r="L35" i="7" a="1"/>
  <c r="L35" i="7" s="1"/>
  <c r="E36" i="7" a="1"/>
  <c r="E36" i="7" s="1"/>
  <c r="F36" i="7" a="1"/>
  <c r="F36" i="7" s="1"/>
  <c r="G36" i="7" a="1"/>
  <c r="G36" i="7" s="1"/>
  <c r="H36" i="7" a="1"/>
  <c r="H36" i="7" s="1"/>
  <c r="I36" i="7" a="1"/>
  <c r="I36" i="7" s="1"/>
  <c r="J36" i="7" a="1"/>
  <c r="J36" i="7" s="1"/>
  <c r="K36" i="7" a="1"/>
  <c r="K36" i="7"/>
  <c r="L36" i="7" a="1"/>
  <c r="L36" i="7" s="1"/>
  <c r="E37" i="7" a="1"/>
  <c r="E37" i="7" s="1"/>
  <c r="F37" i="7" a="1"/>
  <c r="F37" i="7" s="1"/>
  <c r="G37" i="7" a="1"/>
  <c r="G37" i="7" s="1"/>
  <c r="H37" i="7" a="1"/>
  <c r="H37" i="7" s="1"/>
  <c r="I37" i="7" a="1"/>
  <c r="I37" i="7" s="1"/>
  <c r="J37" i="7" a="1"/>
  <c r="J37" i="7" s="1"/>
  <c r="K37" i="7" a="1"/>
  <c r="K37" i="7"/>
  <c r="L37" i="7" a="1"/>
  <c r="L37" i="7" s="1"/>
  <c r="E38" i="7" a="1"/>
  <c r="E38" i="7" s="1"/>
  <c r="F38" i="7" a="1"/>
  <c r="F38" i="7" s="1"/>
  <c r="G38" i="7" a="1"/>
  <c r="G38" i="7" s="1"/>
  <c r="H38" i="7" a="1"/>
  <c r="H38" i="7" s="1"/>
  <c r="I38" i="7" a="1"/>
  <c r="I38" i="7" s="1"/>
  <c r="J38" i="7" a="1"/>
  <c r="J38" i="7" s="1"/>
  <c r="K38" i="7" a="1"/>
  <c r="K38" i="7" s="1"/>
  <c r="L38" i="7" a="1"/>
  <c r="L38" i="7" s="1"/>
  <c r="E39" i="7" a="1"/>
  <c r="E39" i="7" s="1"/>
  <c r="F39" i="7" a="1"/>
  <c r="F39" i="7" s="1"/>
  <c r="G39" i="7" a="1"/>
  <c r="G39" i="7" s="1"/>
  <c r="H39" i="7" a="1"/>
  <c r="H39" i="7" s="1"/>
  <c r="I39" i="7" a="1"/>
  <c r="I39" i="7" s="1"/>
  <c r="J39" i="7" a="1"/>
  <c r="J39" i="7" s="1"/>
  <c r="K39" i="7" a="1"/>
  <c r="K39" i="7" s="1"/>
  <c r="L39" i="7" a="1"/>
  <c r="L39" i="7" s="1"/>
  <c r="E40" i="7" a="1"/>
  <c r="E40" i="7" s="1"/>
  <c r="F40" i="7" a="1"/>
  <c r="F40" i="7" s="1"/>
  <c r="G40" i="7" a="1"/>
  <c r="G40" i="7" s="1"/>
  <c r="H40" i="7" a="1"/>
  <c r="H40" i="7" s="1"/>
  <c r="I40" i="7" a="1"/>
  <c r="I40" i="7" s="1"/>
  <c r="J40" i="7" a="1"/>
  <c r="J40" i="7" s="1"/>
  <c r="K40" i="7" a="1"/>
  <c r="K40" i="7" s="1"/>
  <c r="L40" i="7" a="1"/>
  <c r="L40" i="7" s="1"/>
  <c r="E41" i="7" a="1"/>
  <c r="E41" i="7" s="1"/>
  <c r="F41" i="7" a="1"/>
  <c r="F41" i="7" s="1"/>
  <c r="G41" i="7" a="1"/>
  <c r="G41" i="7" s="1"/>
  <c r="H41" i="7" a="1"/>
  <c r="H41" i="7" s="1"/>
  <c r="I41" i="7" a="1"/>
  <c r="I41" i="7" s="1"/>
  <c r="J41" i="7" a="1"/>
  <c r="J41" i="7" s="1"/>
  <c r="K41" i="7" a="1"/>
  <c r="K41" i="7" s="1"/>
  <c r="L41" i="7" a="1"/>
  <c r="L41" i="7" s="1"/>
  <c r="E42" i="7" a="1"/>
  <c r="E42" i="7" s="1"/>
  <c r="F42" i="7" a="1"/>
  <c r="F42" i="7" s="1"/>
  <c r="G42" i="7" a="1"/>
  <c r="G42" i="7" s="1"/>
  <c r="H42" i="7" a="1"/>
  <c r="H42" i="7" s="1"/>
  <c r="I42" i="7" a="1"/>
  <c r="I42" i="7" s="1"/>
  <c r="J42" i="7" a="1"/>
  <c r="J42" i="7" s="1"/>
  <c r="K42" i="7" a="1"/>
  <c r="K42" i="7"/>
  <c r="L42" i="7" a="1"/>
  <c r="L42" i="7" s="1"/>
  <c r="E43" i="7" a="1"/>
  <c r="E43" i="7" s="1"/>
  <c r="F43" i="7" a="1"/>
  <c r="F43" i="7" s="1"/>
  <c r="G43" i="7" a="1"/>
  <c r="G43" i="7" s="1"/>
  <c r="H43" i="7" a="1"/>
  <c r="H43" i="7" s="1"/>
  <c r="I43" i="7" a="1"/>
  <c r="I43" i="7" s="1"/>
  <c r="J43" i="7" a="1"/>
  <c r="J43" i="7" s="1"/>
  <c r="K43" i="7" a="1"/>
  <c r="K43" i="7" s="1"/>
  <c r="L43" i="7" a="1"/>
  <c r="L43" i="7" s="1"/>
  <c r="E44" i="7" a="1"/>
  <c r="E44" i="7" s="1"/>
  <c r="F44" i="7" a="1"/>
  <c r="F44" i="7" s="1"/>
  <c r="G44" i="7" a="1"/>
  <c r="G44" i="7" s="1"/>
  <c r="H44" i="7" a="1"/>
  <c r="H44" i="7" s="1"/>
  <c r="I44" i="7" a="1"/>
  <c r="I44" i="7" s="1"/>
  <c r="J44" i="7" a="1"/>
  <c r="J44" i="7" s="1"/>
  <c r="K44" i="7" a="1"/>
  <c r="K44" i="7" s="1"/>
  <c r="L44" i="7" a="1"/>
  <c r="L44" i="7" s="1"/>
  <c r="E45" i="7" a="1"/>
  <c r="E45" i="7" s="1"/>
  <c r="F45" i="7" a="1"/>
  <c r="F45" i="7" s="1"/>
  <c r="G45" i="7" a="1"/>
  <c r="G45" i="7" s="1"/>
  <c r="H45" i="7" a="1"/>
  <c r="H45" i="7" s="1"/>
  <c r="I45" i="7" a="1"/>
  <c r="I45" i="7" s="1"/>
  <c r="J45" i="7" a="1"/>
  <c r="J45" i="7" s="1"/>
  <c r="K45" i="7" a="1"/>
  <c r="K45" i="7" s="1"/>
  <c r="L45" i="7" a="1"/>
  <c r="L45" i="7" s="1"/>
  <c r="E46" i="7" a="1"/>
  <c r="E46" i="7" s="1"/>
  <c r="F46" i="7" a="1"/>
  <c r="F46" i="7" s="1"/>
  <c r="G46" i="7" a="1"/>
  <c r="G46" i="7" s="1"/>
  <c r="H46" i="7" a="1"/>
  <c r="H46" i="7" s="1"/>
  <c r="I46" i="7" a="1"/>
  <c r="I46" i="7"/>
  <c r="J46" i="7" a="1"/>
  <c r="J46" i="7" s="1"/>
  <c r="K46" i="7" a="1"/>
  <c r="K46" i="7" s="1"/>
  <c r="L46" i="7" a="1"/>
  <c r="L46" i="7" s="1"/>
  <c r="E47" i="7" a="1"/>
  <c r="E47" i="7" s="1"/>
  <c r="F47" i="7" a="1"/>
  <c r="F47" i="7" s="1"/>
  <c r="G47" i="7" a="1"/>
  <c r="G47" i="7"/>
  <c r="H47" i="7" a="1"/>
  <c r="H47" i="7" s="1"/>
  <c r="I47" i="7" a="1"/>
  <c r="I47" i="7" s="1"/>
  <c r="J47" i="7" a="1"/>
  <c r="J47" i="7" s="1"/>
  <c r="K47" i="7" a="1"/>
  <c r="K47" i="7" s="1"/>
  <c r="L47" i="7" a="1"/>
  <c r="L47" i="7" s="1"/>
  <c r="E48" i="7" a="1"/>
  <c r="E48" i="7" s="1"/>
  <c r="F48" i="7" a="1"/>
  <c r="F48" i="7" s="1"/>
  <c r="G48" i="7" a="1"/>
  <c r="G48" i="7"/>
  <c r="H48" i="7" a="1"/>
  <c r="H48" i="7" s="1"/>
  <c r="I48" i="7" a="1"/>
  <c r="I48" i="7" s="1"/>
  <c r="J48" i="7" a="1"/>
  <c r="J48" i="7" s="1"/>
  <c r="K48" i="7" a="1"/>
  <c r="K48" i="7" s="1"/>
  <c r="L48" i="7" a="1"/>
  <c r="L48" i="7" s="1"/>
  <c r="E49" i="7" a="1"/>
  <c r="E49" i="7" s="1"/>
  <c r="F49" i="7" a="1"/>
  <c r="F49" i="7" s="1"/>
  <c r="G49" i="7" a="1"/>
  <c r="G49" i="7" s="1"/>
  <c r="H49" i="7" a="1"/>
  <c r="H49" i="7"/>
  <c r="I49" i="7" a="1"/>
  <c r="I49" i="7"/>
  <c r="J49" i="7" a="1"/>
  <c r="J49" i="7" s="1"/>
  <c r="K49" i="7" a="1"/>
  <c r="K49" i="7" s="1"/>
  <c r="L49" i="7" a="1"/>
  <c r="L49" i="7" s="1"/>
  <c r="E50" i="7" a="1"/>
  <c r="E50" i="7" s="1"/>
  <c r="F50" i="7" a="1"/>
  <c r="F50" i="7" s="1"/>
  <c r="G50" i="7" a="1"/>
  <c r="G50" i="7" s="1"/>
  <c r="H50" i="7" a="1"/>
  <c r="H50" i="7" s="1"/>
  <c r="I50" i="7" a="1"/>
  <c r="I50" i="7" s="1"/>
  <c r="J50" i="7" a="1"/>
  <c r="J50" i="7" s="1"/>
  <c r="K50" i="7" a="1"/>
  <c r="K50" i="7" s="1"/>
  <c r="L50" i="7" a="1"/>
  <c r="L50" i="7" s="1"/>
  <c r="E51" i="7" a="1"/>
  <c r="E51" i="7" s="1"/>
  <c r="F51" i="7" a="1"/>
  <c r="F51" i="7" s="1"/>
  <c r="G51" i="7" a="1"/>
  <c r="G51" i="7" s="1"/>
  <c r="H51" i="7" a="1"/>
  <c r="H51" i="7" s="1"/>
  <c r="I51" i="7" a="1"/>
  <c r="I51" i="7" s="1"/>
  <c r="J51" i="7" a="1"/>
  <c r="J51" i="7" s="1"/>
  <c r="K51" i="7" a="1"/>
  <c r="K51" i="7" s="1"/>
  <c r="L51" i="7" a="1"/>
  <c r="L51" i="7" s="1"/>
  <c r="E52" i="7" a="1"/>
  <c r="E52" i="7" s="1"/>
  <c r="F52" i="7" a="1"/>
  <c r="F52" i="7" s="1"/>
  <c r="G52" i="7" a="1"/>
  <c r="G52" i="7" s="1"/>
  <c r="H52" i="7" a="1"/>
  <c r="H52" i="7"/>
  <c r="I52" i="7" a="1"/>
  <c r="I52" i="7" s="1"/>
  <c r="J52" i="7" a="1"/>
  <c r="J52" i="7" s="1"/>
  <c r="K52" i="7" a="1"/>
  <c r="K52" i="7" s="1"/>
  <c r="L52" i="7" a="1"/>
  <c r="L52" i="7" s="1"/>
  <c r="E53" i="7" a="1"/>
  <c r="E53" i="7" s="1"/>
  <c r="F53" i="7" a="1"/>
  <c r="F53" i="7" s="1"/>
  <c r="G53" i="7" a="1"/>
  <c r="G53" i="7" s="1"/>
  <c r="H53" i="7" a="1"/>
  <c r="H53" i="7"/>
  <c r="I53" i="7" a="1"/>
  <c r="I53" i="7" s="1"/>
  <c r="J53" i="7" a="1"/>
  <c r="J53" i="7" s="1"/>
  <c r="K53" i="7" a="1"/>
  <c r="K53" i="7" s="1"/>
  <c r="L53" i="7" a="1"/>
  <c r="L53" i="7" s="1"/>
  <c r="E54" i="7" a="1"/>
  <c r="E54" i="7" s="1"/>
  <c r="F54" i="7" a="1"/>
  <c r="F54" i="7" s="1"/>
  <c r="G54" i="7" a="1"/>
  <c r="G54" i="7" s="1"/>
  <c r="H54" i="7" a="1"/>
  <c r="H54" i="7" s="1"/>
  <c r="I54" i="7" a="1"/>
  <c r="I54" i="7" s="1"/>
  <c r="J54" i="7" a="1"/>
  <c r="J54" i="7" s="1"/>
  <c r="K54" i="7" a="1"/>
  <c r="K54" i="7" s="1"/>
  <c r="L54" i="7" a="1"/>
  <c r="L54" i="7" s="1"/>
  <c r="E55" i="7" a="1"/>
  <c r="E55" i="7" s="1"/>
  <c r="F55" i="7" a="1"/>
  <c r="F55" i="7" s="1"/>
  <c r="G55" i="7" a="1"/>
  <c r="G55" i="7" s="1"/>
  <c r="H55" i="7" a="1"/>
  <c r="H55" i="7" s="1"/>
  <c r="I55" i="7" a="1"/>
  <c r="I55" i="7" s="1"/>
  <c r="J55" i="7" a="1"/>
  <c r="J55" i="7" s="1"/>
  <c r="K55" i="7" a="1"/>
  <c r="K55" i="7" s="1"/>
  <c r="L55" i="7" a="1"/>
  <c r="L55" i="7" s="1"/>
  <c r="E56" i="7" a="1"/>
  <c r="E56" i="7" s="1"/>
  <c r="F56" i="7" a="1"/>
  <c r="F56" i="7" s="1"/>
  <c r="G56" i="7" a="1"/>
  <c r="G56" i="7" s="1"/>
  <c r="H56" i="7" a="1"/>
  <c r="H56" i="7" s="1"/>
  <c r="I56" i="7" a="1"/>
  <c r="I56" i="7" s="1"/>
  <c r="J56" i="7" a="1"/>
  <c r="J56" i="7" s="1"/>
  <c r="K56" i="7" a="1"/>
  <c r="K56" i="7" s="1"/>
  <c r="L56" i="7" a="1"/>
  <c r="L56" i="7" s="1"/>
  <c r="E57" i="7" a="1"/>
  <c r="E57" i="7" s="1"/>
  <c r="F57" i="7" a="1"/>
  <c r="F57" i="7" s="1"/>
  <c r="G57" i="7" a="1"/>
  <c r="G57" i="7" s="1"/>
  <c r="H57" i="7" a="1"/>
  <c r="H57" i="7"/>
  <c r="I57" i="7" a="1"/>
  <c r="I57" i="7"/>
  <c r="J57" i="7" a="1"/>
  <c r="J57" i="7" s="1"/>
  <c r="K57" i="7" a="1"/>
  <c r="K57" i="7" s="1"/>
  <c r="L57" i="7" a="1"/>
  <c r="L57" i="7"/>
  <c r="E58" i="7" a="1"/>
  <c r="E58" i="7" s="1"/>
  <c r="F58" i="7" a="1"/>
  <c r="F58" i="7" s="1"/>
  <c r="G58" i="7" a="1"/>
  <c r="G58" i="7" s="1"/>
  <c r="H58" i="7" a="1"/>
  <c r="H58" i="7" s="1"/>
  <c r="I58" i="7" a="1"/>
  <c r="I58" i="7" s="1"/>
  <c r="J58" i="7" a="1"/>
  <c r="J58" i="7" s="1"/>
  <c r="K58" i="7" a="1"/>
  <c r="K58" i="7" s="1"/>
  <c r="L58" i="7" a="1"/>
  <c r="L58" i="7" s="1"/>
  <c r="E59" i="7" a="1"/>
  <c r="E59" i="7"/>
  <c r="F59" i="7" a="1"/>
  <c r="F59" i="7" s="1"/>
  <c r="G59" i="7" a="1"/>
  <c r="G59" i="7" s="1"/>
  <c r="H59" i="7" a="1"/>
  <c r="H59" i="7" s="1"/>
  <c r="I59" i="7" a="1"/>
  <c r="I59" i="7" s="1"/>
  <c r="J59" i="7" a="1"/>
  <c r="J59" i="7" s="1"/>
  <c r="K59" i="7" a="1"/>
  <c r="K59" i="7" s="1"/>
  <c r="L59" i="7" a="1"/>
  <c r="L59" i="7" s="1"/>
  <c r="E60" i="7" a="1"/>
  <c r="E60" i="7" s="1"/>
  <c r="F60" i="7" a="1"/>
  <c r="F60" i="7" s="1"/>
  <c r="G60" i="7" a="1"/>
  <c r="G60" i="7" s="1"/>
  <c r="H60" i="7" a="1"/>
  <c r="H60" i="7" s="1"/>
  <c r="I60" i="7" a="1"/>
  <c r="I60" i="7" s="1"/>
  <c r="J60" i="7" a="1"/>
  <c r="J60" i="7" s="1"/>
  <c r="K60" i="7" a="1"/>
  <c r="K60" i="7" s="1"/>
  <c r="L60" i="7" a="1"/>
  <c r="L60" i="7" s="1"/>
  <c r="E61" i="7" a="1"/>
  <c r="E61" i="7" s="1"/>
  <c r="F61" i="7" a="1"/>
  <c r="F61" i="7" s="1"/>
  <c r="G61" i="7" a="1"/>
  <c r="G61" i="7" s="1"/>
  <c r="H61" i="7" a="1"/>
  <c r="H61" i="7"/>
  <c r="I61" i="7" a="1"/>
  <c r="I61" i="7" s="1"/>
  <c r="J61" i="7" a="1"/>
  <c r="J61" i="7" s="1"/>
  <c r="K61" i="7" a="1"/>
  <c r="K61" i="7" s="1"/>
  <c r="L61" i="7" a="1"/>
  <c r="L61" i="7" s="1"/>
  <c r="E62" i="7" a="1"/>
  <c r="E62" i="7" s="1"/>
  <c r="F62" i="7" a="1"/>
  <c r="F62" i="7" s="1"/>
  <c r="G62" i="7" a="1"/>
  <c r="G62" i="7" s="1"/>
  <c r="H62" i="7" a="1"/>
  <c r="H62" i="7" s="1"/>
  <c r="I62" i="7" a="1"/>
  <c r="I62" i="7" s="1"/>
  <c r="J62" i="7" a="1"/>
  <c r="J62" i="7" s="1"/>
  <c r="K62" i="7" a="1"/>
  <c r="K62" i="7" s="1"/>
  <c r="L62" i="7" a="1"/>
  <c r="L62" i="7" s="1"/>
  <c r="E63" i="7" a="1"/>
  <c r="E63" i="7"/>
  <c r="F63" i="7" a="1"/>
  <c r="F63" i="7" s="1"/>
  <c r="G63" i="7" a="1"/>
  <c r="G63" i="7" s="1"/>
  <c r="H63" i="7" a="1"/>
  <c r="H63" i="7" s="1"/>
  <c r="I63" i="7" a="1"/>
  <c r="I63" i="7" s="1"/>
  <c r="J63" i="7" a="1"/>
  <c r="J63" i="7" s="1"/>
  <c r="K63" i="7" a="1"/>
  <c r="K63" i="7" s="1"/>
  <c r="L63" i="7" a="1"/>
  <c r="L63" i="7" s="1"/>
  <c r="E64" i="7" a="1"/>
  <c r="E64" i="7" s="1"/>
  <c r="F64" i="7" a="1"/>
  <c r="F64" i="7" s="1"/>
  <c r="G64" i="7" a="1"/>
  <c r="G64" i="7"/>
  <c r="H64" i="7" a="1"/>
  <c r="H64" i="7"/>
  <c r="I64" i="7" a="1"/>
  <c r="I64" i="7" s="1"/>
  <c r="J64" i="7" a="1"/>
  <c r="J64" i="7" s="1"/>
  <c r="K64" i="7" a="1"/>
  <c r="K64" i="7" s="1"/>
  <c r="L64" i="7" a="1"/>
  <c r="L64" i="7" s="1"/>
  <c r="E65" i="7" a="1"/>
  <c r="E65" i="7" s="1"/>
  <c r="F65" i="7" a="1"/>
  <c r="F65" i="7" s="1"/>
  <c r="G65" i="7" a="1"/>
  <c r="G65" i="7" s="1"/>
  <c r="H65" i="7" a="1"/>
  <c r="H65" i="7"/>
  <c r="I65" i="7" a="1"/>
  <c r="I65" i="7" s="1"/>
  <c r="J65" i="7" a="1"/>
  <c r="J65" i="7" s="1"/>
  <c r="K65" i="7" a="1"/>
  <c r="K65" i="7" s="1"/>
  <c r="L65" i="7" a="1"/>
  <c r="L65" i="7"/>
  <c r="E66" i="7" a="1"/>
  <c r="E66" i="7" s="1"/>
  <c r="F66" i="7" a="1"/>
  <c r="F66" i="7" s="1"/>
  <c r="G66" i="7" a="1"/>
  <c r="G66" i="7" s="1"/>
  <c r="H66" i="7" a="1"/>
  <c r="H66" i="7" s="1"/>
  <c r="I66" i="7" a="1"/>
  <c r="I66" i="7" s="1"/>
  <c r="J66" i="7" a="1"/>
  <c r="J66" i="7" s="1"/>
  <c r="K66" i="7" a="1"/>
  <c r="K66" i="7" s="1"/>
  <c r="L66" i="7" a="1"/>
  <c r="L66" i="7" s="1"/>
  <c r="E67" i="7" a="1"/>
  <c r="E67" i="7"/>
  <c r="F67" i="7" a="1"/>
  <c r="F67" i="7" s="1"/>
  <c r="G67" i="7" a="1"/>
  <c r="G67" i="7" s="1"/>
  <c r="H67" i="7" a="1"/>
  <c r="H67" i="7" s="1"/>
  <c r="I67" i="7" a="1"/>
  <c r="I67" i="7" s="1"/>
  <c r="J67" i="7" a="1"/>
  <c r="J67" i="7" s="1"/>
  <c r="K67" i="7" a="1"/>
  <c r="K67" i="7" s="1"/>
  <c r="L67" i="7" a="1"/>
  <c r="L67" i="7" s="1"/>
  <c r="E68" i="7" a="1"/>
  <c r="E68" i="7" s="1"/>
  <c r="F68" i="7" a="1"/>
  <c r="F68" i="7" s="1"/>
  <c r="G68" i="7" a="1"/>
  <c r="G68" i="7" s="1"/>
  <c r="H68" i="7" a="1"/>
  <c r="H68" i="7" s="1"/>
  <c r="I68" i="7" a="1"/>
  <c r="I68" i="7" s="1"/>
  <c r="J68" i="7" a="1"/>
  <c r="J68" i="7" s="1"/>
  <c r="K68" i="7" a="1"/>
  <c r="K68" i="7" s="1"/>
  <c r="L68" i="7" a="1"/>
  <c r="L68" i="7" s="1"/>
  <c r="E69" i="7" a="1"/>
  <c r="E69" i="7" s="1"/>
  <c r="F69" i="7" a="1"/>
  <c r="F69" i="7" s="1"/>
  <c r="G69" i="7" a="1"/>
  <c r="G69" i="7" s="1"/>
  <c r="H69" i="7" a="1"/>
  <c r="H69" i="7" s="1"/>
  <c r="I69" i="7" a="1"/>
  <c r="I69" i="7"/>
  <c r="J69" i="7" a="1"/>
  <c r="J69" i="7" s="1"/>
  <c r="K69" i="7" a="1"/>
  <c r="K69" i="7" s="1"/>
  <c r="L69" i="7" a="1"/>
  <c r="L69" i="7"/>
  <c r="E70" i="7" a="1"/>
  <c r="E70" i="7" s="1"/>
  <c r="F70" i="7" a="1"/>
  <c r="F70" i="7" s="1"/>
  <c r="G70" i="7" a="1"/>
  <c r="G70" i="7" s="1"/>
  <c r="H70" i="7" a="1"/>
  <c r="H70" i="7" s="1"/>
  <c r="I70" i="7" a="1"/>
  <c r="I70" i="7" s="1"/>
  <c r="J70" i="7" a="1"/>
  <c r="J70" i="7" s="1"/>
  <c r="K70" i="7" a="1"/>
  <c r="K70" i="7" s="1"/>
  <c r="L70" i="7" a="1"/>
  <c r="L70" i="7" s="1"/>
  <c r="E71" i="7" a="1"/>
  <c r="E71" i="7"/>
  <c r="F71" i="7" a="1"/>
  <c r="F71" i="7" s="1"/>
  <c r="G71" i="7" a="1"/>
  <c r="G71" i="7" s="1"/>
  <c r="H71" i="7" a="1"/>
  <c r="H71" i="7" s="1"/>
  <c r="I71" i="7" a="1"/>
  <c r="I71" i="7" s="1"/>
  <c r="J71" i="7" a="1"/>
  <c r="J71" i="7" s="1"/>
  <c r="K71" i="7" a="1"/>
  <c r="K71" i="7" s="1"/>
  <c r="L71" i="7" a="1"/>
  <c r="L71" i="7" s="1"/>
  <c r="E72" i="7" a="1"/>
  <c r="E72" i="7" s="1"/>
  <c r="F72" i="7" a="1"/>
  <c r="F72" i="7" s="1"/>
  <c r="G72" i="7" a="1"/>
  <c r="G72" i="7" s="1"/>
  <c r="H72" i="7" a="1"/>
  <c r="H72" i="7" s="1"/>
  <c r="I72" i="7" a="1"/>
  <c r="I72" i="7" s="1"/>
  <c r="J72" i="7" a="1"/>
  <c r="J72" i="7" s="1"/>
  <c r="K72" i="7" a="1"/>
  <c r="K72" i="7"/>
  <c r="L72" i="7" a="1"/>
  <c r="L72" i="7" s="1"/>
  <c r="E73" i="7" a="1"/>
  <c r="E73" i="7" s="1"/>
  <c r="F73" i="7" a="1"/>
  <c r="F73" i="7" s="1"/>
  <c r="G73" i="7" a="1"/>
  <c r="G73" i="7" s="1"/>
  <c r="H73" i="7" a="1"/>
  <c r="H73" i="7" s="1"/>
  <c r="I73" i="7" a="1"/>
  <c r="I73" i="7"/>
  <c r="J73" i="7" a="1"/>
  <c r="J73" i="7" s="1"/>
  <c r="K73" i="7" a="1"/>
  <c r="K73" i="7" s="1"/>
  <c r="L73" i="7" a="1"/>
  <c r="L73" i="7" s="1"/>
  <c r="E74" i="7" a="1"/>
  <c r="E74" i="7" s="1"/>
  <c r="F74" i="7" a="1"/>
  <c r="F74" i="7" s="1"/>
  <c r="G74" i="7" a="1"/>
  <c r="G74" i="7" s="1"/>
  <c r="H74" i="7" a="1"/>
  <c r="H74" i="7" s="1"/>
  <c r="I74" i="7" a="1"/>
  <c r="I74" i="7" s="1"/>
  <c r="J74" i="7" a="1"/>
  <c r="J74" i="7" s="1"/>
  <c r="K74" i="7" a="1"/>
  <c r="K74" i="7" s="1"/>
  <c r="L74" i="7" a="1"/>
  <c r="L74" i="7" s="1"/>
  <c r="E75" i="7" a="1"/>
  <c r="E75" i="7"/>
  <c r="F75" i="7" a="1"/>
  <c r="F75" i="7" s="1"/>
  <c r="G75" i="7" a="1"/>
  <c r="G75" i="7"/>
  <c r="H75" i="7" a="1"/>
  <c r="H75" i="7" s="1"/>
  <c r="I75" i="7" a="1"/>
  <c r="I75" i="7" s="1"/>
  <c r="J75" i="7" a="1"/>
  <c r="J75" i="7" s="1"/>
  <c r="K75" i="7" a="1"/>
  <c r="K75" i="7" s="1"/>
  <c r="L75" i="7" a="1"/>
  <c r="L75" i="7" s="1"/>
  <c r="E76" i="7" a="1"/>
  <c r="E76" i="7" s="1"/>
  <c r="F76" i="7" a="1"/>
  <c r="F76" i="7" s="1"/>
  <c r="G76" i="7" a="1"/>
  <c r="G76" i="7" s="1"/>
  <c r="H76" i="7" a="1"/>
  <c r="H76" i="7" s="1"/>
  <c r="I76" i="7" a="1"/>
  <c r="I76" i="7" s="1"/>
  <c r="J76" i="7" a="1"/>
  <c r="J76" i="7" s="1"/>
  <c r="K76" i="7" a="1"/>
  <c r="K76" i="7" s="1"/>
  <c r="L76" i="7" a="1"/>
  <c r="L76" i="7" s="1"/>
  <c r="E77" i="7" a="1"/>
  <c r="E77" i="7" s="1"/>
  <c r="F77" i="7" a="1"/>
  <c r="F77" i="7" s="1"/>
  <c r="G77" i="7" a="1"/>
  <c r="G77" i="7" s="1"/>
  <c r="H77" i="7" a="1"/>
  <c r="H77" i="7" s="1"/>
  <c r="I77" i="7" a="1"/>
  <c r="I77" i="7"/>
  <c r="J77" i="7" a="1"/>
  <c r="J77" i="7" s="1"/>
  <c r="K77" i="7" a="1"/>
  <c r="K77" i="7" s="1"/>
  <c r="L77" i="7" a="1"/>
  <c r="L77" i="7"/>
  <c r="E78" i="7" a="1"/>
  <c r="E78" i="7" s="1"/>
  <c r="F78" i="7" a="1"/>
  <c r="F78" i="7" s="1"/>
  <c r="G78" i="7" a="1"/>
  <c r="G78" i="7" s="1"/>
  <c r="H78" i="7" a="1"/>
  <c r="H78" i="7" s="1"/>
  <c r="I78" i="7" a="1"/>
  <c r="I78" i="7" s="1"/>
  <c r="J78" i="7" a="1"/>
  <c r="J78" i="7" s="1"/>
  <c r="K78" i="7" a="1"/>
  <c r="K78" i="7" s="1"/>
  <c r="L78" i="7" a="1"/>
  <c r="L78" i="7" s="1"/>
  <c r="E79" i="7" a="1"/>
  <c r="E79" i="7" s="1"/>
  <c r="F79" i="7" a="1"/>
  <c r="F79" i="7" s="1"/>
  <c r="G79" i="7" a="1"/>
  <c r="G79" i="7" s="1"/>
  <c r="H79" i="7" a="1"/>
  <c r="H79" i="7" s="1"/>
  <c r="I79" i="7" a="1"/>
  <c r="I79" i="7" s="1"/>
  <c r="J79" i="7" a="1"/>
  <c r="J79" i="7" s="1"/>
  <c r="K79" i="7" a="1"/>
  <c r="K79" i="7" s="1"/>
  <c r="L79" i="7" a="1"/>
  <c r="L79" i="7" s="1"/>
  <c r="E80" i="7" a="1"/>
  <c r="E80" i="7" s="1"/>
  <c r="F80" i="7" a="1"/>
  <c r="F80" i="7" s="1"/>
  <c r="G80" i="7" a="1"/>
  <c r="G80" i="7"/>
  <c r="H80" i="7" a="1"/>
  <c r="H80" i="7"/>
  <c r="I80" i="7" a="1"/>
  <c r="I80" i="7" s="1"/>
  <c r="J80" i="7" a="1"/>
  <c r="J80" i="7" s="1"/>
  <c r="K80" i="7" a="1"/>
  <c r="K80" i="7"/>
  <c r="L80" i="7" a="1"/>
  <c r="L80" i="7" s="1"/>
  <c r="E81" i="7" a="1"/>
  <c r="E81" i="7"/>
  <c r="F81" i="7" a="1"/>
  <c r="F81" i="7" s="1"/>
  <c r="G81" i="7" a="1"/>
  <c r="G81" i="7" s="1"/>
  <c r="H81" i="7" a="1"/>
  <c r="H81" i="7" s="1"/>
  <c r="I81" i="7" a="1"/>
  <c r="I81" i="7" s="1"/>
  <c r="J81" i="7" a="1"/>
  <c r="J81" i="7" s="1"/>
  <c r="K81" i="7" a="1"/>
  <c r="K81" i="7"/>
  <c r="L81" i="7" a="1"/>
  <c r="L81" i="7" s="1"/>
  <c r="E82" i="7" a="1"/>
  <c r="E82" i="7" s="1"/>
  <c r="F82" i="7" a="1"/>
  <c r="F82" i="7" s="1"/>
  <c r="G82" i="7" a="1"/>
  <c r="G82" i="7" s="1"/>
  <c r="H82" i="7" a="1"/>
  <c r="H82" i="7" s="1"/>
  <c r="I82" i="7" a="1"/>
  <c r="I82" i="7"/>
  <c r="J82" i="7" a="1"/>
  <c r="J82" i="7" s="1"/>
  <c r="K82" i="7" a="1"/>
  <c r="K82" i="7" s="1"/>
  <c r="L82" i="7" a="1"/>
  <c r="L82" i="7" s="1"/>
  <c r="E83" i="7" a="1"/>
  <c r="E83" i="7" s="1"/>
  <c r="F83" i="7" a="1"/>
  <c r="F83" i="7"/>
  <c r="G83" i="7" a="1"/>
  <c r="G83" i="7" s="1"/>
  <c r="H83" i="7" a="1"/>
  <c r="H83" i="7" s="1"/>
  <c r="I83" i="7" a="1"/>
  <c r="I83" i="7" s="1"/>
  <c r="J83" i="7" a="1"/>
  <c r="J83" i="7"/>
  <c r="K83" i="7" a="1"/>
  <c r="K83" i="7" s="1"/>
  <c r="L83" i="7" a="1"/>
  <c r="L83" i="7" s="1"/>
  <c r="E84" i="7" a="1"/>
  <c r="E84" i="7" s="1"/>
  <c r="F84" i="7" a="1"/>
  <c r="F84" i="7" s="1"/>
  <c r="G84" i="7" a="1"/>
  <c r="G84" i="7" s="1"/>
  <c r="H84" i="7" a="1"/>
  <c r="H84" i="7" s="1"/>
  <c r="I84" i="7" a="1"/>
  <c r="I84" i="7"/>
  <c r="J84" i="7" a="1"/>
  <c r="J84" i="7" s="1"/>
  <c r="K84" i="7" a="1"/>
  <c r="K84" i="7" s="1"/>
  <c r="L84" i="7" a="1"/>
  <c r="L84" i="7" s="1"/>
  <c r="E85" i="7" a="1"/>
  <c r="E85" i="7"/>
  <c r="F85" i="7" a="1"/>
  <c r="F85" i="7" s="1"/>
  <c r="G85" i="7" a="1"/>
  <c r="G85" i="7" s="1"/>
  <c r="H85" i="7" a="1"/>
  <c r="H85" i="7" s="1"/>
  <c r="I85" i="7" a="1"/>
  <c r="I85" i="7" s="1"/>
  <c r="J85" i="7" a="1"/>
  <c r="J85" i="7" s="1"/>
  <c r="K85" i="7" a="1"/>
  <c r="K85" i="7"/>
  <c r="L85" i="7" a="1"/>
  <c r="L85" i="7" s="1"/>
  <c r="E86" i="7" a="1"/>
  <c r="E86" i="7" s="1"/>
  <c r="F86" i="7" a="1"/>
  <c r="F86" i="7" s="1"/>
  <c r="G86" i="7" a="1"/>
  <c r="G86" i="7" s="1"/>
  <c r="H86" i="7" a="1"/>
  <c r="H86" i="7" s="1"/>
  <c r="I86" i="7" a="1"/>
  <c r="I86" i="7"/>
  <c r="J86" i="7" a="1"/>
  <c r="J86" i="7" s="1"/>
  <c r="K86" i="7" a="1"/>
  <c r="K86" i="7" s="1"/>
  <c r="L86" i="7" a="1"/>
  <c r="L86" i="7" s="1"/>
  <c r="E87" i="7" a="1"/>
  <c r="E87" i="7" s="1"/>
  <c r="F87" i="7" a="1"/>
  <c r="F87" i="7"/>
  <c r="G87" i="7" a="1"/>
  <c r="G87" i="7"/>
  <c r="H87" i="7" a="1"/>
  <c r="H87" i="7" s="1"/>
  <c r="I87" i="7" a="1"/>
  <c r="I87" i="7" s="1"/>
  <c r="J87" i="7" a="1"/>
  <c r="J87" i="7" s="1"/>
  <c r="K87" i="7" a="1"/>
  <c r="K87" i="7" s="1"/>
  <c r="L87" i="7" a="1"/>
  <c r="L87" i="7" s="1"/>
  <c r="E88" i="7" a="1"/>
  <c r="E88" i="7" s="1"/>
  <c r="F88" i="7" a="1"/>
  <c r="F88" i="7" s="1"/>
  <c r="G88" i="7" a="1"/>
  <c r="G88" i="7" s="1"/>
  <c r="H88" i="7" a="1"/>
  <c r="H88" i="7" s="1"/>
  <c r="I88" i="7" a="1"/>
  <c r="I88" i="7"/>
  <c r="J88" i="7" a="1"/>
  <c r="J88" i="7"/>
  <c r="K88" i="7" a="1"/>
  <c r="K88" i="7" s="1"/>
  <c r="L88" i="7" a="1"/>
  <c r="L88" i="7" s="1"/>
  <c r="E89" i="7" a="1"/>
  <c r="E89" i="7" s="1"/>
  <c r="F89" i="7" a="1"/>
  <c r="F89" i="7" s="1"/>
  <c r="G89" i="7" a="1"/>
  <c r="G89" i="7" s="1"/>
  <c r="H89" i="7" a="1"/>
  <c r="H89" i="7" s="1"/>
  <c r="I89" i="7" a="1"/>
  <c r="I89" i="7" s="1"/>
  <c r="J89" i="7" a="1"/>
  <c r="J89" i="7" s="1"/>
  <c r="K89" i="7" a="1"/>
  <c r="K89" i="7" s="1"/>
  <c r="L89" i="7" a="1"/>
  <c r="L89" i="7" s="1"/>
  <c r="E90" i="7" a="1"/>
  <c r="E90" i="7"/>
  <c r="F90" i="7" a="1"/>
  <c r="F90" i="7" s="1"/>
  <c r="G90" i="7" a="1"/>
  <c r="G90" i="7" s="1"/>
  <c r="H90" i="7" a="1"/>
  <c r="H90" i="7" s="1"/>
  <c r="I90" i="7" a="1"/>
  <c r="I90" i="7"/>
  <c r="J90" i="7" a="1"/>
  <c r="J90" i="7" s="1"/>
  <c r="K90" i="7" a="1"/>
  <c r="K90" i="7" s="1"/>
  <c r="L90" i="7" a="1"/>
  <c r="L90" i="7" s="1"/>
  <c r="E91" i="7" a="1"/>
  <c r="E91" i="7" s="1"/>
  <c r="F91" i="7" a="1"/>
  <c r="F91" i="7" s="1"/>
  <c r="G91" i="7" a="1"/>
  <c r="G91" i="7"/>
  <c r="H91" i="7" a="1"/>
  <c r="H91" i="7" s="1"/>
  <c r="I91" i="7" a="1"/>
  <c r="I91" i="7" s="1"/>
  <c r="J91" i="7" a="1"/>
  <c r="J91" i="7"/>
  <c r="K91" i="7" a="1"/>
  <c r="K91" i="7" s="1"/>
  <c r="L91" i="7" a="1"/>
  <c r="L91" i="7" s="1"/>
  <c r="E92" i="7" a="1"/>
  <c r="E92" i="7" s="1"/>
  <c r="F92" i="7" a="1"/>
  <c r="F92" i="7" s="1"/>
  <c r="G92" i="7" a="1"/>
  <c r="G92" i="7" s="1"/>
  <c r="H92" i="7" a="1"/>
  <c r="H92" i="7" s="1"/>
  <c r="I92" i="7" a="1"/>
  <c r="I92" i="7" s="1"/>
  <c r="J92" i="7" a="1"/>
  <c r="J92" i="7"/>
  <c r="K92" i="7" a="1"/>
  <c r="K92" i="7" s="1"/>
  <c r="L92" i="7" a="1"/>
  <c r="L92" i="7" s="1"/>
  <c r="E93" i="7" a="1"/>
  <c r="E93" i="7"/>
  <c r="F93" i="7" a="1"/>
  <c r="F93" i="7" s="1"/>
  <c r="G93" i="7" a="1"/>
  <c r="G93" i="7" s="1"/>
  <c r="H93" i="7" a="1"/>
  <c r="H93" i="7" s="1"/>
  <c r="I93" i="7" a="1"/>
  <c r="I93" i="7" s="1"/>
  <c r="J93" i="7" a="1"/>
  <c r="J93" i="7" s="1"/>
  <c r="K93" i="7" a="1"/>
  <c r="K93" i="7" s="1"/>
  <c r="L93" i="7" a="1"/>
  <c r="L93" i="7" s="1"/>
  <c r="E94" i="7" a="1"/>
  <c r="E94" i="7"/>
  <c r="F94" i="7" a="1"/>
  <c r="F94" i="7" s="1"/>
  <c r="G94" i="7" a="1"/>
  <c r="G94" i="7" s="1"/>
  <c r="H94" i="7" a="1"/>
  <c r="H94" i="7" s="1"/>
  <c r="I94" i="7" a="1"/>
  <c r="I94" i="7" s="1"/>
  <c r="J94" i="7" a="1"/>
  <c r="J94" i="7" s="1"/>
  <c r="K94" i="7" a="1"/>
  <c r="K94" i="7"/>
  <c r="L94" i="7" a="1"/>
  <c r="L94" i="7" s="1"/>
  <c r="E95" i="7" a="1"/>
  <c r="E95" i="7" s="1"/>
  <c r="F95" i="7" a="1"/>
  <c r="F95" i="7" s="1"/>
  <c r="G95" i="7" a="1"/>
  <c r="G95" i="7"/>
  <c r="H95" i="7" a="1"/>
  <c r="H95" i="7" s="1"/>
  <c r="I95" i="7" a="1"/>
  <c r="I95" i="7" s="1"/>
  <c r="J95" i="7" a="1"/>
  <c r="J95" i="7" s="1"/>
  <c r="K95" i="7" a="1"/>
  <c r="K95" i="7" s="1"/>
  <c r="L95" i="7" a="1"/>
  <c r="L95" i="7" s="1"/>
  <c r="E96" i="7" a="1"/>
  <c r="E96" i="7" s="1"/>
  <c r="F96" i="7" a="1"/>
  <c r="F96" i="7" s="1"/>
  <c r="G96" i="7" a="1"/>
  <c r="G96" i="7" s="1"/>
  <c r="H96" i="7" a="1"/>
  <c r="H96" i="7" s="1"/>
  <c r="I96" i="7" a="1"/>
  <c r="I96" i="7" s="1"/>
  <c r="J96" i="7" a="1"/>
  <c r="J96" i="7"/>
  <c r="K96" i="7" a="1"/>
  <c r="K96" i="7"/>
  <c r="L96" i="7" a="1"/>
  <c r="L96" i="7" s="1"/>
  <c r="E97" i="7" a="1"/>
  <c r="E97" i="7" s="1"/>
  <c r="F97" i="7" a="1"/>
  <c r="F97" i="7" s="1"/>
  <c r="G97" i="7" a="1"/>
  <c r="G97" i="7" s="1"/>
  <c r="H97" i="7" a="1"/>
  <c r="H97" i="7" s="1"/>
  <c r="I97" i="7" a="1"/>
  <c r="I97" i="7" s="1"/>
  <c r="J97" i="7" a="1"/>
  <c r="J97" i="7" s="1"/>
  <c r="K97" i="7" a="1"/>
  <c r="K97" i="7" s="1"/>
  <c r="L97" i="7" a="1"/>
  <c r="L97" i="7" s="1"/>
  <c r="E98" i="7" a="1"/>
  <c r="E98" i="7"/>
  <c r="F98" i="7" a="1"/>
  <c r="F98" i="7"/>
  <c r="G98" i="7" a="1"/>
  <c r="G98" i="7" s="1"/>
  <c r="H98" i="7" a="1"/>
  <c r="H98" i="7" s="1"/>
  <c r="I98" i="7" a="1"/>
  <c r="I98" i="7" s="1"/>
  <c r="J98" i="7" a="1"/>
  <c r="J98" i="7" s="1"/>
  <c r="K98" i="7" a="1"/>
  <c r="K98" i="7"/>
  <c r="L98" i="7" a="1"/>
  <c r="L98" i="7" s="1"/>
  <c r="E99" i="7" a="1"/>
  <c r="E99" i="7" s="1"/>
  <c r="F99" i="7" a="1"/>
  <c r="F99" i="7" s="1"/>
  <c r="G99" i="7" a="1"/>
  <c r="G99" i="7" s="1"/>
  <c r="H99" i="7" a="1"/>
  <c r="H99" i="7" s="1"/>
  <c r="I99" i="7" a="1"/>
  <c r="I99" i="7"/>
  <c r="J99" i="7" a="1"/>
  <c r="J99" i="7"/>
  <c r="K99" i="7" a="1"/>
  <c r="K99" i="7" s="1"/>
  <c r="L99" i="7" a="1"/>
  <c r="L99" i="7" s="1"/>
  <c r="E100" i="7" a="1"/>
  <c r="E100" i="7" s="1"/>
  <c r="F100" i="7" a="1"/>
  <c r="F100" i="7" s="1"/>
  <c r="G100" i="7" a="1"/>
  <c r="G100" i="7"/>
  <c r="H100" i="7" a="1"/>
  <c r="H100" i="7" s="1"/>
  <c r="I100" i="7" a="1"/>
  <c r="I100" i="7" s="1"/>
  <c r="J100" i="7" a="1"/>
  <c r="J100" i="7" s="1"/>
  <c r="K100" i="7" a="1"/>
  <c r="K100" i="7"/>
  <c r="L100" i="7" a="1"/>
  <c r="L100" i="7" s="1"/>
  <c r="E101" i="7" a="1"/>
  <c r="E101" i="7" s="1"/>
  <c r="F101" i="7" a="1"/>
  <c r="F101" i="7" s="1"/>
  <c r="G101" i="7" a="1"/>
  <c r="G101" i="7" s="1"/>
  <c r="H101" i="7" a="1"/>
  <c r="H101" i="7" s="1"/>
  <c r="I101" i="7" a="1"/>
  <c r="I101" i="7" s="1"/>
  <c r="J101" i="7" a="1"/>
  <c r="J101" i="7"/>
  <c r="K101" i="7" a="1"/>
  <c r="K101" i="7" s="1"/>
  <c r="L101" i="7" a="1"/>
  <c r="L101" i="7" s="1"/>
  <c r="E102" i="7" a="1"/>
  <c r="E102" i="7" s="1"/>
  <c r="F102" i="7" a="1"/>
  <c r="F102" i="7"/>
  <c r="G102" i="7" a="1"/>
  <c r="G102" i="7" s="1"/>
  <c r="H102" i="7" a="1"/>
  <c r="H102" i="7" s="1"/>
  <c r="I102" i="7" a="1"/>
  <c r="I102" i="7" s="1"/>
  <c r="J102" i="7" a="1"/>
  <c r="J102" i="7" s="1"/>
  <c r="K102" i="7" a="1"/>
  <c r="K102" i="7"/>
  <c r="L102" i="7" a="1"/>
  <c r="L102" i="7" s="1"/>
  <c r="E103" i="7" a="1"/>
  <c r="E103" i="7" s="1"/>
  <c r="F103" i="7" a="1"/>
  <c r="F103" i="7" s="1"/>
  <c r="G103" i="7" a="1"/>
  <c r="G103" i="7"/>
  <c r="H103" i="7" a="1"/>
  <c r="H103" i="7" s="1"/>
  <c r="I103" i="7" a="1"/>
  <c r="I103" i="7"/>
  <c r="J103" i="7" a="1"/>
  <c r="J103" i="7" s="1"/>
  <c r="K103" i="7" a="1"/>
  <c r="K103" i="7" s="1"/>
  <c r="L103" i="7" a="1"/>
  <c r="L103" i="7" s="1"/>
  <c r="E104" i="7" a="1"/>
  <c r="E104" i="7" s="1"/>
  <c r="F104" i="7" a="1"/>
  <c r="F104" i="7" s="1"/>
  <c r="G104" i="7" a="1"/>
  <c r="G104" i="7"/>
  <c r="H104" i="7" a="1"/>
  <c r="H104" i="7" s="1"/>
  <c r="I104" i="7" a="1"/>
  <c r="I104" i="7" s="1"/>
  <c r="J104" i="7" a="1"/>
  <c r="J104" i="7"/>
  <c r="K104" i="7" a="1"/>
  <c r="K104" i="7"/>
  <c r="L104" i="7" a="1"/>
  <c r="L104" i="7" s="1"/>
  <c r="E105" i="7" a="1"/>
  <c r="E105" i="7" s="1"/>
  <c r="F105" i="7" a="1"/>
  <c r="F105" i="7" s="1"/>
  <c r="G105" i="7" a="1"/>
  <c r="G105" i="7" s="1"/>
  <c r="H105" i="7" a="1"/>
  <c r="H105" i="7" s="1"/>
  <c r="I105" i="7" a="1"/>
  <c r="I105" i="7" s="1"/>
  <c r="J105" i="7" a="1"/>
  <c r="J105" i="7"/>
  <c r="K105" i="7" a="1"/>
  <c r="K105" i="7" s="1"/>
  <c r="L105" i="7" a="1"/>
  <c r="L105" i="7" s="1"/>
  <c r="E106" i="7" a="1"/>
  <c r="E106" i="7" s="1"/>
  <c r="F106" i="7" a="1"/>
  <c r="F106" i="7"/>
  <c r="G106" i="7" a="1"/>
  <c r="G106" i="7" s="1"/>
  <c r="H106" i="7" a="1"/>
  <c r="H106" i="7" s="1"/>
  <c r="I106" i="7" a="1"/>
  <c r="I106" i="7" s="1"/>
  <c r="J106" i="7" a="1"/>
  <c r="J106" i="7" s="1"/>
  <c r="K106" i="7" a="1"/>
  <c r="K106" i="7" s="1"/>
  <c r="L106" i="7" a="1"/>
  <c r="L106" i="7" s="1"/>
  <c r="E107" i="7" a="1"/>
  <c r="E107" i="7" s="1"/>
  <c r="F107" i="7" a="1"/>
  <c r="F107" i="7" s="1"/>
  <c r="G107" i="7" a="1"/>
  <c r="G107" i="7" s="1"/>
  <c r="H107" i="7" a="1"/>
  <c r="H107" i="7" s="1"/>
  <c r="I107" i="7" a="1"/>
  <c r="I107" i="7"/>
  <c r="J107" i="7" a="1"/>
  <c r="J107" i="7"/>
  <c r="K107" i="7" a="1"/>
  <c r="K107" i="7" s="1"/>
  <c r="L107" i="7" a="1"/>
  <c r="L107" i="7" s="1"/>
  <c r="E108" i="7" a="1"/>
  <c r="E108" i="7" s="1"/>
  <c r="F108" i="7" a="1"/>
  <c r="F108" i="7" s="1"/>
  <c r="G108" i="7" a="1"/>
  <c r="G108" i="7" s="1"/>
  <c r="H108" i="7" a="1"/>
  <c r="H108" i="7" s="1"/>
  <c r="I108" i="7" a="1"/>
  <c r="I108" i="7" s="1"/>
  <c r="J108" i="7" a="1"/>
  <c r="J108" i="7" s="1"/>
  <c r="K108" i="7" a="1"/>
  <c r="K108" i="7" s="1"/>
  <c r="L108" i="7" a="1"/>
  <c r="L108" i="7" s="1"/>
  <c r="E109" i="7" a="1"/>
  <c r="E109" i="7"/>
  <c r="F109" i="7" a="1"/>
  <c r="F109" i="7" s="1"/>
  <c r="G109" i="7" a="1"/>
  <c r="G109" i="7" s="1"/>
  <c r="H109" i="7" a="1"/>
  <c r="H109" i="7" s="1"/>
  <c r="I109" i="7" a="1"/>
  <c r="I109" i="7" s="1"/>
  <c r="J109" i="7" a="1"/>
  <c r="J109" i="7" s="1"/>
  <c r="K109" i="7" a="1"/>
  <c r="K109" i="7" s="1"/>
  <c r="L109" i="7" a="1"/>
  <c r="L109" i="7" s="1"/>
  <c r="E110" i="7" a="1"/>
  <c r="E110" i="7" s="1"/>
  <c r="F110" i="7" a="1"/>
  <c r="F110" i="7" s="1"/>
  <c r="G110" i="7" a="1"/>
  <c r="G110" i="7" s="1"/>
  <c r="H110" i="7" a="1"/>
  <c r="H110" i="7" s="1"/>
  <c r="I110" i="7" a="1"/>
  <c r="I110" i="7" s="1"/>
  <c r="J110" i="7" a="1"/>
  <c r="J110" i="7" s="1"/>
  <c r="K110" i="7" a="1"/>
  <c r="K110" i="7" s="1"/>
  <c r="L110" i="7" a="1"/>
  <c r="L110" i="7" s="1"/>
  <c r="E111" i="7" a="1"/>
  <c r="E111" i="7" s="1"/>
  <c r="F111" i="7" a="1"/>
  <c r="F111" i="7" s="1"/>
  <c r="G111" i="7" a="1"/>
  <c r="G111" i="7" s="1"/>
  <c r="H111" i="7" a="1"/>
  <c r="H111" i="7" s="1"/>
  <c r="I111" i="7" a="1"/>
  <c r="I111" i="7" s="1"/>
  <c r="J111" i="7" a="1"/>
  <c r="J111" i="7" s="1"/>
  <c r="K111" i="7" a="1"/>
  <c r="K111" i="7" s="1"/>
  <c r="L111" i="7" a="1"/>
  <c r="L111" i="7" s="1"/>
  <c r="E112" i="7" a="1"/>
  <c r="E112" i="7" s="1"/>
  <c r="F112" i="7" a="1"/>
  <c r="F112" i="7" s="1"/>
  <c r="G112" i="7" a="1"/>
  <c r="G112" i="7" s="1"/>
  <c r="H112" i="7" a="1"/>
  <c r="H112" i="7" s="1"/>
  <c r="I112" i="7" a="1"/>
  <c r="I112" i="7" s="1"/>
  <c r="J112" i="7" a="1"/>
  <c r="J112" i="7" s="1"/>
  <c r="K112" i="7" a="1"/>
  <c r="K112" i="7" s="1"/>
  <c r="L112" i="7" a="1"/>
  <c r="L112" i="7" s="1"/>
  <c r="E113" i="7" a="1"/>
  <c r="E113" i="7" s="1"/>
  <c r="F113" i="7" a="1"/>
  <c r="F113" i="7" s="1"/>
  <c r="G113" i="7" a="1"/>
  <c r="G113" i="7" s="1"/>
  <c r="H113" i="7" a="1"/>
  <c r="H113" i="7" s="1"/>
  <c r="I113" i="7" a="1"/>
  <c r="I113" i="7" s="1"/>
  <c r="J113" i="7" a="1"/>
  <c r="J113" i="7" s="1"/>
  <c r="K113" i="7" a="1"/>
  <c r="K113" i="7" s="1"/>
  <c r="L113" i="7" a="1"/>
  <c r="L113" i="7" s="1"/>
  <c r="E114" i="7" a="1"/>
  <c r="E114" i="7" s="1"/>
  <c r="F114" i="7" a="1"/>
  <c r="F114" i="7" s="1"/>
  <c r="G114" i="7" a="1"/>
  <c r="G114" i="7" s="1"/>
  <c r="H114" i="7" a="1"/>
  <c r="H114" i="7" s="1"/>
  <c r="I114" i="7" a="1"/>
  <c r="I114" i="7" s="1"/>
  <c r="J114" i="7" a="1"/>
  <c r="J114" i="7" s="1"/>
  <c r="K114" i="7" a="1"/>
  <c r="K114" i="7" s="1"/>
  <c r="L114" i="7" a="1"/>
  <c r="L114" i="7" s="1"/>
  <c r="E115" i="7" a="1"/>
  <c r="E115" i="7" s="1"/>
  <c r="F115" i="7" a="1"/>
  <c r="F115" i="7" s="1"/>
  <c r="G115" i="7" a="1"/>
  <c r="G115" i="7" s="1"/>
  <c r="H115" i="7" a="1"/>
  <c r="H115" i="7" s="1"/>
  <c r="I115" i="7" a="1"/>
  <c r="I115" i="7" s="1"/>
  <c r="J115" i="7" a="1"/>
  <c r="J115" i="7" s="1"/>
  <c r="K115" i="7" a="1"/>
  <c r="K115" i="7" s="1"/>
  <c r="L115" i="7" a="1"/>
  <c r="L115" i="7" s="1"/>
  <c r="E116" i="7" a="1"/>
  <c r="E116" i="7" s="1"/>
  <c r="F116" i="7" a="1"/>
  <c r="F116" i="7" s="1"/>
  <c r="G116" i="7" a="1"/>
  <c r="G116" i="7" s="1"/>
  <c r="H116" i="7" a="1"/>
  <c r="H116" i="7" s="1"/>
  <c r="I116" i="7" a="1"/>
  <c r="I116" i="7" s="1"/>
  <c r="J116" i="7" a="1"/>
  <c r="J116" i="7" s="1"/>
  <c r="K116" i="7" a="1"/>
  <c r="K116" i="7" s="1"/>
  <c r="L116" i="7" a="1"/>
  <c r="L116" i="7" s="1"/>
  <c r="E117" i="7" a="1"/>
  <c r="E117" i="7" s="1"/>
  <c r="F117" i="7" a="1"/>
  <c r="F117" i="7" s="1"/>
  <c r="G117" i="7" a="1"/>
  <c r="G117" i="7" s="1"/>
  <c r="H117" i="7" a="1"/>
  <c r="H117" i="7" s="1"/>
  <c r="I117" i="7" a="1"/>
  <c r="I117" i="7" s="1"/>
  <c r="J117" i="7" a="1"/>
  <c r="J117" i="7" s="1"/>
  <c r="K117" i="7" a="1"/>
  <c r="K117" i="7" s="1"/>
  <c r="L117" i="7" a="1"/>
  <c r="L117" i="7" s="1"/>
  <c r="E118" i="7" a="1"/>
  <c r="E118" i="7" s="1"/>
  <c r="F118" i="7" a="1"/>
  <c r="F118" i="7" s="1"/>
  <c r="G118" i="7" a="1"/>
  <c r="G118" i="7" s="1"/>
  <c r="H118" i="7" a="1"/>
  <c r="H118" i="7" s="1"/>
  <c r="I118" i="7" a="1"/>
  <c r="I118" i="7" s="1"/>
  <c r="J118" i="7" a="1"/>
  <c r="J118" i="7" s="1"/>
  <c r="K118" i="7" a="1"/>
  <c r="K118" i="7" s="1"/>
  <c r="L118" i="7" a="1"/>
  <c r="L118" i="7" s="1"/>
  <c r="E119" i="7" a="1"/>
  <c r="E119" i="7" s="1"/>
  <c r="F119" i="7" a="1"/>
  <c r="F119" i="7" s="1"/>
  <c r="G119" i="7" a="1"/>
  <c r="G119" i="7" s="1"/>
  <c r="H119" i="7" a="1"/>
  <c r="H119" i="7" s="1"/>
  <c r="I119" i="7" a="1"/>
  <c r="I119" i="7" s="1"/>
  <c r="J119" i="7" a="1"/>
  <c r="J119" i="7" s="1"/>
  <c r="K119" i="7" a="1"/>
  <c r="K119" i="7" s="1"/>
  <c r="L119" i="7" a="1"/>
  <c r="L119" i="7" s="1"/>
  <c r="E120" i="7" a="1"/>
  <c r="E120" i="7" s="1"/>
  <c r="F120" i="7" a="1"/>
  <c r="F120" i="7" s="1"/>
  <c r="G120" i="7" a="1"/>
  <c r="G120" i="7" s="1"/>
  <c r="H120" i="7" a="1"/>
  <c r="H120" i="7" s="1"/>
  <c r="I120" i="7" a="1"/>
  <c r="I120" i="7" s="1"/>
  <c r="J120" i="7" a="1"/>
  <c r="J120" i="7" s="1"/>
  <c r="K120" i="7" a="1"/>
  <c r="K120" i="7" s="1"/>
  <c r="L120" i="7" a="1"/>
  <c r="L120" i="7" s="1"/>
  <c r="E121" i="7" a="1"/>
  <c r="E121" i="7" s="1"/>
  <c r="F121" i="7" a="1"/>
  <c r="F121" i="7" s="1"/>
  <c r="G121" i="7" a="1"/>
  <c r="G121" i="7" s="1"/>
  <c r="H121" i="7" a="1"/>
  <c r="H121" i="7" s="1"/>
  <c r="I121" i="7" a="1"/>
  <c r="I121" i="7" s="1"/>
  <c r="J121" i="7" a="1"/>
  <c r="J121" i="7" s="1"/>
  <c r="K121" i="7" a="1"/>
  <c r="K121" i="7" s="1"/>
  <c r="L121" i="7" a="1"/>
  <c r="L121" i="7" s="1"/>
  <c r="E122" i="7" a="1"/>
  <c r="E122" i="7" s="1"/>
  <c r="F122" i="7" a="1"/>
  <c r="F122" i="7" s="1"/>
  <c r="G122" i="7" a="1"/>
  <c r="G122" i="7" s="1"/>
  <c r="H122" i="7" a="1"/>
  <c r="H122" i="7" s="1"/>
  <c r="I122" i="7" a="1"/>
  <c r="I122" i="7" s="1"/>
  <c r="J122" i="7" a="1"/>
  <c r="J122" i="7" s="1"/>
  <c r="K122" i="7" a="1"/>
  <c r="K122" i="7" s="1"/>
  <c r="L122" i="7" a="1"/>
  <c r="L122" i="7" s="1"/>
  <c r="E123" i="7" a="1"/>
  <c r="E123" i="7" s="1"/>
  <c r="F123" i="7" a="1"/>
  <c r="F123" i="7" s="1"/>
  <c r="G123" i="7" a="1"/>
  <c r="G123" i="7" s="1"/>
  <c r="H123" i="7" a="1"/>
  <c r="H123" i="7" s="1"/>
  <c r="I123" i="7" a="1"/>
  <c r="I123" i="7" s="1"/>
  <c r="J123" i="7" a="1"/>
  <c r="J123" i="7" s="1"/>
  <c r="K123" i="7" a="1"/>
  <c r="K123" i="7" s="1"/>
  <c r="L123" i="7" a="1"/>
  <c r="L123" i="7" s="1"/>
  <c r="E124" i="7" a="1"/>
  <c r="E124" i="7" s="1"/>
  <c r="F124" i="7" a="1"/>
  <c r="F124" i="7" s="1"/>
  <c r="G124" i="7" a="1"/>
  <c r="G124" i="7" s="1"/>
  <c r="H124" i="7" a="1"/>
  <c r="H124" i="7" s="1"/>
  <c r="I124" i="7" a="1"/>
  <c r="I124" i="7" s="1"/>
  <c r="J124" i="7" a="1"/>
  <c r="J124" i="7" s="1"/>
  <c r="K124" i="7" a="1"/>
  <c r="K124" i="7" s="1"/>
  <c r="L124" i="7" a="1"/>
  <c r="L124" i="7" s="1"/>
  <c r="E125" i="7" a="1"/>
  <c r="E125" i="7" s="1"/>
  <c r="F125" i="7" a="1"/>
  <c r="F125" i="7" s="1"/>
  <c r="G125" i="7" a="1"/>
  <c r="G125" i="7" s="1"/>
  <c r="H125" i="7" a="1"/>
  <c r="H125" i="7"/>
  <c r="I125" i="7" a="1"/>
  <c r="I125" i="7" s="1"/>
  <c r="J125" i="7" a="1"/>
  <c r="J125" i="7" s="1"/>
  <c r="K125" i="7" a="1"/>
  <c r="K125" i="7" s="1"/>
  <c r="L125" i="7" a="1"/>
  <c r="L125" i="7" s="1"/>
  <c r="E126" i="7" a="1"/>
  <c r="E126" i="7" s="1"/>
  <c r="F126" i="7" a="1"/>
  <c r="F126" i="7" s="1"/>
  <c r="G126" i="7" a="1"/>
  <c r="G126" i="7" s="1"/>
  <c r="H126" i="7" a="1"/>
  <c r="H126" i="7"/>
  <c r="I126" i="7" a="1"/>
  <c r="I126" i="7" s="1"/>
  <c r="J126" i="7" a="1"/>
  <c r="J126" i="7" s="1"/>
  <c r="K126" i="7" a="1"/>
  <c r="K126" i="7" s="1"/>
  <c r="L126" i="7" a="1"/>
  <c r="L126" i="7" s="1"/>
  <c r="E127" i="7" a="1"/>
  <c r="E127" i="7" s="1"/>
  <c r="F127" i="7" a="1"/>
  <c r="F127" i="7" s="1"/>
  <c r="G127" i="7" a="1"/>
  <c r="G127" i="7"/>
  <c r="H127" i="7" a="1"/>
  <c r="H127" i="7" s="1"/>
  <c r="I127" i="7" a="1"/>
  <c r="I127" i="7"/>
  <c r="J127" i="7" a="1"/>
  <c r="J127" i="7" s="1"/>
  <c r="K127" i="7" a="1"/>
  <c r="K127" i="7" s="1"/>
  <c r="L127" i="7" a="1"/>
  <c r="L127" i="7" s="1"/>
  <c r="E128" i="7" a="1"/>
  <c r="E128" i="7" s="1"/>
  <c r="F128" i="7" a="1"/>
  <c r="F128" i="7" s="1"/>
  <c r="G128" i="7" a="1"/>
  <c r="G128" i="7" s="1"/>
  <c r="H128" i="7" a="1"/>
  <c r="H128" i="7" s="1"/>
  <c r="I128" i="7" a="1"/>
  <c r="I128" i="7"/>
  <c r="J128" i="7" a="1"/>
  <c r="J128" i="7" s="1"/>
  <c r="K128" i="7" a="1"/>
  <c r="K128" i="7" s="1"/>
  <c r="L128" i="7" a="1"/>
  <c r="L128" i="7" s="1"/>
  <c r="E129" i="7" a="1"/>
  <c r="E129" i="7" s="1"/>
  <c r="F129" i="7" a="1"/>
  <c r="F129" i="7" s="1"/>
  <c r="G129" i="7" a="1"/>
  <c r="G129" i="7"/>
  <c r="H129" i="7" a="1"/>
  <c r="H129" i="7"/>
  <c r="I129" i="7" a="1"/>
  <c r="I129" i="7" s="1"/>
  <c r="J129" i="7" a="1"/>
  <c r="J129" i="7" s="1"/>
  <c r="K129" i="7" a="1"/>
  <c r="K129" i="7" s="1"/>
  <c r="L129" i="7" a="1"/>
  <c r="L129" i="7" s="1"/>
  <c r="E130" i="7" a="1"/>
  <c r="E130" i="7" s="1"/>
  <c r="F130" i="7" a="1"/>
  <c r="F130" i="7" s="1"/>
  <c r="G130" i="7" a="1"/>
  <c r="G130" i="7" s="1"/>
  <c r="H130" i="7" a="1"/>
  <c r="H130" i="7" s="1"/>
  <c r="I130" i="7" a="1"/>
  <c r="I130" i="7" s="1"/>
  <c r="J130" i="7" a="1"/>
  <c r="J130" i="7" s="1"/>
  <c r="K130" i="7" a="1"/>
  <c r="K130" i="7" s="1"/>
  <c r="L130" i="7" a="1"/>
  <c r="L130" i="7" s="1"/>
  <c r="E131" i="7" a="1"/>
  <c r="E131" i="7" s="1"/>
  <c r="F131" i="7" a="1"/>
  <c r="F131" i="7" s="1"/>
  <c r="G131" i="7" a="1"/>
  <c r="G131" i="7"/>
  <c r="H131" i="7" a="1"/>
  <c r="H131" i="7"/>
  <c r="I131" i="7" a="1"/>
  <c r="I131" i="7"/>
  <c r="J131" i="7" a="1"/>
  <c r="J131" i="7" s="1"/>
  <c r="K131" i="7" a="1"/>
  <c r="K131" i="7" s="1"/>
  <c r="L131" i="7" a="1"/>
  <c r="L131" i="7" s="1"/>
  <c r="E132" i="7" a="1"/>
  <c r="E132" i="7" s="1"/>
  <c r="F132" i="7" a="1"/>
  <c r="F132" i="7" s="1"/>
  <c r="G132" i="7" a="1"/>
  <c r="G132" i="7"/>
  <c r="H132" i="7" a="1"/>
  <c r="H132" i="7" s="1"/>
  <c r="I132" i="7" a="1"/>
  <c r="I132" i="7" s="1"/>
  <c r="J132" i="7" a="1"/>
  <c r="J132" i="7" s="1"/>
  <c r="K132" i="7" a="1"/>
  <c r="K132" i="7" s="1"/>
  <c r="L132" i="7" a="1"/>
  <c r="L132" i="7" s="1"/>
  <c r="E133" i="7" a="1"/>
  <c r="E133" i="7" s="1"/>
  <c r="F133" i="7" a="1"/>
  <c r="F133" i="7" s="1"/>
  <c r="G133" i="7" a="1"/>
  <c r="G133" i="7" s="1"/>
  <c r="H133" i="7" a="1"/>
  <c r="H133" i="7"/>
  <c r="I133" i="7" a="1"/>
  <c r="I133" i="7" s="1"/>
  <c r="J133" i="7" a="1"/>
  <c r="J133" i="7" s="1"/>
  <c r="K133" i="7" a="1"/>
  <c r="K133" i="7" s="1"/>
  <c r="L133" i="7" a="1"/>
  <c r="L133" i="7" s="1"/>
  <c r="E134" i="7" a="1"/>
  <c r="E134" i="7" s="1"/>
  <c r="F134" i="7" a="1"/>
  <c r="F134" i="7" s="1"/>
  <c r="G134" i="7" a="1"/>
  <c r="G134" i="7" s="1"/>
  <c r="H134" i="7" a="1"/>
  <c r="H134" i="7"/>
  <c r="I134" i="7" a="1"/>
  <c r="I134" i="7" s="1"/>
  <c r="J134" i="7" a="1"/>
  <c r="J134" i="7" s="1"/>
  <c r="K134" i="7" a="1"/>
  <c r="K134" i="7" s="1"/>
  <c r="L134" i="7" a="1"/>
  <c r="L134" i="7" s="1"/>
  <c r="E135" i="7" a="1"/>
  <c r="E135" i="7" s="1"/>
  <c r="F135" i="7" a="1"/>
  <c r="F135" i="7" s="1"/>
  <c r="G135" i="7" a="1"/>
  <c r="G135" i="7"/>
  <c r="H135" i="7" a="1"/>
  <c r="H135" i="7" s="1"/>
  <c r="I135" i="7" a="1"/>
  <c r="I135" i="7"/>
  <c r="J135" i="7" a="1"/>
  <c r="J135" i="7" s="1"/>
  <c r="K135" i="7" a="1"/>
  <c r="K135" i="7" s="1"/>
  <c r="L135" i="7" a="1"/>
  <c r="L135" i="7" s="1"/>
  <c r="E136" i="7" a="1"/>
  <c r="E136" i="7" s="1"/>
  <c r="F136" i="7" a="1"/>
  <c r="F136" i="7" s="1"/>
  <c r="G136" i="7" a="1"/>
  <c r="G136" i="7" s="1"/>
  <c r="H136" i="7" a="1"/>
  <c r="H136" i="7" s="1"/>
  <c r="I136" i="7" a="1"/>
  <c r="I136" i="7"/>
  <c r="J136" i="7" a="1"/>
  <c r="J136" i="7" s="1"/>
  <c r="K136" i="7" a="1"/>
  <c r="K136" i="7" s="1"/>
  <c r="L136" i="7" a="1"/>
  <c r="L136" i="7" s="1"/>
  <c r="E137" i="7" a="1"/>
  <c r="E137" i="7" s="1"/>
  <c r="F137" i="7" a="1"/>
  <c r="F137" i="7" s="1"/>
  <c r="G137" i="7" a="1"/>
  <c r="G137" i="7"/>
  <c r="H137" i="7" a="1"/>
  <c r="H137" i="7"/>
  <c r="I137" i="7" a="1"/>
  <c r="I137" i="7" s="1"/>
  <c r="J137" i="7" a="1"/>
  <c r="J137" i="7" s="1"/>
  <c r="K137" i="7" a="1"/>
  <c r="K137" i="7" s="1"/>
  <c r="L137" i="7" a="1"/>
  <c r="L137" i="7" s="1"/>
  <c r="E138" i="7" a="1"/>
  <c r="E138" i="7" s="1"/>
  <c r="F138" i="7" a="1"/>
  <c r="F138" i="7" s="1"/>
  <c r="G138" i="7" a="1"/>
  <c r="G138" i="7" s="1"/>
  <c r="H138" i="7" a="1"/>
  <c r="H138" i="7" s="1"/>
  <c r="I138" i="7" a="1"/>
  <c r="I138" i="7" s="1"/>
  <c r="J138" i="7" a="1"/>
  <c r="J138" i="7" s="1"/>
  <c r="K138" i="7" a="1"/>
  <c r="K138" i="7" s="1"/>
  <c r="L138" i="7" a="1"/>
  <c r="L138" i="7" s="1"/>
  <c r="E139" i="7" a="1"/>
  <c r="E139" i="7" s="1"/>
  <c r="F139" i="7" a="1"/>
  <c r="F139" i="7" s="1"/>
  <c r="G139" i="7" a="1"/>
  <c r="G139" i="7"/>
  <c r="H139" i="7" a="1"/>
  <c r="H139" i="7"/>
  <c r="I139" i="7" a="1"/>
  <c r="I139" i="7"/>
  <c r="J139" i="7" a="1"/>
  <c r="J139" i="7" s="1"/>
  <c r="K139" i="7" a="1"/>
  <c r="K139" i="7" s="1"/>
  <c r="L139" i="7" a="1"/>
  <c r="L139" i="7" s="1"/>
  <c r="E140" i="7" a="1"/>
  <c r="E140" i="7" s="1"/>
  <c r="F140" i="7" a="1"/>
  <c r="F140" i="7" s="1"/>
  <c r="G140" i="7" a="1"/>
  <c r="G140" i="7" s="1"/>
  <c r="H140" i="7" a="1"/>
  <c r="H140" i="7" s="1"/>
  <c r="I140" i="7" a="1"/>
  <c r="I140" i="7" s="1"/>
  <c r="J140" i="7" a="1"/>
  <c r="J140" i="7" s="1"/>
  <c r="K140" i="7" a="1"/>
  <c r="K140" i="7" s="1"/>
  <c r="L140" i="7" a="1"/>
  <c r="L140" i="7" s="1"/>
  <c r="E141" i="7" a="1"/>
  <c r="E141" i="7" s="1"/>
  <c r="F141" i="7" a="1"/>
  <c r="F141" i="7" s="1"/>
  <c r="G141" i="7" a="1"/>
  <c r="G141" i="7" s="1"/>
  <c r="H141" i="7" a="1"/>
  <c r="H141" i="7" s="1"/>
  <c r="I141" i="7" a="1"/>
  <c r="I141" i="7" s="1"/>
  <c r="J141" i="7" a="1"/>
  <c r="J141" i="7" s="1"/>
  <c r="K141" i="7" a="1"/>
  <c r="K141" i="7" s="1"/>
  <c r="L141" i="7" a="1"/>
  <c r="L141" i="7" s="1"/>
  <c r="E142" i="7" a="1"/>
  <c r="E142" i="7" s="1"/>
  <c r="F142" i="7" a="1"/>
  <c r="F142" i="7" s="1"/>
  <c r="G142" i="7" a="1"/>
  <c r="G142" i="7" s="1"/>
  <c r="H142" i="7" a="1"/>
  <c r="H142" i="7" s="1"/>
  <c r="I142" i="7" a="1"/>
  <c r="I142" i="7" s="1"/>
  <c r="J142" i="7" a="1"/>
  <c r="J142" i="7" s="1"/>
  <c r="K142" i="7" a="1"/>
  <c r="K142" i="7" s="1"/>
  <c r="L142" i="7" a="1"/>
  <c r="L142" i="7" s="1"/>
  <c r="E143" i="7" a="1"/>
  <c r="E143" i="7" s="1"/>
  <c r="F143" i="7" a="1"/>
  <c r="F143" i="7" s="1"/>
  <c r="G143" i="7" a="1"/>
  <c r="G143" i="7" s="1"/>
  <c r="H143" i="7" a="1"/>
  <c r="H143" i="7" s="1"/>
  <c r="I143" i="7" a="1"/>
  <c r="I143" i="7" s="1"/>
  <c r="J143" i="7" a="1"/>
  <c r="J143" i="7" s="1"/>
  <c r="K143" i="7" a="1"/>
  <c r="K143" i="7" s="1"/>
  <c r="L143" i="7" a="1"/>
  <c r="L143" i="7" s="1"/>
  <c r="E144" i="7" a="1"/>
  <c r="E144" i="7" s="1"/>
  <c r="F144" i="7" a="1"/>
  <c r="F144" i="7" s="1"/>
  <c r="G144" i="7" a="1"/>
  <c r="G144" i="7" s="1"/>
  <c r="H144" i="7" a="1"/>
  <c r="H144" i="7" s="1"/>
  <c r="I144" i="7" a="1"/>
  <c r="I144" i="7" s="1"/>
  <c r="J144" i="7" a="1"/>
  <c r="J144" i="7" s="1"/>
  <c r="K144" i="7" a="1"/>
  <c r="K144" i="7" s="1"/>
  <c r="L144" i="7" a="1"/>
  <c r="L144" i="7" s="1"/>
  <c r="E145" i="7" a="1"/>
  <c r="E145" i="7" s="1"/>
  <c r="F145" i="7" a="1"/>
  <c r="F145" i="7" s="1"/>
  <c r="G145" i="7" a="1"/>
  <c r="G145" i="7" s="1"/>
  <c r="H145" i="7" a="1"/>
  <c r="H145" i="7" s="1"/>
  <c r="I145" i="7" a="1"/>
  <c r="I145" i="7" s="1"/>
  <c r="J145" i="7" a="1"/>
  <c r="J145" i="7" s="1"/>
  <c r="K145" i="7" a="1"/>
  <c r="K145" i="7" s="1"/>
  <c r="L145" i="7" a="1"/>
  <c r="L145" i="7" s="1"/>
  <c r="E146" i="7" a="1"/>
  <c r="E146" i="7" s="1"/>
  <c r="F146" i="7" a="1"/>
  <c r="F146" i="7" s="1"/>
  <c r="G146" i="7" a="1"/>
  <c r="G146" i="7" s="1"/>
  <c r="H146" i="7" a="1"/>
  <c r="H146" i="7" s="1"/>
  <c r="I146" i="7" a="1"/>
  <c r="I146" i="7" s="1"/>
  <c r="J146" i="7" a="1"/>
  <c r="J146" i="7" s="1"/>
  <c r="K146" i="7" a="1"/>
  <c r="K146" i="7" s="1"/>
  <c r="L146" i="7" a="1"/>
  <c r="L146" i="7" s="1"/>
  <c r="E147" i="7" a="1"/>
  <c r="E147" i="7" s="1"/>
  <c r="F147" i="7" a="1"/>
  <c r="F147" i="7" s="1"/>
  <c r="G147" i="7" a="1"/>
  <c r="G147" i="7" s="1"/>
  <c r="H147" i="7" a="1"/>
  <c r="H147" i="7" s="1"/>
  <c r="I147" i="7" a="1"/>
  <c r="I147" i="7" s="1"/>
  <c r="J147" i="7" a="1"/>
  <c r="J147" i="7" s="1"/>
  <c r="K147" i="7" a="1"/>
  <c r="K147" i="7" s="1"/>
  <c r="L147" i="7" a="1"/>
  <c r="L147" i="7" s="1"/>
  <c r="E148" i="7" a="1"/>
  <c r="E148" i="7" s="1"/>
  <c r="F148" i="7" a="1"/>
  <c r="F148" i="7" s="1"/>
  <c r="G148" i="7" a="1"/>
  <c r="G148" i="7" s="1"/>
  <c r="H148" i="7" a="1"/>
  <c r="H148" i="7" s="1"/>
  <c r="I148" i="7" a="1"/>
  <c r="I148" i="7" s="1"/>
  <c r="J148" i="7" a="1"/>
  <c r="J148" i="7" s="1"/>
  <c r="K148" i="7" a="1"/>
  <c r="K148" i="7" s="1"/>
  <c r="L148" i="7" a="1"/>
  <c r="L148" i="7" s="1"/>
  <c r="E149" i="7" a="1"/>
  <c r="E149" i="7" s="1"/>
  <c r="F149" i="7" a="1"/>
  <c r="F149" i="7" s="1"/>
  <c r="G149" i="7" a="1"/>
  <c r="G149" i="7" s="1"/>
  <c r="H149" i="7" a="1"/>
  <c r="H149" i="7" s="1"/>
  <c r="I149" i="7" a="1"/>
  <c r="I149" i="7" s="1"/>
  <c r="J149" i="7" a="1"/>
  <c r="J149" i="7" s="1"/>
  <c r="K149" i="7" a="1"/>
  <c r="K149" i="7" s="1"/>
  <c r="L149" i="7" a="1"/>
  <c r="L149" i="7" s="1"/>
  <c r="E150" i="7" a="1"/>
  <c r="E150" i="7" s="1"/>
  <c r="F150" i="7" a="1"/>
  <c r="F150" i="7" s="1"/>
  <c r="G150" i="7" a="1"/>
  <c r="G150" i="7" s="1"/>
  <c r="H150" i="7" a="1"/>
  <c r="H150" i="7" s="1"/>
  <c r="I150" i="7" a="1"/>
  <c r="I150" i="7" s="1"/>
  <c r="J150" i="7" a="1"/>
  <c r="J150" i="7" s="1"/>
  <c r="K150" i="7" a="1"/>
  <c r="K150" i="7" s="1"/>
  <c r="L150" i="7" a="1"/>
  <c r="L150" i="7" s="1"/>
  <c r="BC98" i="4" a="1"/>
  <c r="BC98" i="4" s="1"/>
  <c r="BB98" i="4" a="1"/>
  <c r="BB98" i="4" s="1"/>
  <c r="BA98" i="4" a="1"/>
  <c r="BA98" i="4" s="1"/>
  <c r="AZ98" i="4" a="1"/>
  <c r="AZ98" i="4" s="1"/>
  <c r="AY98" i="4" a="1"/>
  <c r="AY98" i="4" s="1"/>
  <c r="AX98" i="4" a="1"/>
  <c r="AX98" i="4" s="1"/>
  <c r="AW98" i="4" a="1"/>
  <c r="AW98" i="4" s="1"/>
  <c r="AV98" i="4" a="1"/>
  <c r="AV98" i="4" s="1"/>
  <c r="AU98" i="4" a="1"/>
  <c r="AU98" i="4" s="1"/>
  <c r="AT98" i="4" a="1"/>
  <c r="AT98" i="4" s="1"/>
  <c r="AS98" i="4" a="1"/>
  <c r="AS98" i="4" s="1"/>
  <c r="AR98" i="4" a="1"/>
  <c r="AR98" i="4" s="1"/>
  <c r="AQ98" i="4" a="1"/>
  <c r="AQ98" i="4" s="1"/>
  <c r="AP98" i="4" a="1"/>
  <c r="AP98" i="4" s="1"/>
  <c r="AO98" i="4" a="1"/>
  <c r="AO98" i="4" s="1"/>
  <c r="AN98" i="4" a="1"/>
  <c r="AN98" i="4" s="1"/>
  <c r="AM98" i="4" a="1"/>
  <c r="AM98" i="4" s="1"/>
  <c r="AL98" i="4" a="1"/>
  <c r="AL98" i="4" s="1"/>
  <c r="AK98" i="4" a="1"/>
  <c r="AK98" i="4" s="1"/>
  <c r="AJ98" i="4" a="1"/>
  <c r="AJ98" i="4" s="1"/>
  <c r="AI98" i="4" a="1"/>
  <c r="AI98" i="4" s="1"/>
  <c r="AH98" i="4" a="1"/>
  <c r="AH98" i="4" s="1"/>
  <c r="AG98" i="4" a="1"/>
  <c r="AG98" i="4" s="1"/>
  <c r="AF98" i="4" a="1"/>
  <c r="AF98" i="4" s="1"/>
  <c r="BC97" i="4" a="1"/>
  <c r="BC97" i="4" s="1"/>
  <c r="BB97" i="4" a="1"/>
  <c r="BB97" i="4" s="1"/>
  <c r="AW97" i="4" a="1"/>
  <c r="AW97" i="4" s="1"/>
  <c r="AV97" i="4" a="1"/>
  <c r="AV97" i="4" s="1"/>
  <c r="AU97" i="4" a="1"/>
  <c r="AU97" i="4" s="1"/>
  <c r="AT97" i="4" a="1"/>
  <c r="AT97" i="4" s="1"/>
  <c r="AS97" i="4" a="1"/>
  <c r="AS97" i="4" s="1"/>
  <c r="AR97" i="4" a="1"/>
  <c r="AR97" i="4" s="1"/>
  <c r="AQ97" i="4" a="1"/>
  <c r="AQ97" i="4" s="1"/>
  <c r="AP97" i="4" a="1"/>
  <c r="AP97" i="4" s="1"/>
  <c r="AO97" i="4" a="1"/>
  <c r="AO97" i="4" s="1"/>
  <c r="AN97" i="4" a="1"/>
  <c r="AN97" i="4" s="1"/>
  <c r="AM97" i="4" a="1"/>
  <c r="AM97" i="4" s="1"/>
  <c r="AI97" i="4" a="1"/>
  <c r="AI97" i="4" s="1"/>
  <c r="AH97" i="4" a="1"/>
  <c r="AH97" i="4" s="1"/>
  <c r="AG97" i="4" a="1"/>
  <c r="AG97" i="4" s="1"/>
  <c r="AF97" i="4" a="1"/>
  <c r="AF97" i="4" s="1"/>
  <c r="BC96" i="4" a="1"/>
  <c r="BC96" i="4" s="1"/>
  <c r="BB96" i="4" a="1"/>
  <c r="BB96" i="4" s="1"/>
  <c r="BA96" i="4" a="1"/>
  <c r="BA96" i="4" s="1"/>
  <c r="AZ96" i="4" a="1"/>
  <c r="AZ96" i="4" s="1"/>
  <c r="AY96" i="4" a="1"/>
  <c r="AY96" i="4" s="1"/>
  <c r="AX96" i="4" a="1"/>
  <c r="AX96" i="4" s="1"/>
  <c r="AW96" i="4" a="1"/>
  <c r="AW96" i="4" s="1"/>
  <c r="AV96" i="4" a="1"/>
  <c r="AV96" i="4" s="1"/>
  <c r="AU96" i="4" a="1"/>
  <c r="AU96" i="4" s="1"/>
  <c r="AT96" i="4" a="1"/>
  <c r="AT96" i="4" s="1"/>
  <c r="AS96" i="4" a="1"/>
  <c r="AS96" i="4" s="1"/>
  <c r="AR96" i="4" a="1"/>
  <c r="AR96" i="4" s="1"/>
  <c r="AQ96" i="4" a="1"/>
  <c r="AQ96" i="4" s="1"/>
  <c r="AP96" i="4" a="1"/>
  <c r="AP96" i="4" s="1"/>
  <c r="AO96" i="4" a="1"/>
  <c r="AO96" i="4" s="1"/>
  <c r="AN96" i="4" a="1"/>
  <c r="AN96" i="4" s="1"/>
  <c r="AM96" i="4" a="1"/>
  <c r="AM96" i="4" s="1"/>
  <c r="AL96" i="4" a="1"/>
  <c r="AL96" i="4" s="1"/>
  <c r="AK96" i="4" a="1"/>
  <c r="AK96" i="4" s="1"/>
  <c r="AJ96" i="4" a="1"/>
  <c r="AJ96" i="4" s="1"/>
  <c r="AI96" i="4" a="1"/>
  <c r="AI96" i="4" s="1"/>
  <c r="AH96" i="4" a="1"/>
  <c r="AH96" i="4" s="1"/>
  <c r="AG96" i="4" a="1"/>
  <c r="AG96" i="4" s="1"/>
  <c r="AF96" i="4" a="1"/>
  <c r="AF96" i="4" s="1"/>
  <c r="BC95" i="4" a="1"/>
  <c r="BC95" i="4" s="1"/>
  <c r="BB95" i="4" a="1"/>
  <c r="BB95" i="4" s="1"/>
  <c r="BA95" i="4" a="1"/>
  <c r="BA95" i="4" s="1"/>
  <c r="AZ95" i="4" a="1"/>
  <c r="AZ95" i="4" s="1"/>
  <c r="AY95" i="4" a="1"/>
  <c r="AY95" i="4" s="1"/>
  <c r="AX95" i="4" a="1"/>
  <c r="AX95" i="4" s="1"/>
  <c r="AW95" i="4" a="1"/>
  <c r="AW95" i="4" s="1"/>
  <c r="AV95" i="4" a="1"/>
  <c r="AV95" i="4" s="1"/>
  <c r="AU95" i="4" a="1"/>
  <c r="AU95" i="4" s="1"/>
  <c r="AT95" i="4" a="1"/>
  <c r="AT95" i="4" s="1"/>
  <c r="AS95" i="4" a="1"/>
  <c r="AS95" i="4" s="1"/>
  <c r="AR95" i="4" a="1"/>
  <c r="AR95" i="4" s="1"/>
  <c r="AQ95" i="4" a="1"/>
  <c r="AQ95" i="4" s="1"/>
  <c r="AP95" i="4" a="1"/>
  <c r="AP95" i="4" s="1"/>
  <c r="AO95" i="4" a="1"/>
  <c r="AO95" i="4" s="1"/>
  <c r="AN95" i="4" a="1"/>
  <c r="AN95" i="4" s="1"/>
  <c r="AM95" i="4" a="1"/>
  <c r="AM95" i="4" s="1"/>
  <c r="AL95" i="4" a="1"/>
  <c r="AL95" i="4" s="1"/>
  <c r="AK95" i="4" a="1"/>
  <c r="AK95" i="4" s="1"/>
  <c r="AJ95" i="4" a="1"/>
  <c r="AJ95" i="4" s="1"/>
  <c r="AI95" i="4" a="1"/>
  <c r="AI95" i="4" s="1"/>
  <c r="AH95" i="4" a="1"/>
  <c r="AH95" i="4" s="1"/>
  <c r="AG95" i="4" a="1"/>
  <c r="AG95" i="4" s="1"/>
  <c r="AF95" i="4" a="1"/>
  <c r="AF95" i="4" s="1"/>
  <c r="BC94" i="4" a="1"/>
  <c r="BC94" i="4" s="1"/>
  <c r="BB94" i="4" a="1"/>
  <c r="BB94" i="4" s="1"/>
  <c r="BA94" i="4" a="1"/>
  <c r="BA94" i="4" s="1"/>
  <c r="AZ94" i="4" a="1"/>
  <c r="AZ94" i="4" s="1"/>
  <c r="AY94" i="4" a="1"/>
  <c r="AY94" i="4" s="1"/>
  <c r="AX94" i="4" a="1"/>
  <c r="AX94" i="4" s="1"/>
  <c r="AW94" i="4" a="1"/>
  <c r="AW94" i="4" s="1"/>
  <c r="AV94" i="4" a="1"/>
  <c r="AV94" i="4" s="1"/>
  <c r="AU94" i="4" a="1"/>
  <c r="AU94" i="4" s="1"/>
  <c r="AT94" i="4" a="1"/>
  <c r="AT94" i="4" s="1"/>
  <c r="AS94" i="4" a="1"/>
  <c r="AS94" i="4" s="1"/>
  <c r="AR94" i="4" a="1"/>
  <c r="AR94" i="4" s="1"/>
  <c r="AQ94" i="4" a="1"/>
  <c r="AQ94" i="4" s="1"/>
  <c r="AP94" i="4" a="1"/>
  <c r="AP94" i="4" s="1"/>
  <c r="AO94" i="4" a="1"/>
  <c r="AO94" i="4" s="1"/>
  <c r="AN94" i="4" a="1"/>
  <c r="AN94" i="4" s="1"/>
  <c r="AM94" i="4" a="1"/>
  <c r="AM94" i="4" s="1"/>
  <c r="AL94" i="4" a="1"/>
  <c r="AL94" i="4" s="1"/>
  <c r="AK94" i="4" a="1"/>
  <c r="AK94" i="4" s="1"/>
  <c r="AJ94" i="4" a="1"/>
  <c r="AJ94" i="4" s="1"/>
  <c r="AI94" i="4" a="1"/>
  <c r="AI94" i="4" s="1"/>
  <c r="AH94" i="4" a="1"/>
  <c r="AH94" i="4" s="1"/>
  <c r="AG94" i="4" a="1"/>
  <c r="AG94" i="4" s="1"/>
  <c r="AF94" i="4" a="1"/>
  <c r="AF94" i="4" s="1"/>
  <c r="BC93" i="4" a="1"/>
  <c r="BC93" i="4" s="1"/>
  <c r="BB93" i="4" a="1"/>
  <c r="BB93" i="4" s="1"/>
  <c r="BA93" i="4" a="1"/>
  <c r="BA93" i="4" s="1"/>
  <c r="AZ93" i="4" a="1"/>
  <c r="AZ93" i="4" s="1"/>
  <c r="AY93" i="4" a="1"/>
  <c r="AY93" i="4" s="1"/>
  <c r="AX93" i="4" a="1"/>
  <c r="AX93" i="4" s="1"/>
  <c r="AW93" i="4" a="1"/>
  <c r="AW93" i="4" s="1"/>
  <c r="AV93" i="4" a="1"/>
  <c r="AV93" i="4" s="1"/>
  <c r="AU93" i="4" a="1"/>
  <c r="AU93" i="4" s="1"/>
  <c r="AT93" i="4" a="1"/>
  <c r="AT93" i="4" s="1"/>
  <c r="AS93" i="4" a="1"/>
  <c r="AS93" i="4" s="1"/>
  <c r="AR93" i="4" a="1"/>
  <c r="AR93" i="4" s="1"/>
  <c r="AQ93" i="4" a="1"/>
  <c r="AQ93" i="4" s="1"/>
  <c r="AP93" i="4" a="1"/>
  <c r="AP93" i="4" s="1"/>
  <c r="AO93" i="4" a="1"/>
  <c r="AO93" i="4" s="1"/>
  <c r="AN93" i="4" a="1"/>
  <c r="AN93" i="4" s="1"/>
  <c r="AM93" i="4" a="1"/>
  <c r="AM93" i="4" s="1"/>
  <c r="AL93" i="4" a="1"/>
  <c r="AL93" i="4" s="1"/>
  <c r="AK93" i="4" a="1"/>
  <c r="AK93" i="4" s="1"/>
  <c r="AJ93" i="4" a="1"/>
  <c r="AJ93" i="4" s="1"/>
  <c r="AI93" i="4" a="1"/>
  <c r="AI93" i="4" s="1"/>
  <c r="AH93" i="4" a="1"/>
  <c r="AH93" i="4" s="1"/>
  <c r="AG93" i="4" a="1"/>
  <c r="AG93" i="4" s="1"/>
  <c r="AF93" i="4" a="1"/>
  <c r="AF93" i="4" s="1"/>
  <c r="BC92" i="4" a="1"/>
  <c r="BC92" i="4" s="1"/>
  <c r="BB92" i="4" a="1"/>
  <c r="BB92" i="4" s="1"/>
  <c r="BA92" i="4" a="1"/>
  <c r="BA92" i="4" s="1"/>
  <c r="AZ92" i="4" a="1"/>
  <c r="AZ92" i="4" s="1"/>
  <c r="AY92" i="4" a="1"/>
  <c r="AY92" i="4" s="1"/>
  <c r="AX92" i="4" a="1"/>
  <c r="AX92" i="4" s="1"/>
  <c r="AW92" i="4" a="1"/>
  <c r="AW92" i="4" s="1"/>
  <c r="AV92" i="4" a="1"/>
  <c r="AV92" i="4" s="1"/>
  <c r="AU92" i="4" a="1"/>
  <c r="AU92" i="4" s="1"/>
  <c r="AT92" i="4" a="1"/>
  <c r="AT92" i="4" s="1"/>
  <c r="AS92" i="4" a="1"/>
  <c r="AS92" i="4" s="1"/>
  <c r="AR92" i="4" a="1"/>
  <c r="AR92" i="4" s="1"/>
  <c r="AQ92" i="4" a="1"/>
  <c r="AQ92" i="4" s="1"/>
  <c r="AP92" i="4" a="1"/>
  <c r="AP92" i="4" s="1"/>
  <c r="AO92" i="4" a="1"/>
  <c r="AO92" i="4" s="1"/>
  <c r="AN92" i="4" a="1"/>
  <c r="AN92" i="4" s="1"/>
  <c r="AM92" i="4" a="1"/>
  <c r="AM92" i="4" s="1"/>
  <c r="AL92" i="4" a="1"/>
  <c r="AL92" i="4" s="1"/>
  <c r="AK92" i="4" a="1"/>
  <c r="AK92" i="4" s="1"/>
  <c r="AJ92" i="4" a="1"/>
  <c r="AJ92" i="4" s="1"/>
  <c r="AI92" i="4" a="1"/>
  <c r="AI92" i="4" s="1"/>
  <c r="AH92" i="4" a="1"/>
  <c r="AH92" i="4" s="1"/>
  <c r="AG92" i="4" a="1"/>
  <c r="AG92" i="4" s="1"/>
  <c r="AF92" i="4" a="1"/>
  <c r="AF92" i="4" s="1"/>
  <c r="BC91" i="4" a="1"/>
  <c r="BC91" i="4" s="1"/>
  <c r="BB91" i="4" a="1"/>
  <c r="BB91" i="4" s="1"/>
  <c r="BA91" i="4" a="1"/>
  <c r="BA91" i="4" s="1"/>
  <c r="AZ91" i="4" a="1"/>
  <c r="AZ91" i="4" s="1"/>
  <c r="AY91" i="4" a="1"/>
  <c r="AY91" i="4" s="1"/>
  <c r="AX91" i="4" a="1"/>
  <c r="AX91" i="4" s="1"/>
  <c r="AW91" i="4" a="1"/>
  <c r="AW91" i="4" s="1"/>
  <c r="AV91" i="4" a="1"/>
  <c r="AV91" i="4" s="1"/>
  <c r="AU91" i="4" a="1"/>
  <c r="AU91" i="4" s="1"/>
  <c r="AT91" i="4" a="1"/>
  <c r="AT91" i="4" s="1"/>
  <c r="AS91" i="4" a="1"/>
  <c r="AS91" i="4" s="1"/>
  <c r="AR91" i="4" a="1"/>
  <c r="AR91" i="4" s="1"/>
  <c r="AQ91" i="4" a="1"/>
  <c r="AQ91" i="4" s="1"/>
  <c r="AP91" i="4" a="1"/>
  <c r="AP91" i="4" s="1"/>
  <c r="AO91" i="4" a="1"/>
  <c r="AO91" i="4" s="1"/>
  <c r="AN91" i="4" a="1"/>
  <c r="AN91" i="4" s="1"/>
  <c r="AM91" i="4" a="1"/>
  <c r="AM91" i="4" s="1"/>
  <c r="AI91" i="4" a="1"/>
  <c r="AI91" i="4" s="1"/>
  <c r="AH91" i="4" a="1"/>
  <c r="AH91" i="4" s="1"/>
  <c r="AG91" i="4" a="1"/>
  <c r="AG91" i="4" s="1"/>
  <c r="AF91" i="4" a="1"/>
  <c r="AF91" i="4" s="1"/>
  <c r="BC90" i="4" a="1"/>
  <c r="BC90" i="4" s="1"/>
  <c r="BB90" i="4" a="1"/>
  <c r="BB90" i="4" s="1"/>
  <c r="AW90" i="4" a="1"/>
  <c r="AW90" i="4" s="1"/>
  <c r="AV90" i="4" a="1"/>
  <c r="AV90" i="4" s="1"/>
  <c r="AU90" i="4" a="1"/>
  <c r="AU90" i="4" s="1"/>
  <c r="AT90" i="4" a="1"/>
  <c r="AT90" i="4" s="1"/>
  <c r="AS90" i="4" a="1"/>
  <c r="AS90" i="4" s="1"/>
  <c r="AR90" i="4" a="1"/>
  <c r="AR90" i="4" s="1"/>
  <c r="AQ90" i="4" a="1"/>
  <c r="AQ90" i="4" s="1"/>
  <c r="AP90" i="4" a="1"/>
  <c r="AP90" i="4" s="1"/>
  <c r="AO90" i="4" a="1"/>
  <c r="AO90" i="4" s="1"/>
  <c r="AN90" i="4" a="1"/>
  <c r="AN90" i="4" s="1"/>
  <c r="AM90" i="4" a="1"/>
  <c r="AM90" i="4" s="1"/>
  <c r="AI90" i="4" a="1"/>
  <c r="AI90" i="4" s="1"/>
  <c r="AH90" i="4" a="1"/>
  <c r="AH90" i="4" s="1"/>
  <c r="AG90" i="4" a="1"/>
  <c r="AG90" i="4" s="1"/>
  <c r="AF90" i="4" a="1"/>
  <c r="AF90" i="4" s="1"/>
  <c r="BC89" i="4" a="1"/>
  <c r="BC89" i="4" s="1"/>
  <c r="BB89" i="4" a="1"/>
  <c r="BB89" i="4" s="1"/>
  <c r="BA89" i="4" a="1"/>
  <c r="BA89" i="4" s="1"/>
  <c r="AZ89" i="4" a="1"/>
  <c r="AZ89" i="4" s="1"/>
  <c r="AY89" i="4" a="1"/>
  <c r="AY89" i="4" s="1"/>
  <c r="AX89" i="4" a="1"/>
  <c r="AX89" i="4" s="1"/>
  <c r="AW89" i="4" a="1"/>
  <c r="AW89" i="4" s="1"/>
  <c r="AV89" i="4" a="1"/>
  <c r="AV89" i="4" s="1"/>
  <c r="AU89" i="4" a="1"/>
  <c r="AU89" i="4" s="1"/>
  <c r="AT89" i="4" a="1"/>
  <c r="AT89" i="4" s="1"/>
  <c r="AS89" i="4" a="1"/>
  <c r="AS89" i="4" s="1"/>
  <c r="AR89" i="4" a="1"/>
  <c r="AR89" i="4" s="1"/>
  <c r="AQ89" i="4" a="1"/>
  <c r="AQ89" i="4" s="1"/>
  <c r="AP89" i="4" a="1"/>
  <c r="AP89" i="4" s="1"/>
  <c r="AO89" i="4" a="1"/>
  <c r="AO89" i="4" s="1"/>
  <c r="AN89" i="4" a="1"/>
  <c r="AN89" i="4" s="1"/>
  <c r="AM89" i="4" a="1"/>
  <c r="AM89" i="4" s="1"/>
  <c r="AI89" i="4" a="1"/>
  <c r="AI89" i="4" s="1"/>
  <c r="AH89" i="4" a="1"/>
  <c r="AH89" i="4" s="1"/>
  <c r="AG89" i="4" a="1"/>
  <c r="AG89" i="4" s="1"/>
  <c r="AF89" i="4" a="1"/>
  <c r="AF89" i="4" s="1"/>
  <c r="BC88" i="4" a="1"/>
  <c r="BC88" i="4" s="1"/>
  <c r="BB88" i="4" a="1"/>
  <c r="BB88" i="4" s="1"/>
  <c r="BA88" i="4" a="1"/>
  <c r="BA88" i="4" s="1"/>
  <c r="AZ88" i="4" a="1"/>
  <c r="AZ88" i="4" s="1"/>
  <c r="AY88" i="4" a="1"/>
  <c r="AY88" i="4" s="1"/>
  <c r="AX88" i="4" a="1"/>
  <c r="AX88" i="4" s="1"/>
  <c r="AW88" i="4" a="1"/>
  <c r="AW88" i="4" s="1"/>
  <c r="AV88" i="4" a="1"/>
  <c r="AV88" i="4" s="1"/>
  <c r="AU88" i="4" a="1"/>
  <c r="AU88" i="4" s="1"/>
  <c r="AT88" i="4" a="1"/>
  <c r="AT88" i="4" s="1"/>
  <c r="AS88" i="4" a="1"/>
  <c r="AS88" i="4" s="1"/>
  <c r="AR88" i="4" a="1"/>
  <c r="AR88" i="4" s="1"/>
  <c r="AQ88" i="4" a="1"/>
  <c r="AQ88" i="4" s="1"/>
  <c r="AP88" i="4" a="1"/>
  <c r="AP88" i="4" s="1"/>
  <c r="AO88" i="4" a="1"/>
  <c r="AO88" i="4" s="1"/>
  <c r="AN88" i="4" a="1"/>
  <c r="AN88" i="4" s="1"/>
  <c r="AM88" i="4" a="1"/>
  <c r="AM88" i="4" s="1"/>
  <c r="AI88" i="4" a="1"/>
  <c r="AI88" i="4" s="1"/>
  <c r="AH88" i="4" a="1"/>
  <c r="AH88" i="4" s="1"/>
  <c r="AG88" i="4" a="1"/>
  <c r="AG88" i="4" s="1"/>
  <c r="AF88" i="4" a="1"/>
  <c r="AF88" i="4" s="1"/>
  <c r="BC87" i="4" a="1"/>
  <c r="BC87" i="4" s="1"/>
  <c r="BB87" i="4" a="1"/>
  <c r="BB87" i="4" s="1"/>
  <c r="BA87" i="4" a="1"/>
  <c r="BA87" i="4" s="1"/>
  <c r="AZ87" i="4" a="1"/>
  <c r="AZ87" i="4" s="1"/>
  <c r="AY87" i="4" a="1"/>
  <c r="AY87" i="4" s="1"/>
  <c r="AX87" i="4" a="1"/>
  <c r="AX87" i="4" s="1"/>
  <c r="AW87" i="4" a="1"/>
  <c r="AW87" i="4" s="1"/>
  <c r="AV87" i="4" a="1"/>
  <c r="AV87" i="4" s="1"/>
  <c r="AU87" i="4" a="1"/>
  <c r="AU87" i="4" s="1"/>
  <c r="AT87" i="4" a="1"/>
  <c r="AT87" i="4" s="1"/>
  <c r="AS87" i="4" a="1"/>
  <c r="AS87" i="4" s="1"/>
  <c r="AR87" i="4" a="1"/>
  <c r="AR87" i="4" s="1"/>
  <c r="AQ87" i="4" a="1"/>
  <c r="AQ87" i="4" s="1"/>
  <c r="AP87" i="4" a="1"/>
  <c r="AP87" i="4" s="1"/>
  <c r="AO87" i="4" a="1"/>
  <c r="AO87" i="4" s="1"/>
  <c r="AN87" i="4" a="1"/>
  <c r="AN87" i="4" s="1"/>
  <c r="AM87" i="4" a="1"/>
  <c r="AM87" i="4" s="1"/>
  <c r="AI87" i="4" a="1"/>
  <c r="AI87" i="4" s="1"/>
  <c r="AH87" i="4" a="1"/>
  <c r="AH87" i="4" s="1"/>
  <c r="AG87" i="4" a="1"/>
  <c r="AG87" i="4" s="1"/>
  <c r="AF87" i="4" a="1"/>
  <c r="AF87" i="4" s="1"/>
  <c r="BC86" i="4" a="1"/>
  <c r="BC86" i="4" s="1"/>
  <c r="BB86" i="4" a="1"/>
  <c r="BB86" i="4" s="1"/>
  <c r="BA86" i="4" a="1"/>
  <c r="BA86" i="4" s="1"/>
  <c r="AZ86" i="4" a="1"/>
  <c r="AZ86" i="4" s="1"/>
  <c r="AY86" i="4" a="1"/>
  <c r="AY86" i="4" s="1"/>
  <c r="AX86" i="4" a="1"/>
  <c r="AX86" i="4" s="1"/>
  <c r="AW86" i="4" a="1"/>
  <c r="AW86" i="4" s="1"/>
  <c r="AV86" i="4" a="1"/>
  <c r="AV86" i="4" s="1"/>
  <c r="AU86" i="4" a="1"/>
  <c r="AU86" i="4" s="1"/>
  <c r="AT86" i="4" a="1"/>
  <c r="AT86" i="4" s="1"/>
  <c r="AS86" i="4" a="1"/>
  <c r="AS86" i="4" s="1"/>
  <c r="AR86" i="4" a="1"/>
  <c r="AR86" i="4" s="1"/>
  <c r="AQ86" i="4" a="1"/>
  <c r="AQ86" i="4" s="1"/>
  <c r="AP86" i="4" a="1"/>
  <c r="AP86" i="4" s="1"/>
  <c r="AO86" i="4" a="1"/>
  <c r="AO86" i="4" s="1"/>
  <c r="AN86" i="4" a="1"/>
  <c r="AN86" i="4" s="1"/>
  <c r="AM86" i="4" a="1"/>
  <c r="AM86" i="4" s="1"/>
  <c r="AI86" i="4" a="1"/>
  <c r="AI86" i="4" s="1"/>
  <c r="AH86" i="4" a="1"/>
  <c r="AH86" i="4" s="1"/>
  <c r="AG86" i="4" a="1"/>
  <c r="AG86" i="4" s="1"/>
  <c r="AF86" i="4" a="1"/>
  <c r="AF86" i="4" s="1"/>
  <c r="BC85" i="4" a="1"/>
  <c r="BC85" i="4" s="1"/>
  <c r="BB85" i="4" a="1"/>
  <c r="BB85" i="4" s="1"/>
  <c r="AW85" i="4" a="1"/>
  <c r="AW85" i="4" s="1"/>
  <c r="AV85" i="4" a="1"/>
  <c r="AV85" i="4" s="1"/>
  <c r="AU85" i="4" a="1"/>
  <c r="AU85" i="4" s="1"/>
  <c r="AT85" i="4" a="1"/>
  <c r="AT85" i="4" s="1"/>
  <c r="AS85" i="4" a="1"/>
  <c r="AS85" i="4" s="1"/>
  <c r="AR85" i="4" a="1"/>
  <c r="AR85" i="4" s="1"/>
  <c r="AQ85" i="4" a="1"/>
  <c r="AQ85" i="4" s="1"/>
  <c r="AP85" i="4" a="1"/>
  <c r="AP85" i="4" s="1"/>
  <c r="AO85" i="4" a="1"/>
  <c r="AO85" i="4" s="1"/>
  <c r="AN85" i="4" a="1"/>
  <c r="AN85" i="4" s="1"/>
  <c r="AM85" i="4" a="1"/>
  <c r="AM85" i="4" s="1"/>
  <c r="AJ85" i="4" a="1"/>
  <c r="AJ85" i="4" s="1"/>
  <c r="AI85" i="4" a="1"/>
  <c r="AI85" i="4" s="1"/>
  <c r="AH85" i="4" a="1"/>
  <c r="AH85" i="4" s="1"/>
  <c r="AG85" i="4" a="1"/>
  <c r="AG85" i="4" s="1"/>
  <c r="AF85" i="4" a="1"/>
  <c r="AF85" i="4" s="1"/>
  <c r="BC82" i="4" a="1"/>
  <c r="BC82" i="4" s="1"/>
  <c r="BB82" i="4" a="1"/>
  <c r="BB82" i="4" s="1"/>
  <c r="AX82" i="4" a="1"/>
  <c r="AX82" i="4" s="1"/>
  <c r="AW82" i="4" a="1"/>
  <c r="AW82" i="4" s="1"/>
  <c r="AV82" i="4" a="1"/>
  <c r="AV82" i="4" s="1"/>
  <c r="AU82" i="4" a="1"/>
  <c r="AU82" i="4" s="1"/>
  <c r="AT82" i="4" a="1"/>
  <c r="AT82" i="4" s="1"/>
  <c r="AS82" i="4" a="1"/>
  <c r="AS82" i="4" s="1"/>
  <c r="AR82" i="4" a="1"/>
  <c r="AR82" i="4" s="1"/>
  <c r="AQ82" i="4" a="1"/>
  <c r="AQ82" i="4" s="1"/>
  <c r="AP82" i="4" a="1"/>
  <c r="AP82" i="4" s="1"/>
  <c r="AO82" i="4" a="1"/>
  <c r="AO82" i="4" s="1"/>
  <c r="AN82" i="4" a="1"/>
  <c r="AN82" i="4" s="1"/>
  <c r="AM82" i="4" a="1"/>
  <c r="AM82" i="4" s="1"/>
  <c r="AI82" i="4" a="1"/>
  <c r="AI82" i="4" s="1"/>
  <c r="AH82" i="4" a="1"/>
  <c r="AH82" i="4" s="1"/>
  <c r="AG82" i="4" a="1"/>
  <c r="AG82" i="4" s="1"/>
  <c r="AF82" i="4" a="1"/>
  <c r="AF82" i="4" s="1"/>
  <c r="BC81" i="4" a="1"/>
  <c r="BC81" i="4" s="1"/>
  <c r="BB81" i="4" a="1"/>
  <c r="BB81" i="4" s="1"/>
  <c r="AW81" i="4" a="1"/>
  <c r="AW81" i="4" s="1"/>
  <c r="AV81" i="4" a="1"/>
  <c r="AV81" i="4" s="1"/>
  <c r="AU81" i="4" a="1"/>
  <c r="AU81" i="4" s="1"/>
  <c r="AT81" i="4" a="1"/>
  <c r="AT81" i="4" s="1"/>
  <c r="AS81" i="4" a="1"/>
  <c r="AS81" i="4" s="1"/>
  <c r="AR81" i="4" a="1"/>
  <c r="AR81" i="4" s="1"/>
  <c r="AQ81" i="4" a="1"/>
  <c r="AQ81" i="4" s="1"/>
  <c r="AP81" i="4" a="1"/>
  <c r="AP81" i="4" s="1"/>
  <c r="AO81" i="4" a="1"/>
  <c r="AO81" i="4" s="1"/>
  <c r="AN81" i="4" a="1"/>
  <c r="AN81" i="4" s="1"/>
  <c r="AM81" i="4" a="1"/>
  <c r="AM81" i="4" s="1"/>
  <c r="AI81" i="4" a="1"/>
  <c r="AI81" i="4" s="1"/>
  <c r="AH81" i="4" a="1"/>
  <c r="AH81" i="4" s="1"/>
  <c r="AG81" i="4" a="1"/>
  <c r="AG81" i="4" s="1"/>
  <c r="AF81" i="4" a="1"/>
  <c r="AF81" i="4" s="1"/>
  <c r="BC80" i="4" a="1"/>
  <c r="BC80" i="4" s="1"/>
  <c r="BB80" i="4" a="1"/>
  <c r="BB80" i="4" s="1"/>
  <c r="AW80" i="4" a="1"/>
  <c r="AW80" i="4" s="1"/>
  <c r="AV80" i="4" a="1"/>
  <c r="AV80" i="4" s="1"/>
  <c r="AU80" i="4" a="1"/>
  <c r="AU80" i="4" s="1"/>
  <c r="AT80" i="4" a="1"/>
  <c r="AT80" i="4" s="1"/>
  <c r="AS80" i="4" a="1"/>
  <c r="AS80" i="4" s="1"/>
  <c r="AR80" i="4" a="1"/>
  <c r="AR80" i="4" s="1"/>
  <c r="AQ80" i="4" a="1"/>
  <c r="AQ80" i="4" s="1"/>
  <c r="AP80" i="4" a="1"/>
  <c r="AP80" i="4" s="1"/>
  <c r="AO80" i="4" a="1"/>
  <c r="AO80" i="4" s="1"/>
  <c r="AN80" i="4" a="1"/>
  <c r="AN80" i="4" s="1"/>
  <c r="AM80" i="4" a="1"/>
  <c r="AM80" i="4" s="1"/>
  <c r="AI80" i="4" a="1"/>
  <c r="AI80" i="4" s="1"/>
  <c r="AH80" i="4" a="1"/>
  <c r="AH80" i="4" s="1"/>
  <c r="AG80" i="4" a="1"/>
  <c r="AG80" i="4" s="1"/>
  <c r="AF80" i="4" a="1"/>
  <c r="AF80" i="4" s="1"/>
  <c r="BC79" i="4" a="1"/>
  <c r="BC79" i="4" s="1"/>
  <c r="BB79" i="4" a="1"/>
  <c r="BB79" i="4" s="1"/>
  <c r="AW79" i="4" a="1"/>
  <c r="AW79" i="4" s="1"/>
  <c r="AV79" i="4" a="1"/>
  <c r="AV79" i="4" s="1"/>
  <c r="AU79" i="4" a="1"/>
  <c r="AU79" i="4" s="1"/>
  <c r="AT79" i="4" a="1"/>
  <c r="AT79" i="4" s="1"/>
  <c r="AS79" i="4" a="1"/>
  <c r="AS79" i="4" s="1"/>
  <c r="AR79" i="4" a="1"/>
  <c r="AR79" i="4" s="1"/>
  <c r="AQ79" i="4" a="1"/>
  <c r="AQ79" i="4" s="1"/>
  <c r="AP79" i="4" a="1"/>
  <c r="AP79" i="4" s="1"/>
  <c r="AO79" i="4" a="1"/>
  <c r="AO79" i="4" s="1"/>
  <c r="AN79" i="4" a="1"/>
  <c r="AN79" i="4" s="1"/>
  <c r="AM79" i="4" a="1"/>
  <c r="AM79" i="4" s="1"/>
  <c r="AI79" i="4" a="1"/>
  <c r="AI79" i="4" s="1"/>
  <c r="AH79" i="4" a="1"/>
  <c r="AH79" i="4" s="1"/>
  <c r="AG79" i="4" a="1"/>
  <c r="AG79" i="4" s="1"/>
  <c r="AF79" i="4" a="1"/>
  <c r="AF79" i="4" s="1"/>
  <c r="BC66" i="4" a="1"/>
  <c r="BC66" i="4" s="1"/>
  <c r="BB66" i="4" a="1"/>
  <c r="BB66" i="4" s="1"/>
  <c r="AW66" i="4" a="1"/>
  <c r="AW66" i="4" s="1"/>
  <c r="AV66" i="4" a="1"/>
  <c r="AV66" i="4" s="1"/>
  <c r="AU66" i="4" a="1"/>
  <c r="AU66" i="4" s="1"/>
  <c r="AT66" i="4" a="1"/>
  <c r="AT66" i="4" s="1"/>
  <c r="AS66" i="4" a="1"/>
  <c r="AS66" i="4" s="1"/>
  <c r="AR66" i="4" a="1"/>
  <c r="AR66" i="4" s="1"/>
  <c r="AQ66" i="4" a="1"/>
  <c r="AQ66" i="4" s="1"/>
  <c r="AP66" i="4" a="1"/>
  <c r="AP66" i="4" s="1"/>
  <c r="AO66" i="4" a="1"/>
  <c r="AO66" i="4" s="1"/>
  <c r="AN66" i="4" a="1"/>
  <c r="AN66" i="4" s="1"/>
  <c r="AM66" i="4" a="1"/>
  <c r="AM66" i="4" s="1"/>
  <c r="AI66" i="4" a="1"/>
  <c r="AI66" i="4" s="1"/>
  <c r="AH66" i="4" a="1"/>
  <c r="AH66" i="4" s="1"/>
  <c r="AG66" i="4" a="1"/>
  <c r="AG66" i="4" s="1"/>
  <c r="AF66" i="4" a="1"/>
  <c r="AF66" i="4" s="1"/>
  <c r="BC78" i="4" a="1"/>
  <c r="BC78" i="4" s="1"/>
  <c r="BB78" i="4" a="1"/>
  <c r="BB78" i="4" s="1"/>
  <c r="AX78" i="4" a="1"/>
  <c r="AX78" i="4" s="1"/>
  <c r="AW78" i="4" a="1"/>
  <c r="AW78" i="4" s="1"/>
  <c r="AV78" i="4" a="1"/>
  <c r="AV78" i="4" s="1"/>
  <c r="AU78" i="4" a="1"/>
  <c r="AU78" i="4" s="1"/>
  <c r="AT78" i="4" a="1"/>
  <c r="AT78" i="4" s="1"/>
  <c r="AS78" i="4" a="1"/>
  <c r="AS78" i="4" s="1"/>
  <c r="AR78" i="4" a="1"/>
  <c r="AR78" i="4" s="1"/>
  <c r="AQ78" i="4" a="1"/>
  <c r="AQ78" i="4" s="1"/>
  <c r="AP78" i="4" a="1"/>
  <c r="AP78" i="4" s="1"/>
  <c r="AO78" i="4" a="1"/>
  <c r="AO78" i="4" s="1"/>
  <c r="AN78" i="4" a="1"/>
  <c r="AN78" i="4" s="1"/>
  <c r="AM78" i="4" a="1"/>
  <c r="AM78" i="4" s="1"/>
  <c r="AI78" i="4" a="1"/>
  <c r="AI78" i="4" s="1"/>
  <c r="AH78" i="4" a="1"/>
  <c r="AH78" i="4" s="1"/>
  <c r="AG78" i="4" a="1"/>
  <c r="AG78" i="4" s="1"/>
  <c r="AF78" i="4" a="1"/>
  <c r="AF78" i="4" s="1"/>
  <c r="BC77" i="4" a="1"/>
  <c r="BC77" i="4" s="1"/>
  <c r="BB77" i="4" a="1"/>
  <c r="BB77" i="4" s="1"/>
  <c r="AW77" i="4" a="1"/>
  <c r="AW77" i="4" s="1"/>
  <c r="AV77" i="4" a="1"/>
  <c r="AV77" i="4" s="1"/>
  <c r="AU77" i="4" a="1"/>
  <c r="AU77" i="4" s="1"/>
  <c r="AT77" i="4" a="1"/>
  <c r="AT77" i="4" s="1"/>
  <c r="AS77" i="4" a="1"/>
  <c r="AS77" i="4" s="1"/>
  <c r="AR77" i="4" a="1"/>
  <c r="AR77" i="4" s="1"/>
  <c r="AQ77" i="4" a="1"/>
  <c r="AQ77" i="4" s="1"/>
  <c r="AP77" i="4" a="1"/>
  <c r="AP77" i="4" s="1"/>
  <c r="AO77" i="4" a="1"/>
  <c r="AO77" i="4" s="1"/>
  <c r="AN77" i="4" a="1"/>
  <c r="AN77" i="4" s="1"/>
  <c r="AM77" i="4" a="1"/>
  <c r="AM77" i="4" s="1"/>
  <c r="AI77" i="4" a="1"/>
  <c r="AI77" i="4" s="1"/>
  <c r="AH77" i="4" a="1"/>
  <c r="AH77" i="4" s="1"/>
  <c r="AG77" i="4" a="1"/>
  <c r="AG77" i="4" s="1"/>
  <c r="AF77" i="4" a="1"/>
  <c r="AF77" i="4" s="1"/>
  <c r="BC76" i="4" a="1"/>
  <c r="BC76" i="4" s="1"/>
  <c r="BB76" i="4" a="1"/>
  <c r="BB76" i="4" s="1"/>
  <c r="BA76" i="4" a="1"/>
  <c r="BA76" i="4" s="1"/>
  <c r="AZ76" i="4" a="1"/>
  <c r="AZ76" i="4" s="1"/>
  <c r="AY76" i="4" a="1"/>
  <c r="AY76" i="4" s="1"/>
  <c r="AX76" i="4" a="1"/>
  <c r="AX76" i="4" s="1"/>
  <c r="AW76" i="4" a="1"/>
  <c r="AW76" i="4" s="1"/>
  <c r="AV76" i="4" a="1"/>
  <c r="AV76" i="4" s="1"/>
  <c r="AU76" i="4" a="1"/>
  <c r="AU76" i="4" s="1"/>
  <c r="AT76" i="4" a="1"/>
  <c r="AT76" i="4" s="1"/>
  <c r="AS76" i="4" a="1"/>
  <c r="AS76" i="4" s="1"/>
  <c r="AR76" i="4" a="1"/>
  <c r="AR76" i="4" s="1"/>
  <c r="AQ76" i="4" a="1"/>
  <c r="AQ76" i="4" s="1"/>
  <c r="AP76" i="4" a="1"/>
  <c r="AP76" i="4" s="1"/>
  <c r="AO76" i="4" a="1"/>
  <c r="AO76" i="4" s="1"/>
  <c r="AN76" i="4" a="1"/>
  <c r="AN76" i="4" s="1"/>
  <c r="AM76" i="4" a="1"/>
  <c r="AM76" i="4" s="1"/>
  <c r="AL76" i="4" a="1"/>
  <c r="AL76" i="4" s="1"/>
  <c r="AK76" i="4" a="1"/>
  <c r="AK76" i="4" s="1"/>
  <c r="AJ76" i="4" a="1"/>
  <c r="AJ76" i="4" s="1"/>
  <c r="AI76" i="4" a="1"/>
  <c r="AI76" i="4" s="1"/>
  <c r="AH76" i="4" a="1"/>
  <c r="AH76" i="4" s="1"/>
  <c r="AG76" i="4" a="1"/>
  <c r="AG76" i="4" s="1"/>
  <c r="AF76" i="4" a="1"/>
  <c r="AF76" i="4" s="1"/>
  <c r="BC75" i="4" a="1"/>
  <c r="BC75" i="4" s="1"/>
  <c r="BB75" i="4" a="1"/>
  <c r="BB75" i="4" s="1"/>
  <c r="BA75" i="4" a="1"/>
  <c r="BA75" i="4" s="1"/>
  <c r="AZ75" i="4" a="1"/>
  <c r="AZ75" i="4" s="1"/>
  <c r="AY75" i="4" a="1"/>
  <c r="AY75" i="4" s="1"/>
  <c r="AX75" i="4" a="1"/>
  <c r="AX75" i="4" s="1"/>
  <c r="AW75" i="4" a="1"/>
  <c r="AW75" i="4" s="1"/>
  <c r="AV75" i="4" a="1"/>
  <c r="AV75" i="4" s="1"/>
  <c r="AU75" i="4" a="1"/>
  <c r="AU75" i="4" s="1"/>
  <c r="AT75" i="4" a="1"/>
  <c r="AT75" i="4" s="1"/>
  <c r="AS75" i="4" a="1"/>
  <c r="AS75" i="4" s="1"/>
  <c r="AR75" i="4" a="1"/>
  <c r="AR75" i="4" s="1"/>
  <c r="AQ75" i="4" a="1"/>
  <c r="AQ75" i="4" s="1"/>
  <c r="AP75" i="4" a="1"/>
  <c r="AP75" i="4" s="1"/>
  <c r="AO75" i="4" a="1"/>
  <c r="AO75" i="4" s="1"/>
  <c r="AN75" i="4" a="1"/>
  <c r="AN75" i="4" s="1"/>
  <c r="AM75" i="4" a="1"/>
  <c r="AM75" i="4" s="1"/>
  <c r="AI75" i="4" a="1"/>
  <c r="AI75" i="4" s="1"/>
  <c r="AH75" i="4" a="1"/>
  <c r="AH75" i="4" s="1"/>
  <c r="AG75" i="4" a="1"/>
  <c r="AG75" i="4" s="1"/>
  <c r="AF75" i="4" a="1"/>
  <c r="AF75" i="4" s="1"/>
  <c r="BC74" i="4" a="1"/>
  <c r="BC74" i="4" s="1"/>
  <c r="BB74" i="4" a="1"/>
  <c r="BB74" i="4" s="1"/>
  <c r="BA74" i="4" a="1"/>
  <c r="BA74" i="4" s="1"/>
  <c r="AZ74" i="4" a="1"/>
  <c r="AZ74" i="4" s="1"/>
  <c r="AY74" i="4" a="1"/>
  <c r="AY74" i="4" s="1"/>
  <c r="AX74" i="4" a="1"/>
  <c r="AX74" i="4" s="1"/>
  <c r="AW74" i="4" a="1"/>
  <c r="AW74" i="4" s="1"/>
  <c r="AV74" i="4" a="1"/>
  <c r="AV74" i="4" s="1"/>
  <c r="AU74" i="4" a="1"/>
  <c r="AU74" i="4" s="1"/>
  <c r="AT74" i="4" a="1"/>
  <c r="AT74" i="4" s="1"/>
  <c r="AS74" i="4" a="1"/>
  <c r="AS74" i="4" s="1"/>
  <c r="AR74" i="4" a="1"/>
  <c r="AR74" i="4" s="1"/>
  <c r="AQ74" i="4" a="1"/>
  <c r="AQ74" i="4" s="1"/>
  <c r="AP74" i="4" a="1"/>
  <c r="AP74" i="4" s="1"/>
  <c r="AO74" i="4" a="1"/>
  <c r="AO74" i="4" s="1"/>
  <c r="AN74" i="4" a="1"/>
  <c r="AN74" i="4" s="1"/>
  <c r="AM74" i="4" a="1"/>
  <c r="AM74" i="4" s="1"/>
  <c r="AL74" i="4" a="1"/>
  <c r="AL74" i="4" s="1"/>
  <c r="AK74" i="4" a="1"/>
  <c r="AK74" i="4" s="1"/>
  <c r="AJ74" i="4" a="1"/>
  <c r="AJ74" i="4" s="1"/>
  <c r="AI74" i="4" a="1"/>
  <c r="AI74" i="4" s="1"/>
  <c r="AH74" i="4" a="1"/>
  <c r="AH74" i="4" s="1"/>
  <c r="AG74" i="4" a="1"/>
  <c r="AG74" i="4" s="1"/>
  <c r="AF74" i="4" a="1"/>
  <c r="AF74" i="4" s="1"/>
  <c r="BC37" i="4" a="1"/>
  <c r="BC37" i="4" s="1"/>
  <c r="BB37" i="4" a="1"/>
  <c r="BB37" i="4" s="1"/>
  <c r="AW37" i="4" a="1"/>
  <c r="AW37" i="4" s="1"/>
  <c r="AV37" i="4" a="1"/>
  <c r="AV37" i="4" s="1"/>
  <c r="AU37" i="4" a="1"/>
  <c r="AU37" i="4" s="1"/>
  <c r="AT37" i="4" a="1"/>
  <c r="AT37" i="4" s="1"/>
  <c r="AS37" i="4" a="1"/>
  <c r="AS37" i="4" s="1"/>
  <c r="AR37" i="4" a="1"/>
  <c r="AR37" i="4" s="1"/>
  <c r="AQ37" i="4" a="1"/>
  <c r="AQ37" i="4" s="1"/>
  <c r="AP37" i="4" a="1"/>
  <c r="AP37" i="4" s="1"/>
  <c r="AO37" i="4" a="1"/>
  <c r="AO37" i="4" s="1"/>
  <c r="AN37" i="4" a="1"/>
  <c r="AN37" i="4" s="1"/>
  <c r="AM37" i="4" a="1"/>
  <c r="AM37" i="4" s="1"/>
  <c r="AI37" i="4" a="1"/>
  <c r="AI37" i="4" s="1"/>
  <c r="AH37" i="4" a="1"/>
  <c r="AH37" i="4" s="1"/>
  <c r="AG37" i="4" a="1"/>
  <c r="AG37" i="4" s="1"/>
  <c r="AF37" i="4" a="1"/>
  <c r="AF37" i="4" s="1"/>
  <c r="BC27" i="4" a="1"/>
  <c r="BC27" i="4" s="1"/>
  <c r="BB27" i="4" a="1"/>
  <c r="BB27" i="4" s="1"/>
  <c r="BA27" i="4" a="1"/>
  <c r="BA27" i="4" s="1"/>
  <c r="AZ27" i="4" a="1"/>
  <c r="AZ27" i="4" s="1"/>
  <c r="AY27" i="4" a="1"/>
  <c r="AY27" i="4" s="1"/>
  <c r="AX27" i="4" a="1"/>
  <c r="AX27" i="4" s="1"/>
  <c r="AW27" i="4" a="1"/>
  <c r="AW27" i="4" s="1"/>
  <c r="AV27" i="4" a="1"/>
  <c r="AV27" i="4" s="1"/>
  <c r="AU27" i="4" a="1"/>
  <c r="AU27" i="4" s="1"/>
  <c r="AT27" i="4" a="1"/>
  <c r="AT27" i="4" s="1"/>
  <c r="AS27" i="4" a="1"/>
  <c r="AS27" i="4" s="1"/>
  <c r="AR27" i="4" a="1"/>
  <c r="AR27" i="4" s="1"/>
  <c r="AQ27" i="4" a="1"/>
  <c r="AQ27" i="4" s="1"/>
  <c r="AP27" i="4" a="1"/>
  <c r="AP27" i="4" s="1"/>
  <c r="AO27" i="4" a="1"/>
  <c r="AO27" i="4" s="1"/>
  <c r="AN27" i="4" a="1"/>
  <c r="AN27" i="4" s="1"/>
  <c r="AM27" i="4" a="1"/>
  <c r="AM27" i="4" s="1"/>
  <c r="AL27" i="4" a="1"/>
  <c r="AL27" i="4" s="1"/>
  <c r="AK27" i="4" a="1"/>
  <c r="AK27" i="4" s="1"/>
  <c r="AJ27" i="4" a="1"/>
  <c r="AJ27" i="4" s="1"/>
  <c r="AI27" i="4" a="1"/>
  <c r="AI27" i="4" s="1"/>
  <c r="AH27" i="4" a="1"/>
  <c r="AH27" i="4" s="1"/>
  <c r="AG27" i="4" a="1"/>
  <c r="AG27" i="4" s="1"/>
  <c r="AF27" i="4" a="1"/>
  <c r="AF27" i="4" s="1"/>
  <c r="BC54" i="4" a="1"/>
  <c r="BC54" i="4" s="1"/>
  <c r="BB54" i="4" a="1"/>
  <c r="BB54" i="4" s="1"/>
  <c r="BA54" i="4" a="1"/>
  <c r="BA54" i="4" s="1"/>
  <c r="AZ54" i="4" a="1"/>
  <c r="AZ54" i="4" s="1"/>
  <c r="AY54" i="4" a="1"/>
  <c r="AY54" i="4" s="1"/>
  <c r="AX54" i="4" a="1"/>
  <c r="AX54" i="4" s="1"/>
  <c r="AW54" i="4" a="1"/>
  <c r="AW54" i="4" s="1"/>
  <c r="AV54" i="4" a="1"/>
  <c r="AV54" i="4" s="1"/>
  <c r="AU54" i="4" a="1"/>
  <c r="AU54" i="4" s="1"/>
  <c r="AT54" i="4" a="1"/>
  <c r="AT54" i="4" s="1"/>
  <c r="AS54" i="4" a="1"/>
  <c r="AS54" i="4" s="1"/>
  <c r="AR54" i="4" a="1"/>
  <c r="AR54" i="4" s="1"/>
  <c r="AQ54" i="4" a="1"/>
  <c r="AQ54" i="4" s="1"/>
  <c r="AP54" i="4" a="1"/>
  <c r="AP54" i="4" s="1"/>
  <c r="AO54" i="4" a="1"/>
  <c r="AO54" i="4" s="1"/>
  <c r="AN54" i="4" a="1"/>
  <c r="AN54" i="4" s="1"/>
  <c r="AM54" i="4" a="1"/>
  <c r="AM54" i="4" s="1"/>
  <c r="AI54" i="4" a="1"/>
  <c r="AI54" i="4" s="1"/>
  <c r="AH54" i="4" a="1"/>
  <c r="AH54" i="4" s="1"/>
  <c r="AG54" i="4" a="1"/>
  <c r="AG54" i="4" s="1"/>
  <c r="AF54" i="4" a="1"/>
  <c r="AF54" i="4" s="1"/>
  <c r="BC58" i="4" a="1"/>
  <c r="BC58" i="4" s="1"/>
  <c r="BB58" i="4" a="1"/>
  <c r="BB58" i="4" s="1"/>
  <c r="AW58" i="4" a="1"/>
  <c r="AW58" i="4" s="1"/>
  <c r="AV58" i="4" a="1"/>
  <c r="AV58" i="4" s="1"/>
  <c r="AU58" i="4" a="1"/>
  <c r="AU58" i="4" s="1"/>
  <c r="AT58" i="4" a="1"/>
  <c r="AT58" i="4" s="1"/>
  <c r="AS58" i="4" a="1"/>
  <c r="AS58" i="4" s="1"/>
  <c r="AR58" i="4" a="1"/>
  <c r="AR58" i="4" s="1"/>
  <c r="AQ58" i="4" a="1"/>
  <c r="AQ58" i="4" s="1"/>
  <c r="AP58" i="4" a="1"/>
  <c r="AP58" i="4" s="1"/>
  <c r="AO58" i="4" a="1"/>
  <c r="AO58" i="4" s="1"/>
  <c r="AN58" i="4" a="1"/>
  <c r="AN58" i="4" s="1"/>
  <c r="AM58" i="4" a="1"/>
  <c r="AM58" i="4" s="1"/>
  <c r="AH58" i="4" a="1"/>
  <c r="AH58" i="4" s="1"/>
  <c r="AG58" i="4" a="1"/>
  <c r="AG58" i="4" s="1"/>
  <c r="AF58" i="4" a="1"/>
  <c r="AF58" i="4" s="1"/>
  <c r="BC26" i="4" a="1"/>
  <c r="BC26" i="4" s="1"/>
  <c r="BB26" i="4" a="1"/>
  <c r="BB26" i="4" s="1"/>
  <c r="BA26" i="4" a="1"/>
  <c r="BA26" i="4" s="1"/>
  <c r="AZ26" i="4" a="1"/>
  <c r="AZ26" i="4" s="1"/>
  <c r="AY26" i="4" a="1"/>
  <c r="AY26" i="4" s="1"/>
  <c r="AX26" i="4" a="1"/>
  <c r="AX26" i="4" s="1"/>
  <c r="AW26" i="4" a="1"/>
  <c r="AW26" i="4" s="1"/>
  <c r="AV26" i="4" a="1"/>
  <c r="AV26" i="4" s="1"/>
  <c r="AU26" i="4" a="1"/>
  <c r="AU26" i="4" s="1"/>
  <c r="AT26" i="4" a="1"/>
  <c r="AT26" i="4" s="1"/>
  <c r="AS26" i="4" a="1"/>
  <c r="AS26" i="4" s="1"/>
  <c r="AR26" i="4" a="1"/>
  <c r="AR26" i="4" s="1"/>
  <c r="AQ26" i="4" a="1"/>
  <c r="AQ26" i="4" s="1"/>
  <c r="AP26" i="4" a="1"/>
  <c r="AP26" i="4" s="1"/>
  <c r="AO26" i="4" a="1"/>
  <c r="AO26" i="4" s="1"/>
  <c r="AN26" i="4" a="1"/>
  <c r="AN26" i="4" s="1"/>
  <c r="AM26" i="4" a="1"/>
  <c r="AM26" i="4" s="1"/>
  <c r="AI26" i="4" a="1"/>
  <c r="AI26" i="4" s="1"/>
  <c r="AH26" i="4" a="1"/>
  <c r="AH26" i="4" s="1"/>
  <c r="AG26" i="4" a="1"/>
  <c r="AG26" i="4" s="1"/>
  <c r="AF26" i="4" a="1"/>
  <c r="AF26" i="4" s="1"/>
  <c r="BC57" i="4" a="1"/>
  <c r="BC57" i="4" s="1"/>
  <c r="BB57" i="4" a="1"/>
  <c r="BB57" i="4" s="1"/>
  <c r="AW57" i="4" a="1"/>
  <c r="AW57" i="4" s="1"/>
  <c r="AV57" i="4" a="1"/>
  <c r="AV57" i="4" s="1"/>
  <c r="AU57" i="4" a="1"/>
  <c r="AU57" i="4" s="1"/>
  <c r="AT57" i="4" a="1"/>
  <c r="AT57" i="4" s="1"/>
  <c r="AS57" i="4" a="1"/>
  <c r="AS57" i="4" s="1"/>
  <c r="AR57" i="4" a="1"/>
  <c r="AR57" i="4" s="1"/>
  <c r="AQ57" i="4" a="1"/>
  <c r="AQ57" i="4" s="1"/>
  <c r="AP57" i="4" a="1"/>
  <c r="AP57" i="4" s="1"/>
  <c r="AO57" i="4" a="1"/>
  <c r="AO57" i="4" s="1"/>
  <c r="AN57" i="4" a="1"/>
  <c r="AN57" i="4" s="1"/>
  <c r="AM57" i="4" a="1"/>
  <c r="AM57" i="4" s="1"/>
  <c r="AI57" i="4" a="1"/>
  <c r="AI57" i="4" s="1"/>
  <c r="AH57" i="4" a="1"/>
  <c r="AH57" i="4" s="1"/>
  <c r="AG57" i="4" a="1"/>
  <c r="AG57" i="4" s="1"/>
  <c r="AF57" i="4" a="1"/>
  <c r="AF57" i="4" s="1"/>
  <c r="BC50" i="4" a="1"/>
  <c r="BC50" i="4" s="1"/>
  <c r="BB50" i="4" a="1"/>
  <c r="BB50" i="4" s="1"/>
  <c r="AW50" i="4" a="1"/>
  <c r="AW50" i="4" s="1"/>
  <c r="AV50" i="4" a="1"/>
  <c r="AV50" i="4" s="1"/>
  <c r="AU50" i="4" a="1"/>
  <c r="AU50" i="4" s="1"/>
  <c r="AT50" i="4" a="1"/>
  <c r="AT50" i="4" s="1"/>
  <c r="AS50" i="4" a="1"/>
  <c r="AS50" i="4" s="1"/>
  <c r="AR50" i="4" a="1"/>
  <c r="AR50" i="4" s="1"/>
  <c r="AQ50" i="4" a="1"/>
  <c r="AQ50" i="4" s="1"/>
  <c r="AP50" i="4" a="1"/>
  <c r="AP50" i="4" s="1"/>
  <c r="AO50" i="4" a="1"/>
  <c r="AO50" i="4" s="1"/>
  <c r="AN50" i="4" a="1"/>
  <c r="AN50" i="4" s="1"/>
  <c r="AM50" i="4" a="1"/>
  <c r="AM50" i="4" s="1"/>
  <c r="AI50" i="4" a="1"/>
  <c r="AI50" i="4" s="1"/>
  <c r="AH50" i="4" a="1"/>
  <c r="AH50" i="4" s="1"/>
  <c r="AG50" i="4" a="1"/>
  <c r="AG50" i="4" s="1"/>
  <c r="AF50" i="4" a="1"/>
  <c r="AF50" i="4" s="1"/>
  <c r="BC64" i="4" a="1"/>
  <c r="BC64" i="4" s="1"/>
  <c r="BB64" i="4" a="1"/>
  <c r="BB64" i="4" s="1"/>
  <c r="AW64" i="4" a="1"/>
  <c r="AW64" i="4" s="1"/>
  <c r="AV64" i="4" a="1"/>
  <c r="AV64" i="4" s="1"/>
  <c r="AU64" i="4" a="1"/>
  <c r="AU64" i="4" s="1"/>
  <c r="AT64" i="4" a="1"/>
  <c r="AT64" i="4" s="1"/>
  <c r="AS64" i="4" a="1"/>
  <c r="AS64" i="4" s="1"/>
  <c r="AR64" i="4" a="1"/>
  <c r="AR64" i="4" s="1"/>
  <c r="AQ64" i="4" a="1"/>
  <c r="AQ64" i="4" s="1"/>
  <c r="AP64" i="4" a="1"/>
  <c r="AP64" i="4" s="1"/>
  <c r="AO64" i="4" a="1"/>
  <c r="AO64" i="4" s="1"/>
  <c r="AN64" i="4" a="1"/>
  <c r="AN64" i="4" s="1"/>
  <c r="AM64" i="4" a="1"/>
  <c r="AM64" i="4" s="1"/>
  <c r="AI64" i="4" a="1"/>
  <c r="AI64" i="4" s="1"/>
  <c r="AH64" i="4" a="1"/>
  <c r="AH64" i="4" s="1"/>
  <c r="AG64" i="4" a="1"/>
  <c r="AG64" i="4" s="1"/>
  <c r="AF64" i="4" a="1"/>
  <c r="AF64" i="4" s="1"/>
  <c r="BC25" i="4" a="1"/>
  <c r="BC25" i="4" s="1"/>
  <c r="BB25" i="4" a="1"/>
  <c r="BB25" i="4" s="1"/>
  <c r="BA25" i="4" a="1"/>
  <c r="BA25" i="4" s="1"/>
  <c r="AZ25" i="4" a="1"/>
  <c r="AZ25" i="4" s="1"/>
  <c r="AY25" i="4" a="1"/>
  <c r="AY25" i="4" s="1"/>
  <c r="AX25" i="4" a="1"/>
  <c r="AX25" i="4" s="1"/>
  <c r="AW25" i="4" a="1"/>
  <c r="AW25" i="4" s="1"/>
  <c r="AV25" i="4" a="1"/>
  <c r="AV25" i="4" s="1"/>
  <c r="AU25" i="4" a="1"/>
  <c r="AU25" i="4" s="1"/>
  <c r="AT25" i="4" a="1"/>
  <c r="AT25" i="4" s="1"/>
  <c r="AS25" i="4" a="1"/>
  <c r="AS25" i="4" s="1"/>
  <c r="AR25" i="4" a="1"/>
  <c r="AR25" i="4" s="1"/>
  <c r="AQ25" i="4" a="1"/>
  <c r="AQ25" i="4" s="1"/>
  <c r="AP25" i="4" a="1"/>
  <c r="AP25" i="4" s="1"/>
  <c r="AO25" i="4" a="1"/>
  <c r="AO25" i="4" s="1"/>
  <c r="AN25" i="4" a="1"/>
  <c r="AN25" i="4" s="1"/>
  <c r="AM25" i="4" a="1"/>
  <c r="AM25" i="4" s="1"/>
  <c r="AL25" i="4" a="1"/>
  <c r="AL25" i="4" s="1"/>
  <c r="AK25" i="4" a="1"/>
  <c r="AK25" i="4" s="1"/>
  <c r="AJ25" i="4" a="1"/>
  <c r="AJ25" i="4" s="1"/>
  <c r="AI25" i="4" a="1"/>
  <c r="AI25" i="4" s="1"/>
  <c r="AH25" i="4" a="1"/>
  <c r="AH25" i="4" s="1"/>
  <c r="AG25" i="4" a="1"/>
  <c r="AG25" i="4" s="1"/>
  <c r="AF25" i="4" a="1"/>
  <c r="AF25" i="4" s="1"/>
  <c r="BC63" i="4" a="1"/>
  <c r="BC63" i="4" s="1"/>
  <c r="BB63" i="4" a="1"/>
  <c r="BB63" i="4" s="1"/>
  <c r="AW63" i="4" a="1"/>
  <c r="AW63" i="4" s="1"/>
  <c r="AV63" i="4" a="1"/>
  <c r="AV63" i="4" s="1"/>
  <c r="AU63" i="4" a="1"/>
  <c r="AU63" i="4" s="1"/>
  <c r="AT63" i="4" a="1"/>
  <c r="AT63" i="4" s="1"/>
  <c r="AS63" i="4" a="1"/>
  <c r="AS63" i="4" s="1"/>
  <c r="AR63" i="4" a="1"/>
  <c r="AR63" i="4" s="1"/>
  <c r="AQ63" i="4" a="1"/>
  <c r="AQ63" i="4" s="1"/>
  <c r="AP63" i="4" a="1"/>
  <c r="AP63" i="4" s="1"/>
  <c r="AO63" i="4" a="1"/>
  <c r="AO63" i="4" s="1"/>
  <c r="AN63" i="4" a="1"/>
  <c r="AN63" i="4" s="1"/>
  <c r="AM63" i="4" a="1"/>
  <c r="AM63" i="4" s="1"/>
  <c r="AI63" i="4" a="1"/>
  <c r="AI63" i="4" s="1"/>
  <c r="AH63" i="4" a="1"/>
  <c r="AH63" i="4" s="1"/>
  <c r="AG63" i="4" a="1"/>
  <c r="AG63" i="4" s="1"/>
  <c r="AF63" i="4" a="1"/>
  <c r="AF63" i="4" s="1"/>
  <c r="BC39" i="4" a="1"/>
  <c r="BC39" i="4" s="1"/>
  <c r="BB39" i="4" a="1"/>
  <c r="BB39" i="4" s="1"/>
  <c r="AW39" i="4" a="1"/>
  <c r="AW39" i="4" s="1"/>
  <c r="AV39" i="4" a="1"/>
  <c r="AV39" i="4" s="1"/>
  <c r="AU39" i="4" a="1"/>
  <c r="AU39" i="4" s="1"/>
  <c r="AT39" i="4" a="1"/>
  <c r="AT39" i="4" s="1"/>
  <c r="AS39" i="4" a="1"/>
  <c r="AS39" i="4" s="1"/>
  <c r="AR39" i="4" a="1"/>
  <c r="AR39" i="4" s="1"/>
  <c r="AQ39" i="4" a="1"/>
  <c r="AQ39" i="4" s="1"/>
  <c r="AP39" i="4" a="1"/>
  <c r="AP39" i="4" s="1"/>
  <c r="AO39" i="4" a="1"/>
  <c r="AO39" i="4" s="1"/>
  <c r="AN39" i="4" a="1"/>
  <c r="AN39" i="4" s="1"/>
  <c r="AM39" i="4" a="1"/>
  <c r="AM39" i="4" s="1"/>
  <c r="AI39" i="4" a="1"/>
  <c r="AI39" i="4" s="1"/>
  <c r="AH39" i="4" a="1"/>
  <c r="AH39" i="4" s="1"/>
  <c r="AG39" i="4" a="1"/>
  <c r="AG39" i="4" s="1"/>
  <c r="AF39" i="4" a="1"/>
  <c r="AF39" i="4" s="1"/>
  <c r="BC24" i="4" a="1"/>
  <c r="BC24" i="4" s="1"/>
  <c r="BB24" i="4" a="1"/>
  <c r="BB24" i="4" s="1"/>
  <c r="BA24" i="4" a="1"/>
  <c r="BA24" i="4" s="1"/>
  <c r="AZ24" i="4" a="1"/>
  <c r="AZ24" i="4" s="1"/>
  <c r="AY24" i="4" a="1"/>
  <c r="AY24" i="4" s="1"/>
  <c r="AX24" i="4" a="1"/>
  <c r="AX24" i="4" s="1"/>
  <c r="AW24" i="4" a="1"/>
  <c r="AW24" i="4" s="1"/>
  <c r="AV24" i="4" a="1"/>
  <c r="AV24" i="4" s="1"/>
  <c r="AU24" i="4" a="1"/>
  <c r="AU24" i="4" s="1"/>
  <c r="AT24" i="4" a="1"/>
  <c r="AT24" i="4" s="1"/>
  <c r="AS24" i="4" a="1"/>
  <c r="AS24" i="4" s="1"/>
  <c r="AR24" i="4" a="1"/>
  <c r="AR24" i="4" s="1"/>
  <c r="AQ24" i="4" a="1"/>
  <c r="AQ24" i="4" s="1"/>
  <c r="AP24" i="4" a="1"/>
  <c r="AP24" i="4" s="1"/>
  <c r="AO24" i="4" a="1"/>
  <c r="AO24" i="4" s="1"/>
  <c r="AN24" i="4" a="1"/>
  <c r="AN24" i="4" s="1"/>
  <c r="AM24" i="4" a="1"/>
  <c r="AM24" i="4" s="1"/>
  <c r="AL24" i="4" a="1"/>
  <c r="AL24" i="4" s="1"/>
  <c r="AK24" i="4" a="1"/>
  <c r="AK24" i="4" s="1"/>
  <c r="AJ24" i="4" a="1"/>
  <c r="AJ24" i="4" s="1"/>
  <c r="AI24" i="4" a="1"/>
  <c r="AI24" i="4" s="1"/>
  <c r="AH24" i="4" a="1"/>
  <c r="AH24" i="4" s="1"/>
  <c r="AG24" i="4" a="1"/>
  <c r="AG24" i="4" s="1"/>
  <c r="AF24" i="4" a="1"/>
  <c r="AF24" i="4" s="1"/>
  <c r="BC60" i="4" a="1"/>
  <c r="BC60" i="4" s="1"/>
  <c r="BB60" i="4" a="1"/>
  <c r="BB60" i="4" s="1"/>
  <c r="AW60" i="4" a="1"/>
  <c r="AW60" i="4" s="1"/>
  <c r="AV60" i="4" a="1"/>
  <c r="AV60" i="4" s="1"/>
  <c r="AU60" i="4" a="1"/>
  <c r="AU60" i="4" s="1"/>
  <c r="AT60" i="4" a="1"/>
  <c r="AT60" i="4" s="1"/>
  <c r="AS60" i="4" a="1"/>
  <c r="AS60" i="4" s="1"/>
  <c r="AR60" i="4" a="1"/>
  <c r="AR60" i="4" s="1"/>
  <c r="AQ60" i="4" a="1"/>
  <c r="AQ60" i="4" s="1"/>
  <c r="AP60" i="4" a="1"/>
  <c r="AP60" i="4" s="1"/>
  <c r="AO60" i="4" a="1"/>
  <c r="AO60" i="4" s="1"/>
  <c r="AN60" i="4" a="1"/>
  <c r="AN60" i="4" s="1"/>
  <c r="AM60" i="4" a="1"/>
  <c r="AM60" i="4" s="1"/>
  <c r="AI60" i="4" a="1"/>
  <c r="AI60" i="4" s="1"/>
  <c r="AH60" i="4" a="1"/>
  <c r="AH60" i="4" s="1"/>
  <c r="AG60" i="4" a="1"/>
  <c r="AG60" i="4" s="1"/>
  <c r="AF60" i="4" a="1"/>
  <c r="AF60" i="4" s="1"/>
  <c r="BC41" i="4" a="1"/>
  <c r="BC41" i="4" s="1"/>
  <c r="BB41" i="4" a="1"/>
  <c r="BB41" i="4" s="1"/>
  <c r="AW41" i="4" a="1"/>
  <c r="AW41" i="4" s="1"/>
  <c r="AV41" i="4" a="1"/>
  <c r="AV41" i="4" s="1"/>
  <c r="AU41" i="4" a="1"/>
  <c r="AU41" i="4" s="1"/>
  <c r="AT41" i="4" a="1"/>
  <c r="AT41" i="4" s="1"/>
  <c r="AS41" i="4" a="1"/>
  <c r="AS41" i="4" s="1"/>
  <c r="AR41" i="4" a="1"/>
  <c r="AR41" i="4" s="1"/>
  <c r="AQ41" i="4" a="1"/>
  <c r="AQ41" i="4" s="1"/>
  <c r="AP41" i="4" a="1"/>
  <c r="AP41" i="4" s="1"/>
  <c r="AO41" i="4" a="1"/>
  <c r="AO41" i="4" s="1"/>
  <c r="AN41" i="4" a="1"/>
  <c r="AN41" i="4" s="1"/>
  <c r="AM41" i="4" a="1"/>
  <c r="AM41" i="4" s="1"/>
  <c r="AI41" i="4" a="1"/>
  <c r="AI41" i="4" s="1"/>
  <c r="AH41" i="4" a="1"/>
  <c r="AH41" i="4" s="1"/>
  <c r="AG41" i="4" a="1"/>
  <c r="AG41" i="4" s="1"/>
  <c r="AF41" i="4" a="1"/>
  <c r="AF41" i="4" s="1"/>
  <c r="BC72" i="4" a="1"/>
  <c r="BC72" i="4" s="1"/>
  <c r="BB72" i="4" a="1"/>
  <c r="BB72" i="4" s="1"/>
  <c r="BA72" i="4" a="1"/>
  <c r="BA72" i="4" s="1"/>
  <c r="AZ72" i="4" a="1"/>
  <c r="AZ72" i="4" s="1"/>
  <c r="AY72" i="4" a="1"/>
  <c r="AY72" i="4" s="1"/>
  <c r="AX72" i="4" a="1"/>
  <c r="AX72" i="4" s="1"/>
  <c r="AW72" i="4" a="1"/>
  <c r="AW72" i="4" s="1"/>
  <c r="AV72" i="4" a="1"/>
  <c r="AV72" i="4" s="1"/>
  <c r="AU72" i="4" a="1"/>
  <c r="AU72" i="4" s="1"/>
  <c r="AT72" i="4" a="1"/>
  <c r="AT72" i="4" s="1"/>
  <c r="AS72" i="4" a="1"/>
  <c r="AS72" i="4" s="1"/>
  <c r="AR72" i="4" a="1"/>
  <c r="AR72" i="4" s="1"/>
  <c r="AQ72" i="4" a="1"/>
  <c r="AQ72" i="4" s="1"/>
  <c r="AP72" i="4" a="1"/>
  <c r="AP72" i="4" s="1"/>
  <c r="AO72" i="4" a="1"/>
  <c r="AO72" i="4" s="1"/>
  <c r="AN72" i="4" a="1"/>
  <c r="AN72" i="4" s="1"/>
  <c r="AM72" i="4" a="1"/>
  <c r="AM72" i="4" s="1"/>
  <c r="AI72" i="4" a="1"/>
  <c r="AI72" i="4" s="1"/>
  <c r="AH72" i="4" a="1"/>
  <c r="AH72" i="4" s="1"/>
  <c r="AG72" i="4" a="1"/>
  <c r="AG72" i="4" s="1"/>
  <c r="AF72" i="4" a="1"/>
  <c r="AF72" i="4" s="1"/>
  <c r="BC42" i="4" a="1"/>
  <c r="BC42" i="4" s="1"/>
  <c r="BB42" i="4" a="1"/>
  <c r="BB42" i="4" s="1"/>
  <c r="BA42" i="4" a="1"/>
  <c r="BA42" i="4" s="1"/>
  <c r="AZ42" i="4" a="1"/>
  <c r="AZ42" i="4" s="1"/>
  <c r="AY42" i="4" a="1"/>
  <c r="AY42" i="4" s="1"/>
  <c r="AX42" i="4" a="1"/>
  <c r="AX42" i="4" s="1"/>
  <c r="AW42" i="4" a="1"/>
  <c r="AW42" i="4" s="1"/>
  <c r="AV42" i="4" a="1"/>
  <c r="AV42" i="4" s="1"/>
  <c r="AU42" i="4" a="1"/>
  <c r="AU42" i="4" s="1"/>
  <c r="AT42" i="4" a="1"/>
  <c r="AT42" i="4" s="1"/>
  <c r="AS42" i="4" a="1"/>
  <c r="AS42" i="4" s="1"/>
  <c r="AR42" i="4" a="1"/>
  <c r="AR42" i="4" s="1"/>
  <c r="AQ42" i="4" a="1"/>
  <c r="AQ42" i="4" s="1"/>
  <c r="AP42" i="4" a="1"/>
  <c r="AP42" i="4" s="1"/>
  <c r="AO42" i="4" a="1"/>
  <c r="AO42" i="4" s="1"/>
  <c r="AN42" i="4" a="1"/>
  <c r="AN42" i="4" s="1"/>
  <c r="AM42" i="4" a="1"/>
  <c r="AM42" i="4" s="1"/>
  <c r="AL42" i="4" a="1"/>
  <c r="AL42" i="4" s="1"/>
  <c r="AK42" i="4" a="1"/>
  <c r="AK42" i="4" s="1"/>
  <c r="AJ42" i="4" a="1"/>
  <c r="AJ42" i="4" s="1"/>
  <c r="AI42" i="4" a="1"/>
  <c r="AI42" i="4" s="1"/>
  <c r="AH42" i="4" a="1"/>
  <c r="AH42" i="4" s="1"/>
  <c r="AG42" i="4" a="1"/>
  <c r="AG42" i="4" s="1"/>
  <c r="AF42" i="4" a="1"/>
  <c r="AF42" i="4" s="1"/>
  <c r="BC36" i="4" a="1"/>
  <c r="BC36" i="4" s="1"/>
  <c r="BB36" i="4" a="1"/>
  <c r="BB36" i="4" s="1"/>
  <c r="BA36" i="4" a="1"/>
  <c r="BA36" i="4" s="1"/>
  <c r="AZ36" i="4" a="1"/>
  <c r="AZ36" i="4" s="1"/>
  <c r="AY36" i="4" a="1"/>
  <c r="AY36" i="4" s="1"/>
  <c r="AX36" i="4" a="1"/>
  <c r="AX36" i="4" s="1"/>
  <c r="AW36" i="4" a="1"/>
  <c r="AW36" i="4" s="1"/>
  <c r="AV36" i="4" a="1"/>
  <c r="AV36" i="4" s="1"/>
  <c r="AU36" i="4" a="1"/>
  <c r="AU36" i="4" s="1"/>
  <c r="AT36" i="4" a="1"/>
  <c r="AT36" i="4" s="1"/>
  <c r="AS36" i="4" a="1"/>
  <c r="AS36" i="4" s="1"/>
  <c r="AR36" i="4" a="1"/>
  <c r="AR36" i="4" s="1"/>
  <c r="AQ36" i="4" a="1"/>
  <c r="AQ36" i="4" s="1"/>
  <c r="AP36" i="4" a="1"/>
  <c r="AP36" i="4" s="1"/>
  <c r="AO36" i="4" a="1"/>
  <c r="AO36" i="4" s="1"/>
  <c r="AN36" i="4" a="1"/>
  <c r="AN36" i="4" s="1"/>
  <c r="AM36" i="4" a="1"/>
  <c r="AM36" i="4" s="1"/>
  <c r="AL36" i="4" a="1"/>
  <c r="AL36" i="4" s="1"/>
  <c r="AK36" i="4" a="1"/>
  <c r="AK36" i="4" s="1"/>
  <c r="AJ36" i="4" a="1"/>
  <c r="AJ36" i="4" s="1"/>
  <c r="AI36" i="4" a="1"/>
  <c r="AI36" i="4" s="1"/>
  <c r="AH36" i="4" a="1"/>
  <c r="AH36" i="4" s="1"/>
  <c r="AG36" i="4" a="1"/>
  <c r="AG36" i="4" s="1"/>
  <c r="AF36" i="4" a="1"/>
  <c r="AF36" i="4" s="1"/>
  <c r="BC84" i="4" a="1"/>
  <c r="BC84" i="4" s="1"/>
  <c r="BB84" i="4" a="1"/>
  <c r="BB84" i="4" s="1"/>
  <c r="BA84" i="4" a="1"/>
  <c r="BA84" i="4" s="1"/>
  <c r="AZ84" i="4" a="1"/>
  <c r="AZ84" i="4" s="1"/>
  <c r="AY84" i="4" a="1"/>
  <c r="AY84" i="4" s="1"/>
  <c r="AX84" i="4" a="1"/>
  <c r="AX84" i="4" s="1"/>
  <c r="AW84" i="4" a="1"/>
  <c r="AW84" i="4" s="1"/>
  <c r="AV84" i="4" a="1"/>
  <c r="AV84" i="4" s="1"/>
  <c r="AU84" i="4" a="1"/>
  <c r="AU84" i="4" s="1"/>
  <c r="AT84" i="4" a="1"/>
  <c r="AT84" i="4" s="1"/>
  <c r="AS84" i="4" a="1"/>
  <c r="AS84" i="4" s="1"/>
  <c r="AR84" i="4" a="1"/>
  <c r="AR84" i="4" s="1"/>
  <c r="AQ84" i="4" a="1"/>
  <c r="AQ84" i="4" s="1"/>
  <c r="AP84" i="4" a="1"/>
  <c r="AP84" i="4" s="1"/>
  <c r="AO84" i="4" a="1"/>
  <c r="AO84" i="4" s="1"/>
  <c r="AN84" i="4" a="1"/>
  <c r="AN84" i="4" s="1"/>
  <c r="AM84" i="4" a="1"/>
  <c r="AM84" i="4" s="1"/>
  <c r="AL84" i="4" a="1"/>
  <c r="AL84" i="4" s="1"/>
  <c r="AK84" i="4" a="1"/>
  <c r="AK84" i="4" s="1"/>
  <c r="AJ84" i="4" a="1"/>
  <c r="AJ84" i="4" s="1"/>
  <c r="AI84" i="4" a="1"/>
  <c r="AI84" i="4" s="1"/>
  <c r="AH84" i="4" a="1"/>
  <c r="AH84" i="4" s="1"/>
  <c r="AG84" i="4" a="1"/>
  <c r="AG84" i="4" s="1"/>
  <c r="AF84" i="4" a="1"/>
  <c r="AF84" i="4" s="1"/>
  <c r="BC33" i="4" a="1"/>
  <c r="BC33" i="4" s="1"/>
  <c r="BB33" i="4" a="1"/>
  <c r="BB33" i="4" s="1"/>
  <c r="BA33" i="4" a="1"/>
  <c r="BA33" i="4" s="1"/>
  <c r="AZ33" i="4" a="1"/>
  <c r="AZ33" i="4" s="1"/>
  <c r="AY33" i="4" a="1"/>
  <c r="AY33" i="4" s="1"/>
  <c r="AX33" i="4" a="1"/>
  <c r="AX33" i="4" s="1"/>
  <c r="AW33" i="4" a="1"/>
  <c r="AW33" i="4" s="1"/>
  <c r="AV33" i="4" a="1"/>
  <c r="AV33" i="4" s="1"/>
  <c r="AU33" i="4" a="1"/>
  <c r="AU33" i="4" s="1"/>
  <c r="AT33" i="4" a="1"/>
  <c r="AT33" i="4" s="1"/>
  <c r="AS33" i="4" a="1"/>
  <c r="AS33" i="4" s="1"/>
  <c r="AR33" i="4" a="1"/>
  <c r="AR33" i="4" s="1"/>
  <c r="AQ33" i="4" a="1"/>
  <c r="AQ33" i="4" s="1"/>
  <c r="AP33" i="4" a="1"/>
  <c r="AP33" i="4" s="1"/>
  <c r="AO33" i="4" a="1"/>
  <c r="AO33" i="4" s="1"/>
  <c r="AN33" i="4" a="1"/>
  <c r="AN33" i="4" s="1"/>
  <c r="AM33" i="4" a="1"/>
  <c r="AM33" i="4" s="1"/>
  <c r="AL33" i="4" a="1"/>
  <c r="AL33" i="4" s="1"/>
  <c r="AK33" i="4" a="1"/>
  <c r="AK33" i="4" s="1"/>
  <c r="AJ33" i="4" a="1"/>
  <c r="AJ33" i="4" s="1"/>
  <c r="AI33" i="4" a="1"/>
  <c r="AI33" i="4" s="1"/>
  <c r="AH33" i="4" a="1"/>
  <c r="AH33" i="4" s="1"/>
  <c r="AG33" i="4" a="1"/>
  <c r="AG33" i="4" s="1"/>
  <c r="AF33" i="4" a="1"/>
  <c r="AF33" i="4" s="1"/>
  <c r="BC34" i="4" a="1"/>
  <c r="BC34" i="4" s="1"/>
  <c r="BB34" i="4" a="1"/>
  <c r="BB34" i="4" s="1"/>
  <c r="AW34" i="4" a="1"/>
  <c r="AW34" i="4" s="1"/>
  <c r="AV34" i="4" a="1"/>
  <c r="AV34" i="4" s="1"/>
  <c r="AU34" i="4" a="1"/>
  <c r="AU34" i="4" s="1"/>
  <c r="AT34" i="4" a="1"/>
  <c r="AT34" i="4" s="1"/>
  <c r="AS34" i="4" a="1"/>
  <c r="AS34" i="4" s="1"/>
  <c r="AR34" i="4" a="1"/>
  <c r="AR34" i="4" s="1"/>
  <c r="AQ34" i="4" a="1"/>
  <c r="AQ34" i="4" s="1"/>
  <c r="AP34" i="4" a="1"/>
  <c r="AP34" i="4" s="1"/>
  <c r="AO34" i="4" a="1"/>
  <c r="AO34" i="4" s="1"/>
  <c r="AN34" i="4" a="1"/>
  <c r="AN34" i="4" s="1"/>
  <c r="AM34" i="4" a="1"/>
  <c r="AM34" i="4" s="1"/>
  <c r="AI34" i="4" a="1"/>
  <c r="AI34" i="4" s="1"/>
  <c r="AH34" i="4" a="1"/>
  <c r="AH34" i="4" s="1"/>
  <c r="AG34" i="4" a="1"/>
  <c r="AG34" i="4" s="1"/>
  <c r="AF34" i="4" a="1"/>
  <c r="AF34" i="4" s="1"/>
  <c r="BC30" i="4" a="1"/>
  <c r="BC30" i="4" s="1"/>
  <c r="BB30" i="4" a="1"/>
  <c r="BB30" i="4" s="1"/>
  <c r="AW30" i="4" a="1"/>
  <c r="AW30" i="4" s="1"/>
  <c r="AV30" i="4" a="1"/>
  <c r="AV30" i="4" s="1"/>
  <c r="AU30" i="4" a="1"/>
  <c r="AU30" i="4" s="1"/>
  <c r="AT30" i="4" a="1"/>
  <c r="AT30" i="4" s="1"/>
  <c r="AS30" i="4" a="1"/>
  <c r="AS30" i="4" s="1"/>
  <c r="AR30" i="4" a="1"/>
  <c r="AR30" i="4" s="1"/>
  <c r="AQ30" i="4" a="1"/>
  <c r="AQ30" i="4" s="1"/>
  <c r="AP30" i="4" a="1"/>
  <c r="AP30" i="4" s="1"/>
  <c r="AO30" i="4" a="1"/>
  <c r="AO30" i="4" s="1"/>
  <c r="AN30" i="4" a="1"/>
  <c r="AN30" i="4" s="1"/>
  <c r="AM30" i="4" a="1"/>
  <c r="AM30" i="4" s="1"/>
  <c r="AI30" i="4" a="1"/>
  <c r="AI30" i="4" s="1"/>
  <c r="AH30" i="4" a="1"/>
  <c r="AH30" i="4" s="1"/>
  <c r="AG30" i="4" a="1"/>
  <c r="AG30" i="4" s="1"/>
  <c r="AF30" i="4" a="1"/>
  <c r="AF30" i="4" s="1"/>
  <c r="BC51" i="4" a="1"/>
  <c r="BC51" i="4" s="1"/>
  <c r="BB51" i="4" a="1"/>
  <c r="BB51" i="4" s="1"/>
  <c r="BA51" i="4" a="1"/>
  <c r="BA51" i="4" s="1"/>
  <c r="AZ51" i="4" a="1"/>
  <c r="AZ51" i="4" s="1"/>
  <c r="AY51" i="4" a="1"/>
  <c r="AY51" i="4" s="1"/>
  <c r="AX51" i="4" a="1"/>
  <c r="AX51" i="4" s="1"/>
  <c r="AW51" i="4" a="1"/>
  <c r="AW51" i="4" s="1"/>
  <c r="AV51" i="4" a="1"/>
  <c r="AV51" i="4" s="1"/>
  <c r="AU51" i="4" a="1"/>
  <c r="AU51" i="4" s="1"/>
  <c r="AT51" i="4" a="1"/>
  <c r="AT51" i="4" s="1"/>
  <c r="AS51" i="4" a="1"/>
  <c r="AS51" i="4" s="1"/>
  <c r="AR51" i="4" a="1"/>
  <c r="AR51" i="4" s="1"/>
  <c r="AQ51" i="4" a="1"/>
  <c r="AQ51" i="4" s="1"/>
  <c r="AP51" i="4" a="1"/>
  <c r="AP51" i="4" s="1"/>
  <c r="AO51" i="4" a="1"/>
  <c r="AO51" i="4" s="1"/>
  <c r="AN51" i="4" a="1"/>
  <c r="AN51" i="4" s="1"/>
  <c r="AM51" i="4" a="1"/>
  <c r="AM51" i="4" s="1"/>
  <c r="AI51" i="4" a="1"/>
  <c r="AI51" i="4" s="1"/>
  <c r="AH51" i="4" a="1"/>
  <c r="AH51" i="4" s="1"/>
  <c r="AG51" i="4" a="1"/>
  <c r="AG51" i="4" s="1"/>
  <c r="AF51" i="4" a="1"/>
  <c r="AF51" i="4" s="1"/>
  <c r="BC38" i="4" a="1"/>
  <c r="BC38" i="4" s="1"/>
  <c r="BB38" i="4" a="1"/>
  <c r="BB38" i="4" s="1"/>
  <c r="BA38" i="4" a="1"/>
  <c r="BA38" i="4" s="1"/>
  <c r="AZ38" i="4" a="1"/>
  <c r="AZ38" i="4" s="1"/>
  <c r="AY38" i="4" a="1"/>
  <c r="AY38" i="4" s="1"/>
  <c r="AX38" i="4" a="1"/>
  <c r="AX38" i="4" s="1"/>
  <c r="AW38" i="4" a="1"/>
  <c r="AW38" i="4" s="1"/>
  <c r="AV38" i="4" a="1"/>
  <c r="AV38" i="4" s="1"/>
  <c r="AU38" i="4" a="1"/>
  <c r="AU38" i="4" s="1"/>
  <c r="AT38" i="4" a="1"/>
  <c r="AT38" i="4" s="1"/>
  <c r="AS38" i="4" a="1"/>
  <c r="AS38" i="4" s="1"/>
  <c r="AR38" i="4" a="1"/>
  <c r="AR38" i="4" s="1"/>
  <c r="AQ38" i="4" a="1"/>
  <c r="AQ38" i="4" s="1"/>
  <c r="AP38" i="4" a="1"/>
  <c r="AP38" i="4" s="1"/>
  <c r="AO38" i="4" a="1"/>
  <c r="AO38" i="4" s="1"/>
  <c r="AN38" i="4" a="1"/>
  <c r="AN38" i="4" s="1"/>
  <c r="AM38" i="4" a="1"/>
  <c r="AM38" i="4" s="1"/>
  <c r="AI38" i="4" a="1"/>
  <c r="AI38" i="4" s="1"/>
  <c r="AH38" i="4" a="1"/>
  <c r="AH38" i="4" s="1"/>
  <c r="AG38" i="4" a="1"/>
  <c r="AG38" i="4" s="1"/>
  <c r="AF38" i="4" a="1"/>
  <c r="AF38" i="4" s="1"/>
  <c r="BC52" i="4" a="1"/>
  <c r="BC52" i="4" s="1"/>
  <c r="BB52" i="4" a="1"/>
  <c r="BB52" i="4" s="1"/>
  <c r="BA52" i="4" a="1"/>
  <c r="BA52" i="4" s="1"/>
  <c r="AZ52" i="4" a="1"/>
  <c r="AZ52" i="4" s="1"/>
  <c r="AY52" i="4" a="1"/>
  <c r="AY52" i="4" s="1"/>
  <c r="AX52" i="4" a="1"/>
  <c r="AX52" i="4" s="1"/>
  <c r="AW52" i="4" a="1"/>
  <c r="AW52" i="4" s="1"/>
  <c r="AV52" i="4" a="1"/>
  <c r="AV52" i="4" s="1"/>
  <c r="AU52" i="4" a="1"/>
  <c r="AU52" i="4" s="1"/>
  <c r="AT52" i="4" a="1"/>
  <c r="AT52" i="4" s="1"/>
  <c r="AS52" i="4" a="1"/>
  <c r="AS52" i="4" s="1"/>
  <c r="AR52" i="4" a="1"/>
  <c r="AR52" i="4" s="1"/>
  <c r="AQ52" i="4" a="1"/>
  <c r="AQ52" i="4" s="1"/>
  <c r="AP52" i="4" a="1"/>
  <c r="AP52" i="4" s="1"/>
  <c r="AO52" i="4" a="1"/>
  <c r="AO52" i="4" s="1"/>
  <c r="AN52" i="4" a="1"/>
  <c r="AN52" i="4" s="1"/>
  <c r="AM52" i="4" a="1"/>
  <c r="AM52" i="4" s="1"/>
  <c r="AL52" i="4" a="1"/>
  <c r="AL52" i="4" s="1"/>
  <c r="AK52" i="4" a="1"/>
  <c r="AK52" i="4" s="1"/>
  <c r="AJ52" i="4" a="1"/>
  <c r="AJ52" i="4" s="1"/>
  <c r="AI52" i="4" a="1"/>
  <c r="AI52" i="4" s="1"/>
  <c r="AH52" i="4" a="1"/>
  <c r="AH52" i="4" s="1"/>
  <c r="AG52" i="4" a="1"/>
  <c r="AG52" i="4" s="1"/>
  <c r="AF52" i="4" a="1"/>
  <c r="AF52" i="4" s="1"/>
  <c r="BC49" i="4" a="1"/>
  <c r="BC49" i="4" s="1"/>
  <c r="BB49" i="4" a="1"/>
  <c r="BB49" i="4" s="1"/>
  <c r="BA49" i="4" a="1"/>
  <c r="BA49" i="4" s="1"/>
  <c r="AZ49" i="4" a="1"/>
  <c r="AZ49" i="4" s="1"/>
  <c r="AY49" i="4" a="1"/>
  <c r="AY49" i="4" s="1"/>
  <c r="AX49" i="4" a="1"/>
  <c r="AX49" i="4" s="1"/>
  <c r="AW49" i="4" a="1"/>
  <c r="AW49" i="4" s="1"/>
  <c r="AV49" i="4" a="1"/>
  <c r="AV49" i="4" s="1"/>
  <c r="AU49" i="4" a="1"/>
  <c r="AU49" i="4" s="1"/>
  <c r="AT49" i="4" a="1"/>
  <c r="AT49" i="4" s="1"/>
  <c r="AS49" i="4" a="1"/>
  <c r="AS49" i="4" s="1"/>
  <c r="AR49" i="4" a="1"/>
  <c r="AR49" i="4" s="1"/>
  <c r="AQ49" i="4" a="1"/>
  <c r="AQ49" i="4" s="1"/>
  <c r="AP49" i="4" a="1"/>
  <c r="AP49" i="4" s="1"/>
  <c r="AO49" i="4" a="1"/>
  <c r="AO49" i="4" s="1"/>
  <c r="AN49" i="4" a="1"/>
  <c r="AN49" i="4" s="1"/>
  <c r="AM49" i="4" a="1"/>
  <c r="AM49" i="4" s="1"/>
  <c r="AL49" i="4" a="1"/>
  <c r="AL49" i="4" s="1"/>
  <c r="AK49" i="4" a="1"/>
  <c r="AK49" i="4" s="1"/>
  <c r="AJ49" i="4" a="1"/>
  <c r="AJ49" i="4" s="1"/>
  <c r="AI49" i="4" a="1"/>
  <c r="AI49" i="4" s="1"/>
  <c r="AH49" i="4" a="1"/>
  <c r="AH49" i="4" s="1"/>
  <c r="AG49" i="4" a="1"/>
  <c r="AG49" i="4" s="1"/>
  <c r="AF49" i="4" a="1"/>
  <c r="AF49" i="4" s="1"/>
  <c r="BC62" i="4" a="1"/>
  <c r="BC62" i="4" s="1"/>
  <c r="BB62" i="4" a="1"/>
  <c r="BB62" i="4" s="1"/>
  <c r="BA62" i="4" a="1"/>
  <c r="BA62" i="4" s="1"/>
  <c r="AZ62" i="4" a="1"/>
  <c r="AZ62" i="4" s="1"/>
  <c r="AY62" i="4" a="1"/>
  <c r="AY62" i="4" s="1"/>
  <c r="AX62" i="4" a="1"/>
  <c r="AX62" i="4" s="1"/>
  <c r="AW62" i="4" a="1"/>
  <c r="AW62" i="4" s="1"/>
  <c r="AV62" i="4" a="1"/>
  <c r="AV62" i="4" s="1"/>
  <c r="AU62" i="4" a="1"/>
  <c r="AU62" i="4" s="1"/>
  <c r="AT62" i="4" a="1"/>
  <c r="AT62" i="4" s="1"/>
  <c r="AS62" i="4" a="1"/>
  <c r="AS62" i="4" s="1"/>
  <c r="AR62" i="4" a="1"/>
  <c r="AR62" i="4" s="1"/>
  <c r="AQ62" i="4" a="1"/>
  <c r="AQ62" i="4" s="1"/>
  <c r="AP62" i="4" a="1"/>
  <c r="AP62" i="4" s="1"/>
  <c r="AO62" i="4" a="1"/>
  <c r="AO62" i="4" s="1"/>
  <c r="AN62" i="4" a="1"/>
  <c r="AN62" i="4" s="1"/>
  <c r="AM62" i="4" a="1"/>
  <c r="AM62" i="4" s="1"/>
  <c r="AI62" i="4" a="1"/>
  <c r="AI62" i="4" s="1"/>
  <c r="AH62" i="4" a="1"/>
  <c r="AH62" i="4" s="1"/>
  <c r="AG62" i="4" a="1"/>
  <c r="AG62" i="4" s="1"/>
  <c r="AF62" i="4" a="1"/>
  <c r="AF62" i="4" s="1"/>
  <c r="BC71" i="4" a="1"/>
  <c r="BC71" i="4" s="1"/>
  <c r="BB71" i="4" a="1"/>
  <c r="BB71" i="4" s="1"/>
  <c r="BA71" i="4" a="1"/>
  <c r="BA71" i="4" s="1"/>
  <c r="AZ71" i="4" a="1"/>
  <c r="AZ71" i="4" s="1"/>
  <c r="AY71" i="4" a="1"/>
  <c r="AY71" i="4" s="1"/>
  <c r="AX71" i="4" a="1"/>
  <c r="AX71" i="4" s="1"/>
  <c r="AW71" i="4" a="1"/>
  <c r="AW71" i="4" s="1"/>
  <c r="AV71" i="4" a="1"/>
  <c r="AV71" i="4" s="1"/>
  <c r="AU71" i="4" a="1"/>
  <c r="AU71" i="4" s="1"/>
  <c r="AT71" i="4" a="1"/>
  <c r="AT71" i="4" s="1"/>
  <c r="AS71" i="4" a="1"/>
  <c r="AS71" i="4" s="1"/>
  <c r="AR71" i="4" a="1"/>
  <c r="AR71" i="4" s="1"/>
  <c r="AQ71" i="4" a="1"/>
  <c r="AQ71" i="4" s="1"/>
  <c r="AP71" i="4" a="1"/>
  <c r="AP71" i="4" s="1"/>
  <c r="AO71" i="4" a="1"/>
  <c r="AO71" i="4" s="1"/>
  <c r="AN71" i="4" a="1"/>
  <c r="AN71" i="4" s="1"/>
  <c r="AM71" i="4" a="1"/>
  <c r="AM71" i="4" s="1"/>
  <c r="AL71" i="4" a="1"/>
  <c r="AL71" i="4" s="1"/>
  <c r="AK71" i="4" a="1"/>
  <c r="AK71" i="4" s="1"/>
  <c r="AJ71" i="4" a="1"/>
  <c r="AJ71" i="4" s="1"/>
  <c r="AI71" i="4" a="1"/>
  <c r="AI71" i="4" s="1"/>
  <c r="AH71" i="4" a="1"/>
  <c r="AH71" i="4" s="1"/>
  <c r="AG71" i="4" a="1"/>
  <c r="AG71" i="4" s="1"/>
  <c r="AF71" i="4" a="1"/>
  <c r="AF71" i="4" s="1"/>
  <c r="BC47" i="4" a="1"/>
  <c r="BC47" i="4" s="1"/>
  <c r="BB47" i="4" a="1"/>
  <c r="BB47" i="4" s="1"/>
  <c r="BA47" i="4" a="1"/>
  <c r="BA47" i="4" s="1"/>
  <c r="AZ47" i="4" a="1"/>
  <c r="AZ47" i="4" s="1"/>
  <c r="AY47" i="4" a="1"/>
  <c r="AY47" i="4" s="1"/>
  <c r="AX47" i="4" a="1"/>
  <c r="AX47" i="4" s="1"/>
  <c r="AW47" i="4" a="1"/>
  <c r="AW47" i="4" s="1"/>
  <c r="AV47" i="4" a="1"/>
  <c r="AV47" i="4" s="1"/>
  <c r="AU47" i="4" a="1"/>
  <c r="AU47" i="4" s="1"/>
  <c r="AT47" i="4" a="1"/>
  <c r="AT47" i="4" s="1"/>
  <c r="AS47" i="4" a="1"/>
  <c r="AS47" i="4" s="1"/>
  <c r="AR47" i="4" a="1"/>
  <c r="AR47" i="4" s="1"/>
  <c r="AQ47" i="4" a="1"/>
  <c r="AQ47" i="4" s="1"/>
  <c r="AP47" i="4" a="1"/>
  <c r="AP47" i="4" s="1"/>
  <c r="AO47" i="4" a="1"/>
  <c r="AO47" i="4" s="1"/>
  <c r="AN47" i="4" a="1"/>
  <c r="AN47" i="4" s="1"/>
  <c r="AM47" i="4" a="1"/>
  <c r="AM47" i="4" s="1"/>
  <c r="AI47" i="4" a="1"/>
  <c r="AI47" i="4" s="1"/>
  <c r="AH47" i="4" a="1"/>
  <c r="AH47" i="4" s="1"/>
  <c r="AG47" i="4" a="1"/>
  <c r="AG47" i="4" s="1"/>
  <c r="AF47" i="4" a="1"/>
  <c r="AF47" i="4" s="1"/>
  <c r="BC35" i="4" a="1"/>
  <c r="BC35" i="4" s="1"/>
  <c r="BB35" i="4" a="1"/>
  <c r="BB35" i="4" s="1"/>
  <c r="BA35" i="4" a="1"/>
  <c r="BA35" i="4" s="1"/>
  <c r="AZ35" i="4" a="1"/>
  <c r="AZ35" i="4" s="1"/>
  <c r="AY35" i="4" a="1"/>
  <c r="AY35" i="4" s="1"/>
  <c r="AX35" i="4" a="1"/>
  <c r="AX35" i="4" s="1"/>
  <c r="AW35" i="4" a="1"/>
  <c r="AW35" i="4" s="1"/>
  <c r="AV35" i="4" a="1"/>
  <c r="AV35" i="4" s="1"/>
  <c r="AU35" i="4" a="1"/>
  <c r="AU35" i="4" s="1"/>
  <c r="AT35" i="4" a="1"/>
  <c r="AT35" i="4" s="1"/>
  <c r="AS35" i="4" a="1"/>
  <c r="AS35" i="4" s="1"/>
  <c r="AR35" i="4" a="1"/>
  <c r="AR35" i="4" s="1"/>
  <c r="AQ35" i="4" a="1"/>
  <c r="AQ35" i="4" s="1"/>
  <c r="AP35" i="4" a="1"/>
  <c r="AP35" i="4" s="1"/>
  <c r="AO35" i="4" a="1"/>
  <c r="AO35" i="4" s="1"/>
  <c r="AN35" i="4" a="1"/>
  <c r="AN35" i="4" s="1"/>
  <c r="AM35" i="4" a="1"/>
  <c r="AM35" i="4" s="1"/>
  <c r="AI35" i="4" a="1"/>
  <c r="AI35" i="4" s="1"/>
  <c r="AH35" i="4" a="1"/>
  <c r="AH35" i="4" s="1"/>
  <c r="AG35" i="4" a="1"/>
  <c r="AG35" i="4" s="1"/>
  <c r="AF35" i="4" a="1"/>
  <c r="AF35" i="4" s="1"/>
  <c r="BC23" i="4" a="1"/>
  <c r="BC23" i="4" s="1"/>
  <c r="BB23" i="4" a="1"/>
  <c r="BB23" i="4" s="1"/>
  <c r="BA23" i="4" a="1"/>
  <c r="BA23" i="4" s="1"/>
  <c r="AZ23" i="4" a="1"/>
  <c r="AZ23" i="4" s="1"/>
  <c r="AY23" i="4" a="1"/>
  <c r="AY23" i="4" s="1"/>
  <c r="AX23" i="4" a="1"/>
  <c r="AX23" i="4" s="1"/>
  <c r="AW23" i="4" a="1"/>
  <c r="AW23" i="4" s="1"/>
  <c r="AV23" i="4" a="1"/>
  <c r="AV23" i="4" s="1"/>
  <c r="AU23" i="4" a="1"/>
  <c r="AU23" i="4" s="1"/>
  <c r="AT23" i="4" a="1"/>
  <c r="AT23" i="4" s="1"/>
  <c r="AS23" i="4" a="1"/>
  <c r="AS23" i="4" s="1"/>
  <c r="AR23" i="4" a="1"/>
  <c r="AR23" i="4" s="1"/>
  <c r="AQ23" i="4" a="1"/>
  <c r="AQ23" i="4" s="1"/>
  <c r="AP23" i="4" a="1"/>
  <c r="AP23" i="4" s="1"/>
  <c r="AO23" i="4" a="1"/>
  <c r="AO23" i="4" s="1"/>
  <c r="AN23" i="4" a="1"/>
  <c r="AN23" i="4" s="1"/>
  <c r="AM23" i="4" a="1"/>
  <c r="AM23" i="4" s="1"/>
  <c r="AL23" i="4" a="1"/>
  <c r="AL23" i="4" s="1"/>
  <c r="AK23" i="4" a="1"/>
  <c r="AK23" i="4" s="1"/>
  <c r="AJ23" i="4" a="1"/>
  <c r="AJ23" i="4" s="1"/>
  <c r="AI23" i="4" a="1"/>
  <c r="AI23" i="4" s="1"/>
  <c r="AH23" i="4" a="1"/>
  <c r="AH23" i="4" s="1"/>
  <c r="AG23" i="4" a="1"/>
  <c r="AG23" i="4" s="1"/>
  <c r="AF23" i="4" a="1"/>
  <c r="AF23" i="4" s="1"/>
  <c r="BC61" i="4" a="1"/>
  <c r="BC61" i="4" s="1"/>
  <c r="BB61" i="4" a="1"/>
  <c r="BB61" i="4" s="1"/>
  <c r="AW61" i="4" a="1"/>
  <c r="AW61" i="4" s="1"/>
  <c r="AV61" i="4" a="1"/>
  <c r="AV61" i="4" s="1"/>
  <c r="AU61" i="4" a="1"/>
  <c r="AU61" i="4" s="1"/>
  <c r="AT61" i="4" a="1"/>
  <c r="AT61" i="4" s="1"/>
  <c r="AS61" i="4" a="1"/>
  <c r="AS61" i="4" s="1"/>
  <c r="AR61" i="4" a="1"/>
  <c r="AR61" i="4" s="1"/>
  <c r="AQ61" i="4" a="1"/>
  <c r="AQ61" i="4" s="1"/>
  <c r="AP61" i="4" a="1"/>
  <c r="AP61" i="4" s="1"/>
  <c r="AO61" i="4" a="1"/>
  <c r="AO61" i="4" s="1"/>
  <c r="AN61" i="4" a="1"/>
  <c r="AN61" i="4" s="1"/>
  <c r="AM61" i="4" a="1"/>
  <c r="AM61" i="4" s="1"/>
  <c r="AI61" i="4" a="1"/>
  <c r="AI61" i="4" s="1"/>
  <c r="AH61" i="4" a="1"/>
  <c r="AH61" i="4" s="1"/>
  <c r="AG61" i="4" a="1"/>
  <c r="AG61" i="4" s="1"/>
  <c r="AF61" i="4" a="1"/>
  <c r="AF61" i="4" s="1"/>
  <c r="BC29" i="4" a="1"/>
  <c r="BC29" i="4" s="1"/>
  <c r="BB29" i="4" a="1"/>
  <c r="BB29" i="4" s="1"/>
  <c r="AW29" i="4" a="1"/>
  <c r="AW29" i="4" s="1"/>
  <c r="AV29" i="4" a="1"/>
  <c r="AV29" i="4" s="1"/>
  <c r="AU29" i="4" a="1"/>
  <c r="AU29" i="4" s="1"/>
  <c r="AT29" i="4" a="1"/>
  <c r="AT29" i="4" s="1"/>
  <c r="AS29" i="4" a="1"/>
  <c r="AS29" i="4" s="1"/>
  <c r="AR29" i="4" a="1"/>
  <c r="AR29" i="4" s="1"/>
  <c r="AQ29" i="4" a="1"/>
  <c r="AQ29" i="4" s="1"/>
  <c r="AP29" i="4" a="1"/>
  <c r="AP29" i="4" s="1"/>
  <c r="AO29" i="4" a="1"/>
  <c r="AO29" i="4" s="1"/>
  <c r="AN29" i="4" a="1"/>
  <c r="AN29" i="4" s="1"/>
  <c r="AM29" i="4" a="1"/>
  <c r="AM29" i="4" s="1"/>
  <c r="AI29" i="4" a="1"/>
  <c r="AI29" i="4" s="1"/>
  <c r="AH29" i="4" a="1"/>
  <c r="AH29" i="4" s="1"/>
  <c r="AG29" i="4" a="1"/>
  <c r="AG29" i="4" s="1"/>
  <c r="AF29" i="4" a="1"/>
  <c r="AF29" i="4" s="1"/>
  <c r="BC70" i="4" a="1"/>
  <c r="BC70" i="4" s="1"/>
  <c r="BB70" i="4" a="1"/>
  <c r="BB70" i="4" s="1"/>
  <c r="BA70" i="4" a="1"/>
  <c r="BA70" i="4" s="1"/>
  <c r="AZ70" i="4" a="1"/>
  <c r="AZ70" i="4" s="1"/>
  <c r="AY70" i="4" a="1"/>
  <c r="AY70" i="4" s="1"/>
  <c r="AX70" i="4" a="1"/>
  <c r="AX70" i="4" s="1"/>
  <c r="AW70" i="4" a="1"/>
  <c r="AW70" i="4" s="1"/>
  <c r="AV70" i="4" a="1"/>
  <c r="AV70" i="4" s="1"/>
  <c r="AU70" i="4" a="1"/>
  <c r="AU70" i="4" s="1"/>
  <c r="AT70" i="4" a="1"/>
  <c r="AT70" i="4" s="1"/>
  <c r="AS70" i="4" a="1"/>
  <c r="AS70" i="4" s="1"/>
  <c r="AR70" i="4" a="1"/>
  <c r="AR70" i="4" s="1"/>
  <c r="AQ70" i="4" a="1"/>
  <c r="AQ70" i="4" s="1"/>
  <c r="AP70" i="4" a="1"/>
  <c r="AP70" i="4" s="1"/>
  <c r="AO70" i="4" a="1"/>
  <c r="AO70" i="4" s="1"/>
  <c r="AN70" i="4" a="1"/>
  <c r="AN70" i="4" s="1"/>
  <c r="AM70" i="4" a="1"/>
  <c r="AM70" i="4" s="1"/>
  <c r="AL70" i="4" a="1"/>
  <c r="AL70" i="4" s="1"/>
  <c r="AK70" i="4" a="1"/>
  <c r="AK70" i="4" s="1"/>
  <c r="AJ70" i="4" a="1"/>
  <c r="AJ70" i="4" s="1"/>
  <c r="AI70" i="4" a="1"/>
  <c r="AI70" i="4" s="1"/>
  <c r="AH70" i="4" a="1"/>
  <c r="AH70" i="4" s="1"/>
  <c r="AG70" i="4" a="1"/>
  <c r="AG70" i="4" s="1"/>
  <c r="AF70" i="4" a="1"/>
  <c r="AF70" i="4" s="1"/>
  <c r="BC21" i="4" a="1"/>
  <c r="BC21" i="4" s="1"/>
  <c r="BB21" i="4" a="1"/>
  <c r="BB21" i="4" s="1"/>
  <c r="BA21" i="4" a="1"/>
  <c r="BA21" i="4" s="1"/>
  <c r="AZ21" i="4" a="1"/>
  <c r="AZ21" i="4" s="1"/>
  <c r="AY21" i="4" a="1"/>
  <c r="AY21" i="4" s="1"/>
  <c r="AX21" i="4" a="1"/>
  <c r="AX21" i="4" s="1"/>
  <c r="AW21" i="4" a="1"/>
  <c r="AW21" i="4" s="1"/>
  <c r="AV21" i="4" a="1"/>
  <c r="AV21" i="4" s="1"/>
  <c r="AU21" i="4" a="1"/>
  <c r="AU21" i="4" s="1"/>
  <c r="AT21" i="4" a="1"/>
  <c r="AT21" i="4" s="1"/>
  <c r="AS21" i="4" a="1"/>
  <c r="AS21" i="4" s="1"/>
  <c r="AR21" i="4" a="1"/>
  <c r="AR21" i="4" s="1"/>
  <c r="AQ21" i="4" a="1"/>
  <c r="AQ21" i="4" s="1"/>
  <c r="AP21" i="4" a="1"/>
  <c r="AP21" i="4" s="1"/>
  <c r="AO21" i="4" a="1"/>
  <c r="AO21" i="4" s="1"/>
  <c r="AN21" i="4" a="1"/>
  <c r="AN21" i="4" s="1"/>
  <c r="AM21" i="4" a="1"/>
  <c r="AM21" i="4" s="1"/>
  <c r="AL21" i="4" a="1"/>
  <c r="AL21" i="4" s="1"/>
  <c r="AK21" i="4" a="1"/>
  <c r="AK21" i="4" s="1"/>
  <c r="AJ21" i="4" a="1"/>
  <c r="AJ21" i="4" s="1"/>
  <c r="AI21" i="4" a="1"/>
  <c r="AI21" i="4" s="1"/>
  <c r="AH21" i="4" a="1"/>
  <c r="AH21" i="4" s="1"/>
  <c r="AG21" i="4" a="1"/>
  <c r="AG21" i="4" s="1"/>
  <c r="AF21" i="4" a="1"/>
  <c r="AF21" i="4" s="1"/>
  <c r="BC45" i="4" a="1"/>
  <c r="BC45" i="4" s="1"/>
  <c r="BB45" i="4" a="1"/>
  <c r="BB45" i="4" s="1"/>
  <c r="AW45" i="4" a="1"/>
  <c r="AW45" i="4" s="1"/>
  <c r="AV45" i="4" a="1"/>
  <c r="AV45" i="4" s="1"/>
  <c r="AU45" i="4" a="1"/>
  <c r="AU45" i="4" s="1"/>
  <c r="AT45" i="4" a="1"/>
  <c r="AT45" i="4" s="1"/>
  <c r="AS45" i="4" a="1"/>
  <c r="AS45" i="4" s="1"/>
  <c r="AR45" i="4" a="1"/>
  <c r="AR45" i="4" s="1"/>
  <c r="AQ45" i="4" a="1"/>
  <c r="AQ45" i="4" s="1"/>
  <c r="AP45" i="4" a="1"/>
  <c r="AP45" i="4" s="1"/>
  <c r="AO45" i="4" a="1"/>
  <c r="AO45" i="4" s="1"/>
  <c r="AN45" i="4" a="1"/>
  <c r="AN45" i="4" s="1"/>
  <c r="AM45" i="4" a="1"/>
  <c r="AM45" i="4" s="1"/>
  <c r="AI45" i="4" a="1"/>
  <c r="AI45" i="4" s="1"/>
  <c r="AH45" i="4" a="1"/>
  <c r="AH45" i="4" s="1"/>
  <c r="AG45" i="4" a="1"/>
  <c r="AG45" i="4" s="1"/>
  <c r="AF45" i="4" a="1"/>
  <c r="AF45" i="4" s="1"/>
  <c r="BC69" i="4" a="1"/>
  <c r="BC69" i="4" s="1"/>
  <c r="BB69" i="4" a="1"/>
  <c r="BB69" i="4" s="1"/>
  <c r="BA69" i="4" a="1"/>
  <c r="BA69" i="4" s="1"/>
  <c r="AZ69" i="4" a="1"/>
  <c r="AZ69" i="4" s="1"/>
  <c r="AY69" i="4" a="1"/>
  <c r="AY69" i="4" s="1"/>
  <c r="AX69" i="4" a="1"/>
  <c r="AX69" i="4" s="1"/>
  <c r="AW69" i="4" a="1"/>
  <c r="AW69" i="4" s="1"/>
  <c r="AV69" i="4" a="1"/>
  <c r="AV69" i="4" s="1"/>
  <c r="AU69" i="4" a="1"/>
  <c r="AU69" i="4" s="1"/>
  <c r="AT69" i="4" a="1"/>
  <c r="AT69" i="4" s="1"/>
  <c r="AS69" i="4" a="1"/>
  <c r="AS69" i="4" s="1"/>
  <c r="AR69" i="4" a="1"/>
  <c r="AR69" i="4" s="1"/>
  <c r="AQ69" i="4" a="1"/>
  <c r="AQ69" i="4" s="1"/>
  <c r="AP69" i="4" a="1"/>
  <c r="AP69" i="4" s="1"/>
  <c r="AO69" i="4" a="1"/>
  <c r="AO69" i="4" s="1"/>
  <c r="AN69" i="4" a="1"/>
  <c r="AN69" i="4" s="1"/>
  <c r="AM69" i="4" a="1"/>
  <c r="AM69" i="4" s="1"/>
  <c r="AL69" i="4" a="1"/>
  <c r="AL69" i="4" s="1"/>
  <c r="AK69" i="4" a="1"/>
  <c r="AK69" i="4" s="1"/>
  <c r="AJ69" i="4" a="1"/>
  <c r="AJ69" i="4" s="1"/>
  <c r="AI69" i="4" a="1"/>
  <c r="AI69" i="4" s="1"/>
  <c r="AH69" i="4" a="1"/>
  <c r="AH69" i="4" s="1"/>
  <c r="AG69" i="4" a="1"/>
  <c r="AG69" i="4" s="1"/>
  <c r="AF69" i="4" a="1"/>
  <c r="AF69" i="4" s="1"/>
  <c r="BC46" i="4" a="1"/>
  <c r="BC46" i="4" s="1"/>
  <c r="BB46" i="4" a="1"/>
  <c r="BB46" i="4" s="1"/>
  <c r="BA46" i="4" a="1"/>
  <c r="BA46" i="4" s="1"/>
  <c r="AZ46" i="4" a="1"/>
  <c r="AZ46" i="4" s="1"/>
  <c r="AY46" i="4" a="1"/>
  <c r="AY46" i="4" s="1"/>
  <c r="AX46" i="4" a="1"/>
  <c r="AX46" i="4" s="1"/>
  <c r="AW46" i="4" a="1"/>
  <c r="AW46" i="4" s="1"/>
  <c r="AV46" i="4" a="1"/>
  <c r="AV46" i="4" s="1"/>
  <c r="AU46" i="4" a="1"/>
  <c r="AU46" i="4" s="1"/>
  <c r="AT46" i="4" a="1"/>
  <c r="AT46" i="4" s="1"/>
  <c r="AS46" i="4" a="1"/>
  <c r="AS46" i="4" s="1"/>
  <c r="AR46" i="4" a="1"/>
  <c r="AR46" i="4" s="1"/>
  <c r="AQ46" i="4" a="1"/>
  <c r="AQ46" i="4" s="1"/>
  <c r="AP46" i="4" a="1"/>
  <c r="AP46" i="4" s="1"/>
  <c r="AO46" i="4" a="1"/>
  <c r="AO46" i="4" s="1"/>
  <c r="AN46" i="4" a="1"/>
  <c r="AN46" i="4" s="1"/>
  <c r="AM46" i="4" a="1"/>
  <c r="AM46" i="4" s="1"/>
  <c r="AI46" i="4" a="1"/>
  <c r="AI46" i="4" s="1"/>
  <c r="AH46" i="4" a="1"/>
  <c r="AH46" i="4" s="1"/>
  <c r="AG46" i="4" a="1"/>
  <c r="AG46" i="4" s="1"/>
  <c r="AF46" i="4" a="1"/>
  <c r="AF46" i="4" s="1"/>
  <c r="BC32" i="4" a="1"/>
  <c r="BC32" i="4" s="1"/>
  <c r="BB32" i="4" a="1"/>
  <c r="BB32" i="4" s="1"/>
  <c r="BA32" i="4" a="1"/>
  <c r="BA32" i="4" s="1"/>
  <c r="AZ32" i="4" a="1"/>
  <c r="AZ32" i="4" s="1"/>
  <c r="AY32" i="4" a="1"/>
  <c r="AY32" i="4" s="1"/>
  <c r="AX32" i="4" a="1"/>
  <c r="AX32" i="4" s="1"/>
  <c r="AW32" i="4" a="1"/>
  <c r="AW32" i="4" s="1"/>
  <c r="AV32" i="4" a="1"/>
  <c r="AV32" i="4" s="1"/>
  <c r="AU32" i="4" a="1"/>
  <c r="AU32" i="4" s="1"/>
  <c r="AT32" i="4" a="1"/>
  <c r="AT32" i="4" s="1"/>
  <c r="AS32" i="4" a="1"/>
  <c r="AS32" i="4" s="1"/>
  <c r="AR32" i="4" a="1"/>
  <c r="AR32" i="4" s="1"/>
  <c r="AQ32" i="4" a="1"/>
  <c r="AQ32" i="4" s="1"/>
  <c r="AP32" i="4" a="1"/>
  <c r="AP32" i="4" s="1"/>
  <c r="AO32" i="4" a="1"/>
  <c r="AO32" i="4" s="1"/>
  <c r="AN32" i="4" a="1"/>
  <c r="AN32" i="4" s="1"/>
  <c r="AM32" i="4" a="1"/>
  <c r="AM32" i="4" s="1"/>
  <c r="AI32" i="4" a="1"/>
  <c r="AI32" i="4" s="1"/>
  <c r="AH32" i="4" a="1"/>
  <c r="AH32" i="4" s="1"/>
  <c r="AG32" i="4" a="1"/>
  <c r="AG32" i="4" s="1"/>
  <c r="AF32" i="4" a="1"/>
  <c r="AF32" i="4" s="1"/>
  <c r="BC68" i="4" a="1"/>
  <c r="BC68" i="4" s="1"/>
  <c r="BB68" i="4" a="1"/>
  <c r="BB68" i="4" s="1"/>
  <c r="BA68" i="4" a="1"/>
  <c r="BA68" i="4" s="1"/>
  <c r="AZ68" i="4" a="1"/>
  <c r="AZ68" i="4" s="1"/>
  <c r="AY68" i="4" a="1"/>
  <c r="AY68" i="4" s="1"/>
  <c r="AX68" i="4" a="1"/>
  <c r="AX68" i="4" s="1"/>
  <c r="AW68" i="4" a="1"/>
  <c r="AW68" i="4" s="1"/>
  <c r="AV68" i="4" a="1"/>
  <c r="AV68" i="4" s="1"/>
  <c r="AU68" i="4" a="1"/>
  <c r="AU68" i="4" s="1"/>
  <c r="AT68" i="4" a="1"/>
  <c r="AT68" i="4" s="1"/>
  <c r="AS68" i="4" a="1"/>
  <c r="AS68" i="4" s="1"/>
  <c r="AR68" i="4" a="1"/>
  <c r="AR68" i="4" s="1"/>
  <c r="AQ68" i="4" a="1"/>
  <c r="AQ68" i="4" s="1"/>
  <c r="AP68" i="4" a="1"/>
  <c r="AP68" i="4" s="1"/>
  <c r="AO68" i="4" a="1"/>
  <c r="AO68" i="4" s="1"/>
  <c r="AN68" i="4" a="1"/>
  <c r="AN68" i="4" s="1"/>
  <c r="AM68" i="4" a="1"/>
  <c r="AM68" i="4" s="1"/>
  <c r="AL68" i="4" a="1"/>
  <c r="AL68" i="4" s="1"/>
  <c r="AK68" i="4" a="1"/>
  <c r="AK68" i="4" s="1"/>
  <c r="AJ68" i="4" a="1"/>
  <c r="AJ68" i="4" s="1"/>
  <c r="AI68" i="4" a="1"/>
  <c r="AI68" i="4" s="1"/>
  <c r="AH68" i="4" a="1"/>
  <c r="AH68" i="4" s="1"/>
  <c r="AG68" i="4" a="1"/>
  <c r="AG68" i="4" s="1"/>
  <c r="AF68" i="4" a="1"/>
  <c r="AF68" i="4" s="1"/>
  <c r="BC59" i="4" a="1"/>
  <c r="BC59" i="4" s="1"/>
  <c r="BB59" i="4" a="1"/>
  <c r="BB59" i="4" s="1"/>
  <c r="BA59" i="4" a="1"/>
  <c r="BA59" i="4" s="1"/>
  <c r="AZ59" i="4" a="1"/>
  <c r="AZ59" i="4" s="1"/>
  <c r="AY59" i="4" a="1"/>
  <c r="AY59" i="4" s="1"/>
  <c r="AX59" i="4" a="1"/>
  <c r="AX59" i="4" s="1"/>
  <c r="AW59" i="4" a="1"/>
  <c r="AW59" i="4" s="1"/>
  <c r="AV59" i="4" a="1"/>
  <c r="AV59" i="4" s="1"/>
  <c r="AU59" i="4" a="1"/>
  <c r="AU59" i="4" s="1"/>
  <c r="AT59" i="4" a="1"/>
  <c r="AT59" i="4" s="1"/>
  <c r="AS59" i="4" a="1"/>
  <c r="AS59" i="4" s="1"/>
  <c r="AR59" i="4" a="1"/>
  <c r="AR59" i="4" s="1"/>
  <c r="AQ59" i="4" a="1"/>
  <c r="AQ59" i="4" s="1"/>
  <c r="AP59" i="4" a="1"/>
  <c r="AP59" i="4" s="1"/>
  <c r="AO59" i="4" a="1"/>
  <c r="AO59" i="4" s="1"/>
  <c r="AN59" i="4" a="1"/>
  <c r="AN59" i="4" s="1"/>
  <c r="AM59" i="4" a="1"/>
  <c r="AM59" i="4" s="1"/>
  <c r="AL59" i="4" a="1"/>
  <c r="AL59" i="4" s="1"/>
  <c r="AK59" i="4" a="1"/>
  <c r="AK59" i="4" s="1"/>
  <c r="AJ59" i="4" a="1"/>
  <c r="AJ59" i="4" s="1"/>
  <c r="AI59" i="4" a="1"/>
  <c r="AI59" i="4" s="1"/>
  <c r="AH59" i="4" a="1"/>
  <c r="AH59" i="4" s="1"/>
  <c r="AG59" i="4" a="1"/>
  <c r="AG59" i="4" s="1"/>
  <c r="AF59" i="4" a="1"/>
  <c r="AF59" i="4" s="1"/>
  <c r="BC53" i="4" a="1"/>
  <c r="BC53" i="4" s="1"/>
  <c r="BB53" i="4" a="1"/>
  <c r="BB53" i="4" s="1"/>
  <c r="BA53" i="4" a="1"/>
  <c r="BA53" i="4" s="1"/>
  <c r="AZ53" i="4" a="1"/>
  <c r="AZ53" i="4" s="1"/>
  <c r="AY53" i="4" a="1"/>
  <c r="AY53" i="4" s="1"/>
  <c r="AX53" i="4" a="1"/>
  <c r="AX53" i="4" s="1"/>
  <c r="AW53" i="4" a="1"/>
  <c r="AW53" i="4" s="1"/>
  <c r="AV53" i="4" a="1"/>
  <c r="AV53" i="4" s="1"/>
  <c r="AU53" i="4" a="1"/>
  <c r="AU53" i="4" s="1"/>
  <c r="AT53" i="4" a="1"/>
  <c r="AT53" i="4" s="1"/>
  <c r="AS53" i="4" a="1"/>
  <c r="AS53" i="4" s="1"/>
  <c r="AR53" i="4" a="1"/>
  <c r="AR53" i="4" s="1"/>
  <c r="AQ53" i="4" a="1"/>
  <c r="AQ53" i="4" s="1"/>
  <c r="AP53" i="4" a="1"/>
  <c r="AP53" i="4" s="1"/>
  <c r="AO53" i="4" a="1"/>
  <c r="AO53" i="4" s="1"/>
  <c r="AN53" i="4" a="1"/>
  <c r="AN53" i="4" s="1"/>
  <c r="AM53" i="4" a="1"/>
  <c r="AM53" i="4" s="1"/>
  <c r="AL53" i="4" a="1"/>
  <c r="AL53" i="4" s="1"/>
  <c r="AK53" i="4" a="1"/>
  <c r="AK53" i="4" s="1"/>
  <c r="AJ53" i="4" a="1"/>
  <c r="AJ53" i="4" s="1"/>
  <c r="AI53" i="4" a="1"/>
  <c r="AI53" i="4" s="1"/>
  <c r="AH53" i="4" a="1"/>
  <c r="AH53" i="4" s="1"/>
  <c r="AG53" i="4" a="1"/>
  <c r="AG53" i="4" s="1"/>
  <c r="AF53" i="4" a="1"/>
  <c r="AF53" i="4" s="1"/>
  <c r="BC67" i="4" a="1"/>
  <c r="BC67" i="4" s="1"/>
  <c r="BB67" i="4" a="1"/>
  <c r="BB67" i="4" s="1"/>
  <c r="BA67" i="4" a="1"/>
  <c r="BA67" i="4" s="1"/>
  <c r="AZ67" i="4" a="1"/>
  <c r="AZ67" i="4" s="1"/>
  <c r="AY67" i="4" a="1"/>
  <c r="AY67" i="4" s="1"/>
  <c r="AX67" i="4" a="1"/>
  <c r="AX67" i="4" s="1"/>
  <c r="AW67" i="4" a="1"/>
  <c r="AW67" i="4" s="1"/>
  <c r="AV67" i="4" a="1"/>
  <c r="AV67" i="4" s="1"/>
  <c r="AU67" i="4" a="1"/>
  <c r="AU67" i="4" s="1"/>
  <c r="AT67" i="4" a="1"/>
  <c r="AT67" i="4" s="1"/>
  <c r="AS67" i="4" a="1"/>
  <c r="AS67" i="4" s="1"/>
  <c r="AR67" i="4" a="1"/>
  <c r="AR67" i="4" s="1"/>
  <c r="AQ67" i="4" a="1"/>
  <c r="AQ67" i="4" s="1"/>
  <c r="AP67" i="4" a="1"/>
  <c r="AP67" i="4" s="1"/>
  <c r="AO67" i="4" a="1"/>
  <c r="AO67" i="4" s="1"/>
  <c r="AN67" i="4" a="1"/>
  <c r="AN67" i="4" s="1"/>
  <c r="AM67" i="4" a="1"/>
  <c r="AM67" i="4" s="1"/>
  <c r="AL67" i="4" a="1"/>
  <c r="AL67" i="4" s="1"/>
  <c r="AK67" i="4" a="1"/>
  <c r="AK67" i="4" s="1"/>
  <c r="AJ67" i="4" a="1"/>
  <c r="AJ67" i="4" s="1"/>
  <c r="AI67" i="4" a="1"/>
  <c r="AI67" i="4" s="1"/>
  <c r="AH67" i="4" a="1"/>
  <c r="AH67" i="4" s="1"/>
  <c r="AG67" i="4" a="1"/>
  <c r="AG67" i="4" s="1"/>
  <c r="AF67" i="4" a="1"/>
  <c r="AF67" i="4" s="1"/>
  <c r="BC73" i="4" a="1"/>
  <c r="BC73" i="4" s="1"/>
  <c r="BB73" i="4" a="1"/>
  <c r="BB73" i="4" s="1"/>
  <c r="BA73" i="4" a="1"/>
  <c r="BA73" i="4" s="1"/>
  <c r="AZ73" i="4" a="1"/>
  <c r="AZ73" i="4" s="1"/>
  <c r="AY73" i="4" a="1"/>
  <c r="AY73" i="4" s="1"/>
  <c r="AX73" i="4" a="1"/>
  <c r="AX73" i="4" s="1"/>
  <c r="AW73" i="4" a="1"/>
  <c r="AW73" i="4" s="1"/>
  <c r="AV73" i="4" a="1"/>
  <c r="AV73" i="4" s="1"/>
  <c r="AU73" i="4" a="1"/>
  <c r="AU73" i="4" s="1"/>
  <c r="AT73" i="4" a="1"/>
  <c r="AT73" i="4" s="1"/>
  <c r="AS73" i="4" a="1"/>
  <c r="AS73" i="4" s="1"/>
  <c r="AR73" i="4" a="1"/>
  <c r="AR73" i="4" s="1"/>
  <c r="AQ73" i="4" a="1"/>
  <c r="AQ73" i="4" s="1"/>
  <c r="AP73" i="4" a="1"/>
  <c r="AP73" i="4" s="1"/>
  <c r="AO73" i="4" a="1"/>
  <c r="AO73" i="4" s="1"/>
  <c r="AN73" i="4" a="1"/>
  <c r="AN73" i="4" s="1"/>
  <c r="AM73" i="4" a="1"/>
  <c r="AM73" i="4" s="1"/>
  <c r="AL73" i="4" a="1"/>
  <c r="AL73" i="4" s="1"/>
  <c r="AK73" i="4" a="1"/>
  <c r="AK73" i="4" s="1"/>
  <c r="AJ73" i="4" a="1"/>
  <c r="AJ73" i="4" s="1"/>
  <c r="AI73" i="4" a="1"/>
  <c r="AI73" i="4" s="1"/>
  <c r="AH73" i="4" a="1"/>
  <c r="AH73" i="4" s="1"/>
  <c r="AG73" i="4" a="1"/>
  <c r="AG73" i="4" s="1"/>
  <c r="AF73" i="4" a="1"/>
  <c r="AF73" i="4" s="1"/>
  <c r="BC48" i="4" a="1"/>
  <c r="BC48" i="4" s="1"/>
  <c r="BB48" i="4" a="1"/>
  <c r="BB48" i="4" s="1"/>
  <c r="BA48" i="4" a="1"/>
  <c r="BA48" i="4" s="1"/>
  <c r="AZ48" i="4" a="1"/>
  <c r="AZ48" i="4" s="1"/>
  <c r="AY48" i="4" a="1"/>
  <c r="AY48" i="4" s="1"/>
  <c r="AX48" i="4" a="1"/>
  <c r="AX48" i="4" s="1"/>
  <c r="AW48" i="4" a="1"/>
  <c r="AW48" i="4" s="1"/>
  <c r="AV48" i="4" a="1"/>
  <c r="AV48" i="4" s="1"/>
  <c r="AU48" i="4" a="1"/>
  <c r="AU48" i="4" s="1"/>
  <c r="AT48" i="4" a="1"/>
  <c r="AT48" i="4" s="1"/>
  <c r="AS48" i="4" a="1"/>
  <c r="AS48" i="4" s="1"/>
  <c r="AR48" i="4" a="1"/>
  <c r="AR48" i="4" s="1"/>
  <c r="AQ48" i="4" a="1"/>
  <c r="AQ48" i="4" s="1"/>
  <c r="AP48" i="4" a="1"/>
  <c r="AP48" i="4" s="1"/>
  <c r="AO48" i="4" a="1"/>
  <c r="AO48" i="4" s="1"/>
  <c r="AN48" i="4" a="1"/>
  <c r="AN48" i="4" s="1"/>
  <c r="AM48" i="4" a="1"/>
  <c r="AM48" i="4" s="1"/>
  <c r="AL48" i="4" a="1"/>
  <c r="AL48" i="4" s="1"/>
  <c r="AK48" i="4" a="1"/>
  <c r="AK48" i="4" s="1"/>
  <c r="AJ48" i="4" a="1"/>
  <c r="AJ48" i="4" s="1"/>
  <c r="AI48" i="4" a="1"/>
  <c r="AI48" i="4" s="1"/>
  <c r="AH48" i="4" a="1"/>
  <c r="AH48" i="4" s="1"/>
  <c r="AG48" i="4" a="1"/>
  <c r="AG48" i="4" s="1"/>
  <c r="AF48" i="4" a="1"/>
  <c r="AF48" i="4" s="1"/>
  <c r="BC40" i="4" a="1"/>
  <c r="BC40" i="4" s="1"/>
  <c r="BB40" i="4" a="1"/>
  <c r="BB40" i="4" s="1"/>
  <c r="AW40" i="4" a="1"/>
  <c r="AW40" i="4" s="1"/>
  <c r="AV40" i="4" a="1"/>
  <c r="AV40" i="4" s="1"/>
  <c r="AU40" i="4" a="1"/>
  <c r="AU40" i="4" s="1"/>
  <c r="AT40" i="4" a="1"/>
  <c r="AT40" i="4" s="1"/>
  <c r="AS40" i="4" a="1"/>
  <c r="AS40" i="4" s="1"/>
  <c r="AR40" i="4" a="1"/>
  <c r="AR40" i="4" s="1"/>
  <c r="AQ40" i="4" a="1"/>
  <c r="AQ40" i="4" s="1"/>
  <c r="AP40" i="4" a="1"/>
  <c r="AP40" i="4" s="1"/>
  <c r="AO40" i="4" a="1"/>
  <c r="AO40" i="4" s="1"/>
  <c r="AN40" i="4" a="1"/>
  <c r="AN40" i="4" s="1"/>
  <c r="AM40" i="4" a="1"/>
  <c r="AM40" i="4" s="1"/>
  <c r="AI40" i="4" a="1"/>
  <c r="AI40" i="4" s="1"/>
  <c r="AH40" i="4" a="1"/>
  <c r="AH40" i="4" s="1"/>
  <c r="AG40" i="4" a="1"/>
  <c r="AG40" i="4" s="1"/>
  <c r="AF40" i="4" a="1"/>
  <c r="AF40" i="4" s="1"/>
  <c r="BC44" i="4" a="1"/>
  <c r="BC44" i="4" s="1"/>
  <c r="BB44" i="4" a="1"/>
  <c r="BB44" i="4" s="1"/>
  <c r="AW44" i="4" a="1"/>
  <c r="AW44" i="4" s="1"/>
  <c r="AV44" i="4" a="1"/>
  <c r="AV44" i="4" s="1"/>
  <c r="AU44" i="4" a="1"/>
  <c r="AU44" i="4" s="1"/>
  <c r="AT44" i="4" a="1"/>
  <c r="AT44" i="4" s="1"/>
  <c r="AS44" i="4" a="1"/>
  <c r="AS44" i="4" s="1"/>
  <c r="AR44" i="4" a="1"/>
  <c r="AR44" i="4" s="1"/>
  <c r="AQ44" i="4" a="1"/>
  <c r="AQ44" i="4" s="1"/>
  <c r="AP44" i="4" a="1"/>
  <c r="AP44" i="4" s="1"/>
  <c r="AO44" i="4" a="1"/>
  <c r="AO44" i="4" s="1"/>
  <c r="AN44" i="4" a="1"/>
  <c r="AN44" i="4" s="1"/>
  <c r="AM44" i="4" a="1"/>
  <c r="AM44" i="4" s="1"/>
  <c r="AI44" i="4" a="1"/>
  <c r="AI44" i="4" s="1"/>
  <c r="AH44" i="4" a="1"/>
  <c r="AH44" i="4" s="1"/>
  <c r="AG44" i="4" a="1"/>
  <c r="AG44" i="4" s="1"/>
  <c r="AF44" i="4" a="1"/>
  <c r="AF44" i="4" s="1"/>
  <c r="BC28" i="4" a="1"/>
  <c r="BC28" i="4" s="1"/>
  <c r="BB28" i="4" a="1"/>
  <c r="BB28" i="4" s="1"/>
  <c r="AW28" i="4" a="1"/>
  <c r="AW28" i="4" s="1"/>
  <c r="AV28" i="4" a="1"/>
  <c r="AV28" i="4" s="1"/>
  <c r="AU28" i="4" a="1"/>
  <c r="AU28" i="4" s="1"/>
  <c r="AT28" i="4" a="1"/>
  <c r="AT28" i="4" s="1"/>
  <c r="AS28" i="4" a="1"/>
  <c r="AS28" i="4" s="1"/>
  <c r="AR28" i="4" a="1"/>
  <c r="AR28" i="4" s="1"/>
  <c r="AQ28" i="4" a="1"/>
  <c r="AQ28" i="4" s="1"/>
  <c r="AP28" i="4" a="1"/>
  <c r="AP28" i="4" s="1"/>
  <c r="AO28" i="4" a="1"/>
  <c r="AO28" i="4" s="1"/>
  <c r="AN28" i="4" a="1"/>
  <c r="AN28" i="4" s="1"/>
  <c r="AM28" i="4" a="1"/>
  <c r="AM28" i="4" s="1"/>
  <c r="AI28" i="4" a="1"/>
  <c r="AI28" i="4" s="1"/>
  <c r="AH28" i="4" a="1"/>
  <c r="AH28" i="4" s="1"/>
  <c r="AG28" i="4" a="1"/>
  <c r="AG28" i="4" s="1"/>
  <c r="AF28" i="4" a="1"/>
  <c r="AF28" i="4" s="1"/>
  <c r="BC65" i="4" a="1"/>
  <c r="BC65" i="4" s="1"/>
  <c r="BB65" i="4" a="1"/>
  <c r="BB65" i="4" s="1"/>
  <c r="BA65" i="4" a="1"/>
  <c r="BA65" i="4" s="1"/>
  <c r="AZ65" i="4" a="1"/>
  <c r="AZ65" i="4" s="1"/>
  <c r="AY65" i="4" a="1"/>
  <c r="AY65" i="4" s="1"/>
  <c r="AX65" i="4" a="1"/>
  <c r="AX65" i="4" s="1"/>
  <c r="AW65" i="4" a="1"/>
  <c r="AW65" i="4" s="1"/>
  <c r="AV65" i="4" a="1"/>
  <c r="AV65" i="4" s="1"/>
  <c r="AU65" i="4" a="1"/>
  <c r="AU65" i="4" s="1"/>
  <c r="AT65" i="4" a="1"/>
  <c r="AT65" i="4" s="1"/>
  <c r="AS65" i="4" a="1"/>
  <c r="AS65" i="4" s="1"/>
  <c r="AR65" i="4" a="1"/>
  <c r="AR65" i="4" s="1"/>
  <c r="AQ65" i="4" a="1"/>
  <c r="AQ65" i="4" s="1"/>
  <c r="AP65" i="4" a="1"/>
  <c r="AP65" i="4" s="1"/>
  <c r="AO65" i="4" a="1"/>
  <c r="AO65" i="4" s="1"/>
  <c r="AN65" i="4" a="1"/>
  <c r="AN65" i="4" s="1"/>
  <c r="AM65" i="4" a="1"/>
  <c r="AM65" i="4" s="1"/>
  <c r="AL65" i="4" a="1"/>
  <c r="AL65" i="4" s="1"/>
  <c r="AK65" i="4" a="1"/>
  <c r="AK65" i="4" s="1"/>
  <c r="AJ65" i="4" a="1"/>
  <c r="AJ65" i="4" s="1"/>
  <c r="AI65" i="4" a="1"/>
  <c r="AI65" i="4" s="1"/>
  <c r="AH65" i="4" a="1"/>
  <c r="AH65" i="4" s="1"/>
  <c r="AG65" i="4" a="1"/>
  <c r="AG65" i="4" s="1"/>
  <c r="AF65" i="4" a="1"/>
  <c r="AF65" i="4" s="1"/>
  <c r="BC43" i="4" a="1"/>
  <c r="BC43" i="4" s="1"/>
  <c r="BB43" i="4" a="1"/>
  <c r="BB43" i="4" s="1"/>
  <c r="AW43" i="4" a="1"/>
  <c r="AW43" i="4" s="1"/>
  <c r="AV43" i="4" a="1"/>
  <c r="AV43" i="4" s="1"/>
  <c r="AU43" i="4" a="1"/>
  <c r="AU43" i="4" s="1"/>
  <c r="AT43" i="4" a="1"/>
  <c r="AT43" i="4" s="1"/>
  <c r="AS43" i="4" a="1"/>
  <c r="AS43" i="4" s="1"/>
  <c r="AR43" i="4" a="1"/>
  <c r="AR43" i="4" s="1"/>
  <c r="AQ43" i="4" a="1"/>
  <c r="AQ43" i="4" s="1"/>
  <c r="AP43" i="4" a="1"/>
  <c r="AP43" i="4" s="1"/>
  <c r="AO43" i="4" a="1"/>
  <c r="AO43" i="4" s="1"/>
  <c r="AN43" i="4" a="1"/>
  <c r="AN43" i="4" s="1"/>
  <c r="AM43" i="4" a="1"/>
  <c r="AM43" i="4" s="1"/>
  <c r="AI43" i="4" a="1"/>
  <c r="AI43" i="4" s="1"/>
  <c r="AH43" i="4" a="1"/>
  <c r="AH43" i="4" s="1"/>
  <c r="AG43" i="4" a="1"/>
  <c r="AG43" i="4" s="1"/>
  <c r="AF43" i="4" a="1"/>
  <c r="AF43" i="4" s="1"/>
  <c r="BC56" i="4" a="1"/>
  <c r="BC56" i="4" s="1"/>
  <c r="BB56" i="4" a="1"/>
  <c r="BB56" i="4" s="1"/>
  <c r="BA56" i="4" a="1"/>
  <c r="BA56" i="4" s="1"/>
  <c r="AZ56" i="4" a="1"/>
  <c r="AZ56" i="4" s="1"/>
  <c r="AY56" i="4" a="1"/>
  <c r="AY56" i="4" s="1"/>
  <c r="AX56" i="4" a="1"/>
  <c r="AX56" i="4" s="1"/>
  <c r="AW56" i="4" a="1"/>
  <c r="AW56" i="4" s="1"/>
  <c r="AV56" i="4" a="1"/>
  <c r="AV56" i="4" s="1"/>
  <c r="AU56" i="4" a="1"/>
  <c r="AU56" i="4" s="1"/>
  <c r="AT56" i="4" a="1"/>
  <c r="AT56" i="4" s="1"/>
  <c r="AS56" i="4" a="1"/>
  <c r="AS56" i="4" s="1"/>
  <c r="AR56" i="4" a="1"/>
  <c r="AR56" i="4" s="1"/>
  <c r="AQ56" i="4" a="1"/>
  <c r="AQ56" i="4" s="1"/>
  <c r="AP56" i="4" a="1"/>
  <c r="AP56" i="4" s="1"/>
  <c r="AO56" i="4" a="1"/>
  <c r="AO56" i="4" s="1"/>
  <c r="AN56" i="4" a="1"/>
  <c r="AN56" i="4" s="1"/>
  <c r="AM56" i="4" a="1"/>
  <c r="AM56" i="4" s="1"/>
  <c r="AI56" i="4" a="1"/>
  <c r="AI56" i="4" s="1"/>
  <c r="AH56" i="4" a="1"/>
  <c r="AH56" i="4" s="1"/>
  <c r="AG56" i="4" a="1"/>
  <c r="AG56" i="4" s="1"/>
  <c r="AF56" i="4" a="1"/>
  <c r="AF56" i="4" s="1"/>
  <c r="BC22" i="4" a="1"/>
  <c r="BC22" i="4" s="1"/>
  <c r="BB22" i="4" a="1"/>
  <c r="BB22" i="4" s="1"/>
  <c r="BA22" i="4" a="1"/>
  <c r="BA22" i="4" s="1"/>
  <c r="AZ22" i="4" a="1"/>
  <c r="AZ22" i="4" s="1"/>
  <c r="AY22" i="4" a="1"/>
  <c r="AY22" i="4" s="1"/>
  <c r="AX22" i="4" a="1"/>
  <c r="AX22" i="4" s="1"/>
  <c r="AW22" i="4" a="1"/>
  <c r="AW22" i="4" s="1"/>
  <c r="AV22" i="4" a="1"/>
  <c r="AV22" i="4" s="1"/>
  <c r="AU22" i="4" a="1"/>
  <c r="AU22" i="4" s="1"/>
  <c r="AT22" i="4" a="1"/>
  <c r="AT22" i="4" s="1"/>
  <c r="AS22" i="4" a="1"/>
  <c r="AS22" i="4" s="1"/>
  <c r="AR22" i="4" a="1"/>
  <c r="AR22" i="4" s="1"/>
  <c r="AQ22" i="4" a="1"/>
  <c r="AQ22" i="4" s="1"/>
  <c r="AP22" i="4" a="1"/>
  <c r="AP22" i="4" s="1"/>
  <c r="AO22" i="4" a="1"/>
  <c r="AO22" i="4" s="1"/>
  <c r="AN22" i="4" a="1"/>
  <c r="AN22" i="4" s="1"/>
  <c r="AM22" i="4" a="1"/>
  <c r="AM22" i="4" s="1"/>
  <c r="AL22" i="4" a="1"/>
  <c r="AL22" i="4" s="1"/>
  <c r="AK22" i="4" a="1"/>
  <c r="AK22" i="4" s="1"/>
  <c r="AJ22" i="4" a="1"/>
  <c r="AJ22" i="4" s="1"/>
  <c r="AI22" i="4" a="1"/>
  <c r="AI22" i="4" s="1"/>
  <c r="AH22" i="4" a="1"/>
  <c r="AH22" i="4" s="1"/>
  <c r="AG22" i="4" a="1"/>
  <c r="AG22" i="4" s="1"/>
  <c r="AF22" i="4" a="1"/>
  <c r="AF22" i="4" s="1"/>
  <c r="BC55" i="4" a="1"/>
  <c r="BC55" i="4" s="1"/>
  <c r="BB55" i="4" a="1"/>
  <c r="BB55" i="4" s="1"/>
  <c r="AW55" i="4" a="1"/>
  <c r="AW55" i="4" s="1"/>
  <c r="AV55" i="4" a="1"/>
  <c r="AV55" i="4" s="1"/>
  <c r="AU55" i="4" a="1"/>
  <c r="AU55" i="4" s="1"/>
  <c r="AT55" i="4" a="1"/>
  <c r="AT55" i="4" s="1"/>
  <c r="AS55" i="4" a="1"/>
  <c r="AS55" i="4" s="1"/>
  <c r="AR55" i="4" a="1"/>
  <c r="AR55" i="4" s="1"/>
  <c r="AQ55" i="4" a="1"/>
  <c r="AQ55" i="4" s="1"/>
  <c r="AP55" i="4" a="1"/>
  <c r="AP55" i="4" s="1"/>
  <c r="AO55" i="4" a="1"/>
  <c r="AO55" i="4" s="1"/>
  <c r="AN55" i="4" a="1"/>
  <c r="AN55" i="4" s="1"/>
  <c r="AM55" i="4" a="1"/>
  <c r="AM55" i="4" s="1"/>
  <c r="AI55" i="4" a="1"/>
  <c r="AI55" i="4" s="1"/>
  <c r="AH55" i="4" a="1"/>
  <c r="AH55" i="4" s="1"/>
  <c r="AG55" i="4" a="1"/>
  <c r="AG55" i="4" s="1"/>
  <c r="AF55" i="4" a="1"/>
  <c r="AF55" i="4" s="1"/>
  <c r="BC31" i="4" a="1"/>
  <c r="BC31" i="4" s="1"/>
  <c r="BB31" i="4" a="1"/>
  <c r="BB31" i="4" s="1"/>
  <c r="BA31" i="4" a="1"/>
  <c r="BA31" i="4" s="1"/>
  <c r="AZ31" i="4" a="1"/>
  <c r="AZ31" i="4" s="1"/>
  <c r="AY31" i="4" a="1"/>
  <c r="AY31" i="4" s="1"/>
  <c r="AX31" i="4" a="1"/>
  <c r="AX31" i="4" s="1"/>
  <c r="AW31" i="4" a="1"/>
  <c r="AW31" i="4" s="1"/>
  <c r="AV31" i="4" a="1"/>
  <c r="AV31" i="4" s="1"/>
  <c r="AU31" i="4" a="1"/>
  <c r="AU31" i="4" s="1"/>
  <c r="AT31" i="4" a="1"/>
  <c r="AT31" i="4" s="1"/>
  <c r="AS31" i="4" a="1"/>
  <c r="AS31" i="4" s="1"/>
  <c r="AR31" i="4" a="1"/>
  <c r="AR31" i="4" s="1"/>
  <c r="AQ31" i="4" a="1"/>
  <c r="AQ31" i="4" s="1"/>
  <c r="AP31" i="4" a="1"/>
  <c r="AP31" i="4" s="1"/>
  <c r="AO31" i="4" a="1"/>
  <c r="AO31" i="4" s="1"/>
  <c r="AN31" i="4" a="1"/>
  <c r="AN31" i="4" s="1"/>
  <c r="AM31" i="4" a="1"/>
  <c r="AM31" i="4" s="1"/>
  <c r="AL31" i="4" a="1"/>
  <c r="AL31" i="4" s="1"/>
  <c r="AK31" i="4" a="1"/>
  <c r="AK31" i="4" s="1"/>
  <c r="AJ31" i="4" a="1"/>
  <c r="AJ31" i="4" s="1"/>
  <c r="AI31" i="4" a="1"/>
  <c r="AI31" i="4" s="1"/>
  <c r="AH31" i="4" a="1"/>
  <c r="AH31" i="4" s="1"/>
  <c r="AG31" i="4" a="1"/>
  <c r="AG31" i="4" s="1"/>
  <c r="AF31" i="4" a="1"/>
  <c r="AF31" i="4" s="1"/>
  <c r="BC83" i="4" a="1"/>
  <c r="BC83" i="4" s="1"/>
  <c r="BB83" i="4" a="1"/>
  <c r="BB83" i="4" s="1"/>
  <c r="BA83" i="4" a="1"/>
  <c r="BA83" i="4" s="1"/>
  <c r="AZ83" i="4" a="1"/>
  <c r="AZ83" i="4" s="1"/>
  <c r="AY83" i="4" a="1"/>
  <c r="AY83" i="4" s="1"/>
  <c r="AX83" i="4" a="1"/>
  <c r="AX83" i="4" s="1"/>
  <c r="AW83" i="4" a="1"/>
  <c r="AW83" i="4" s="1"/>
  <c r="AV83" i="4" a="1"/>
  <c r="AV83" i="4" s="1"/>
  <c r="AU83" i="4" a="1"/>
  <c r="AU83" i="4" s="1"/>
  <c r="AT83" i="4" a="1"/>
  <c r="AT83" i="4" s="1"/>
  <c r="AS83" i="4" a="1"/>
  <c r="AS83" i="4" s="1"/>
  <c r="AR83" i="4" a="1"/>
  <c r="AR83" i="4" s="1"/>
  <c r="AQ83" i="4" a="1"/>
  <c r="AQ83" i="4" s="1"/>
  <c r="AP83" i="4" a="1"/>
  <c r="AP83" i="4" s="1"/>
  <c r="AO83" i="4" a="1"/>
  <c r="AO83" i="4" s="1"/>
  <c r="AN83" i="4" a="1"/>
  <c r="AN83" i="4" s="1"/>
  <c r="AM83" i="4" a="1"/>
  <c r="AM83" i="4" s="1"/>
  <c r="AL83" i="4" a="1"/>
  <c r="AL83" i="4" s="1"/>
  <c r="AK83" i="4" a="1"/>
  <c r="AK83" i="4" s="1"/>
  <c r="AJ83" i="4" a="1"/>
  <c r="AJ83" i="4" s="1"/>
  <c r="AI83" i="4" a="1"/>
  <c r="AI83" i="4" s="1"/>
  <c r="AH83" i="4" a="1"/>
  <c r="AH83" i="4" s="1"/>
  <c r="AG83" i="4" a="1"/>
  <c r="AG83" i="4" s="1"/>
  <c r="AF83" i="4" a="1"/>
  <c r="AF83" i="4" s="1"/>
  <c r="BC19" i="4" a="1"/>
  <c r="BC19" i="4" s="1"/>
  <c r="BB19" i="4" a="1"/>
  <c r="BB19" i="4" s="1"/>
  <c r="BA19" i="4" a="1"/>
  <c r="BA19" i="4" s="1"/>
  <c r="AZ19" i="4" a="1"/>
  <c r="AZ19" i="4" s="1"/>
  <c r="AY19" i="4" a="1"/>
  <c r="AY19" i="4" s="1"/>
  <c r="AX19" i="4" a="1"/>
  <c r="AX19" i="4" s="1"/>
  <c r="AW19" i="4" a="1"/>
  <c r="AW19" i="4" s="1"/>
  <c r="AV19" i="4" a="1"/>
  <c r="AV19" i="4" s="1"/>
  <c r="AU19" i="4" a="1"/>
  <c r="AU19" i="4" s="1"/>
  <c r="AT19" i="4" a="1"/>
  <c r="AT19" i="4" s="1"/>
  <c r="AS19" i="4" a="1"/>
  <c r="AS19" i="4" s="1"/>
  <c r="AR19" i="4" a="1"/>
  <c r="AR19" i="4" s="1"/>
  <c r="AQ19" i="4" a="1"/>
  <c r="AQ19" i="4" s="1"/>
  <c r="AP19" i="4" a="1"/>
  <c r="AP19" i="4" s="1"/>
  <c r="AO19" i="4" a="1"/>
  <c r="AO19" i="4" s="1"/>
  <c r="AN19" i="4" a="1"/>
  <c r="AN19" i="4" s="1"/>
  <c r="AM19" i="4" a="1"/>
  <c r="AM19" i="4" s="1"/>
  <c r="AL19" i="4" a="1"/>
  <c r="AL19" i="4" s="1"/>
  <c r="AK19" i="4" a="1"/>
  <c r="AK19" i="4" s="1"/>
  <c r="AJ19" i="4" a="1"/>
  <c r="AJ19" i="4" s="1"/>
  <c r="AI19" i="4" a="1"/>
  <c r="AI19" i="4" s="1"/>
  <c r="AH19" i="4" a="1"/>
  <c r="AH19" i="4" s="1"/>
  <c r="AG19" i="4" a="1"/>
  <c r="AG19" i="4" s="1"/>
  <c r="AF19" i="4" a="1"/>
  <c r="AF19" i="4" s="1"/>
  <c r="BC16" i="4" a="1"/>
  <c r="BC16" i="4" s="1"/>
  <c r="BB16" i="4" a="1"/>
  <c r="BB16" i="4" s="1"/>
  <c r="BA16" i="4" a="1"/>
  <c r="BA16" i="4" s="1"/>
  <c r="AZ16" i="4" a="1"/>
  <c r="AZ16" i="4" s="1"/>
  <c r="AY16" i="4" a="1"/>
  <c r="AY16" i="4" s="1"/>
  <c r="AX16" i="4" a="1"/>
  <c r="AX16" i="4" s="1"/>
  <c r="AW16" i="4" a="1"/>
  <c r="AW16" i="4" s="1"/>
  <c r="AV16" i="4" a="1"/>
  <c r="AV16" i="4" s="1"/>
  <c r="AU16" i="4" a="1"/>
  <c r="AU16" i="4" s="1"/>
  <c r="AT16" i="4" a="1"/>
  <c r="AT16" i="4" s="1"/>
  <c r="AS16" i="4" a="1"/>
  <c r="AS16" i="4" s="1"/>
  <c r="AR16" i="4" a="1"/>
  <c r="AR16" i="4" s="1"/>
  <c r="AQ16" i="4" a="1"/>
  <c r="AQ16" i="4" s="1"/>
  <c r="AP16" i="4" a="1"/>
  <c r="AP16" i="4" s="1"/>
  <c r="AO16" i="4" a="1"/>
  <c r="AO16" i="4" s="1"/>
  <c r="AN16" i="4" a="1"/>
  <c r="AN16" i="4" s="1"/>
  <c r="AM16" i="4" a="1"/>
  <c r="AM16" i="4" s="1"/>
  <c r="AL16" i="4" a="1"/>
  <c r="AL16" i="4" s="1"/>
  <c r="AK16" i="4" a="1"/>
  <c r="AK16" i="4" s="1"/>
  <c r="AJ16" i="4" a="1"/>
  <c r="AJ16" i="4" s="1"/>
  <c r="AI16" i="4" a="1"/>
  <c r="AI16" i="4" s="1"/>
  <c r="AH16" i="4" a="1"/>
  <c r="AH16" i="4" s="1"/>
  <c r="AG16" i="4" a="1"/>
  <c r="AG16" i="4" s="1"/>
  <c r="AF16" i="4" a="1"/>
  <c r="AF16" i="4" s="1"/>
  <c r="BC17" i="4" a="1"/>
  <c r="BC17" i="4" s="1"/>
  <c r="BB17" i="4" a="1"/>
  <c r="BB17" i="4" s="1"/>
  <c r="BA17" i="4" a="1"/>
  <c r="BA17" i="4" s="1"/>
  <c r="AZ17" i="4" a="1"/>
  <c r="AZ17" i="4" s="1"/>
  <c r="AY17" i="4" a="1"/>
  <c r="AY17" i="4" s="1"/>
  <c r="AX17" i="4" a="1"/>
  <c r="AX17" i="4" s="1"/>
  <c r="AW17" i="4" a="1"/>
  <c r="AW17" i="4" s="1"/>
  <c r="AV17" i="4" a="1"/>
  <c r="AV17" i="4" s="1"/>
  <c r="AU17" i="4" a="1"/>
  <c r="AU17" i="4" s="1"/>
  <c r="AT17" i="4" a="1"/>
  <c r="AT17" i="4" s="1"/>
  <c r="AS17" i="4" a="1"/>
  <c r="AS17" i="4" s="1"/>
  <c r="AR17" i="4" a="1"/>
  <c r="AR17" i="4" s="1"/>
  <c r="AQ17" i="4" a="1"/>
  <c r="AQ17" i="4" s="1"/>
  <c r="AP17" i="4" a="1"/>
  <c r="AP17" i="4" s="1"/>
  <c r="AO17" i="4" a="1"/>
  <c r="AO17" i="4" s="1"/>
  <c r="AN17" i="4" a="1"/>
  <c r="AN17" i="4" s="1"/>
  <c r="AM17" i="4" a="1"/>
  <c r="AM17" i="4" s="1"/>
  <c r="AL17" i="4" a="1"/>
  <c r="AL17" i="4" s="1"/>
  <c r="AK17" i="4" a="1"/>
  <c r="AK17" i="4" s="1"/>
  <c r="AJ17" i="4" a="1"/>
  <c r="AJ17" i="4" s="1"/>
  <c r="AI17" i="4" a="1"/>
  <c r="AI17" i="4" s="1"/>
  <c r="AH17" i="4" a="1"/>
  <c r="AH17" i="4" s="1"/>
  <c r="AG17" i="4" a="1"/>
  <c r="AG17" i="4" s="1"/>
  <c r="AF17" i="4" a="1"/>
  <c r="AF17" i="4" s="1"/>
  <c r="BC15" i="4" a="1"/>
  <c r="BC15" i="4" s="1"/>
  <c r="BB15" i="4" a="1"/>
  <c r="BB15" i="4" s="1"/>
  <c r="BA15" i="4" a="1"/>
  <c r="BA15" i="4" s="1"/>
  <c r="AZ15" i="4" a="1"/>
  <c r="AZ15" i="4" s="1"/>
  <c r="AY15" i="4" a="1"/>
  <c r="AY15" i="4" s="1"/>
  <c r="AX15" i="4" a="1"/>
  <c r="AX15" i="4" s="1"/>
  <c r="AW15" i="4" a="1"/>
  <c r="AW15" i="4" s="1"/>
  <c r="AV15" i="4" a="1"/>
  <c r="AV15" i="4" s="1"/>
  <c r="AU15" i="4" a="1"/>
  <c r="AU15" i="4" s="1"/>
  <c r="AT15" i="4" a="1"/>
  <c r="AT15" i="4" s="1"/>
  <c r="AS15" i="4" a="1"/>
  <c r="AS15" i="4" s="1"/>
  <c r="AR15" i="4" a="1"/>
  <c r="AR15" i="4" s="1"/>
  <c r="AQ15" i="4" a="1"/>
  <c r="AQ15" i="4" s="1"/>
  <c r="AP15" i="4" a="1"/>
  <c r="AP15" i="4" s="1"/>
  <c r="AO15" i="4" a="1"/>
  <c r="AO15" i="4" s="1"/>
  <c r="AN15" i="4" a="1"/>
  <c r="AN15" i="4" s="1"/>
  <c r="AM15" i="4" a="1"/>
  <c r="AM15" i="4" s="1"/>
  <c r="AL15" i="4" a="1"/>
  <c r="AL15" i="4" s="1"/>
  <c r="AK15" i="4" a="1"/>
  <c r="AK15" i="4" s="1"/>
  <c r="AJ15" i="4" a="1"/>
  <c r="AJ15" i="4" s="1"/>
  <c r="AI15" i="4" a="1"/>
  <c r="AI15" i="4" s="1"/>
  <c r="AH15" i="4" a="1"/>
  <c r="AH15" i="4" s="1"/>
  <c r="AG15" i="4" a="1"/>
  <c r="AG15" i="4" s="1"/>
  <c r="AF15" i="4" a="1"/>
  <c r="AF15" i="4" s="1"/>
  <c r="BC10" i="4" a="1"/>
  <c r="BC10" i="4" s="1"/>
  <c r="BB10" i="4" a="1"/>
  <c r="BB10" i="4" s="1"/>
  <c r="BA10" i="4" a="1"/>
  <c r="BA10" i="4" s="1"/>
  <c r="AZ10" i="4" a="1"/>
  <c r="AZ10" i="4" s="1"/>
  <c r="AY10" i="4" a="1"/>
  <c r="AY10" i="4" s="1"/>
  <c r="AX10" i="4" a="1"/>
  <c r="AX10" i="4" s="1"/>
  <c r="AW10" i="4" a="1"/>
  <c r="AW10" i="4" s="1"/>
  <c r="AV10" i="4" a="1"/>
  <c r="AV10" i="4" s="1"/>
  <c r="AU10" i="4" a="1"/>
  <c r="AU10" i="4" s="1"/>
  <c r="AT10" i="4" a="1"/>
  <c r="AT10" i="4" s="1"/>
  <c r="AS10" i="4" a="1"/>
  <c r="AS10" i="4" s="1"/>
  <c r="AR10" i="4" a="1"/>
  <c r="AR10" i="4" s="1"/>
  <c r="AQ10" i="4" a="1"/>
  <c r="AQ10" i="4" s="1"/>
  <c r="AP10" i="4" a="1"/>
  <c r="AP10" i="4" s="1"/>
  <c r="AO10" i="4" a="1"/>
  <c r="AO10" i="4" s="1"/>
  <c r="AN10" i="4" a="1"/>
  <c r="AN10" i="4" s="1"/>
  <c r="AM10" i="4" a="1"/>
  <c r="AM10" i="4" s="1"/>
  <c r="AL10" i="4" a="1"/>
  <c r="AL10" i="4" s="1"/>
  <c r="AK10" i="4" a="1"/>
  <c r="AK10" i="4" s="1"/>
  <c r="AJ10" i="4" a="1"/>
  <c r="AJ10" i="4" s="1"/>
  <c r="AI10" i="4" a="1"/>
  <c r="AI10" i="4" s="1"/>
  <c r="AH10" i="4" a="1"/>
  <c r="AH10" i="4" s="1"/>
  <c r="AG10" i="4" a="1"/>
  <c r="AG10" i="4" s="1"/>
  <c r="AF10" i="4" a="1"/>
  <c r="AF10" i="4" s="1"/>
  <c r="BC20" i="4" a="1"/>
  <c r="BC20" i="4" s="1"/>
  <c r="BB20" i="4" a="1"/>
  <c r="BB20" i="4" s="1"/>
  <c r="BA20" i="4" a="1"/>
  <c r="BA20" i="4" s="1"/>
  <c r="AZ20" i="4" a="1"/>
  <c r="AZ20" i="4" s="1"/>
  <c r="AY20" i="4" a="1"/>
  <c r="AY20" i="4" s="1"/>
  <c r="AX20" i="4" a="1"/>
  <c r="AX20" i="4" s="1"/>
  <c r="AW20" i="4" a="1"/>
  <c r="AW20" i="4" s="1"/>
  <c r="AV20" i="4" a="1"/>
  <c r="AV20" i="4" s="1"/>
  <c r="AU20" i="4" a="1"/>
  <c r="AU20" i="4" s="1"/>
  <c r="AT20" i="4" a="1"/>
  <c r="AT20" i="4" s="1"/>
  <c r="AS20" i="4" a="1"/>
  <c r="AS20" i="4" s="1"/>
  <c r="AR20" i="4" a="1"/>
  <c r="AR20" i="4" s="1"/>
  <c r="AQ20" i="4" a="1"/>
  <c r="AQ20" i="4" s="1"/>
  <c r="AP20" i="4" a="1"/>
  <c r="AP20" i="4" s="1"/>
  <c r="AO20" i="4" a="1"/>
  <c r="AO20" i="4" s="1"/>
  <c r="AN20" i="4" a="1"/>
  <c r="AN20" i="4" s="1"/>
  <c r="AM20" i="4" a="1"/>
  <c r="AM20" i="4" s="1"/>
  <c r="AL20" i="4" a="1"/>
  <c r="AL20" i="4" s="1"/>
  <c r="AK20" i="4" a="1"/>
  <c r="AK20" i="4" s="1"/>
  <c r="AJ20" i="4" a="1"/>
  <c r="AJ20" i="4" s="1"/>
  <c r="AI20" i="4" a="1"/>
  <c r="AI20" i="4" s="1"/>
  <c r="AH20" i="4" a="1"/>
  <c r="AH20" i="4" s="1"/>
  <c r="AG20" i="4" a="1"/>
  <c r="AG20" i="4" s="1"/>
  <c r="AF20" i="4" a="1"/>
  <c r="AF20" i="4" s="1"/>
  <c r="BC5" i="4" a="1"/>
  <c r="BC5" i="4" s="1"/>
  <c r="BB5" i="4" a="1"/>
  <c r="BB5" i="4" s="1"/>
  <c r="BA5" i="4" a="1"/>
  <c r="BA5" i="4" s="1"/>
  <c r="AZ5" i="4" a="1"/>
  <c r="AZ5" i="4" s="1"/>
  <c r="AY5" i="4" a="1"/>
  <c r="AY5" i="4" s="1"/>
  <c r="AX5" i="4" a="1"/>
  <c r="AX5" i="4" s="1"/>
  <c r="AW5" i="4" a="1"/>
  <c r="AW5" i="4" s="1"/>
  <c r="AV5" i="4" a="1"/>
  <c r="AV5" i="4" s="1"/>
  <c r="AU5" i="4" a="1"/>
  <c r="AU5" i="4" s="1"/>
  <c r="AT5" i="4" a="1"/>
  <c r="AT5" i="4" s="1"/>
  <c r="AS5" i="4" a="1"/>
  <c r="AS5" i="4" s="1"/>
  <c r="AR5" i="4" a="1"/>
  <c r="AR5" i="4" s="1"/>
  <c r="AQ5" i="4" a="1"/>
  <c r="AQ5" i="4" s="1"/>
  <c r="AP5" i="4" a="1"/>
  <c r="AP5" i="4" s="1"/>
  <c r="AO5" i="4" a="1"/>
  <c r="AO5" i="4" s="1"/>
  <c r="AN5" i="4" a="1"/>
  <c r="AN5" i="4" s="1"/>
  <c r="AM5" i="4" a="1"/>
  <c r="AM5" i="4" s="1"/>
  <c r="AL5" i="4" a="1"/>
  <c r="AL5" i="4" s="1"/>
  <c r="AK5" i="4" a="1"/>
  <c r="AK5" i="4" s="1"/>
  <c r="AJ5" i="4" a="1"/>
  <c r="AJ5" i="4" s="1"/>
  <c r="AI5" i="4" a="1"/>
  <c r="AI5" i="4" s="1"/>
  <c r="AH5" i="4" a="1"/>
  <c r="AH5" i="4" s="1"/>
  <c r="AG5" i="4" a="1"/>
  <c r="AG5" i="4" s="1"/>
  <c r="AF5" i="4" a="1"/>
  <c r="AF5" i="4" s="1"/>
  <c r="BC18" i="4" a="1"/>
  <c r="BC18" i="4" s="1"/>
  <c r="BB18" i="4" a="1"/>
  <c r="BB18" i="4" s="1"/>
  <c r="BA18" i="4" a="1"/>
  <c r="BA18" i="4" s="1"/>
  <c r="AZ18" i="4" a="1"/>
  <c r="AZ18" i="4" s="1"/>
  <c r="AY18" i="4" a="1"/>
  <c r="AY18" i="4" s="1"/>
  <c r="AX18" i="4" a="1"/>
  <c r="AX18" i="4" s="1"/>
  <c r="AW18" i="4" a="1"/>
  <c r="AW18" i="4" s="1"/>
  <c r="AV18" i="4" a="1"/>
  <c r="AV18" i="4" s="1"/>
  <c r="AU18" i="4" a="1"/>
  <c r="AU18" i="4" s="1"/>
  <c r="AT18" i="4" a="1"/>
  <c r="AT18" i="4" s="1"/>
  <c r="AS18" i="4" a="1"/>
  <c r="AS18" i="4" s="1"/>
  <c r="AR18" i="4" a="1"/>
  <c r="AR18" i="4" s="1"/>
  <c r="AQ18" i="4" a="1"/>
  <c r="AQ18" i="4" s="1"/>
  <c r="AP18" i="4" a="1"/>
  <c r="AP18" i="4" s="1"/>
  <c r="AO18" i="4" a="1"/>
  <c r="AO18" i="4" s="1"/>
  <c r="AN18" i="4" a="1"/>
  <c r="AN18" i="4" s="1"/>
  <c r="AM18" i="4" a="1"/>
  <c r="AM18" i="4" s="1"/>
  <c r="AL18" i="4" a="1"/>
  <c r="AL18" i="4" s="1"/>
  <c r="AK18" i="4" a="1"/>
  <c r="AK18" i="4" s="1"/>
  <c r="AJ18" i="4" a="1"/>
  <c r="AJ18" i="4" s="1"/>
  <c r="AI18" i="4" a="1"/>
  <c r="AI18" i="4" s="1"/>
  <c r="AH18" i="4" a="1"/>
  <c r="AH18" i="4" s="1"/>
  <c r="AG18" i="4" a="1"/>
  <c r="AG18" i="4" s="1"/>
  <c r="AF18" i="4" a="1"/>
  <c r="AF18" i="4" s="1"/>
  <c r="BC12" i="4" a="1"/>
  <c r="BC12" i="4" s="1"/>
  <c r="BB12" i="4" a="1"/>
  <c r="BB12" i="4" s="1"/>
  <c r="BA12" i="4" a="1"/>
  <c r="BA12" i="4" s="1"/>
  <c r="AZ12" i="4" a="1"/>
  <c r="AZ12" i="4" s="1"/>
  <c r="AY12" i="4" a="1"/>
  <c r="AY12" i="4" s="1"/>
  <c r="AX12" i="4" a="1"/>
  <c r="AX12" i="4" s="1"/>
  <c r="AW12" i="4" a="1"/>
  <c r="AW12" i="4" s="1"/>
  <c r="AV12" i="4" a="1"/>
  <c r="AV12" i="4" s="1"/>
  <c r="AU12" i="4" a="1"/>
  <c r="AU12" i="4" s="1"/>
  <c r="AT12" i="4" a="1"/>
  <c r="AT12" i="4" s="1"/>
  <c r="AS12" i="4" a="1"/>
  <c r="AS12" i="4" s="1"/>
  <c r="AR12" i="4" a="1"/>
  <c r="AR12" i="4" s="1"/>
  <c r="AQ12" i="4" a="1"/>
  <c r="AQ12" i="4" s="1"/>
  <c r="AP12" i="4" a="1"/>
  <c r="AP12" i="4" s="1"/>
  <c r="AO12" i="4" a="1"/>
  <c r="AO12" i="4" s="1"/>
  <c r="AN12" i="4" a="1"/>
  <c r="AN12" i="4" s="1"/>
  <c r="AM12" i="4" a="1"/>
  <c r="AM12" i="4" s="1"/>
  <c r="AL12" i="4" a="1"/>
  <c r="AL12" i="4" s="1"/>
  <c r="AK12" i="4" a="1"/>
  <c r="AK12" i="4" s="1"/>
  <c r="AJ12" i="4" a="1"/>
  <c r="AJ12" i="4" s="1"/>
  <c r="AI12" i="4" a="1"/>
  <c r="AI12" i="4" s="1"/>
  <c r="AH12" i="4" a="1"/>
  <c r="AH12" i="4" s="1"/>
  <c r="AG12" i="4" a="1"/>
  <c r="AG12" i="4" s="1"/>
  <c r="AF12" i="4" a="1"/>
  <c r="AF12" i="4" s="1"/>
  <c r="BC13" i="4" a="1"/>
  <c r="BC13" i="4" s="1"/>
  <c r="BB13" i="4" a="1"/>
  <c r="BB13" i="4" s="1"/>
  <c r="BA13" i="4" a="1"/>
  <c r="BA13" i="4" s="1"/>
  <c r="AZ13" i="4" a="1"/>
  <c r="AZ13" i="4" s="1"/>
  <c r="AY13" i="4" a="1"/>
  <c r="AY13" i="4" s="1"/>
  <c r="AX13" i="4" a="1"/>
  <c r="AX13" i="4" s="1"/>
  <c r="AW13" i="4" a="1"/>
  <c r="AW13" i="4" s="1"/>
  <c r="AV13" i="4" a="1"/>
  <c r="AV13" i="4" s="1"/>
  <c r="AU13" i="4" a="1"/>
  <c r="AU13" i="4" s="1"/>
  <c r="AT13" i="4" a="1"/>
  <c r="AT13" i="4" s="1"/>
  <c r="AS13" i="4" a="1"/>
  <c r="AS13" i="4" s="1"/>
  <c r="AR13" i="4" a="1"/>
  <c r="AR13" i="4" s="1"/>
  <c r="AQ13" i="4" a="1"/>
  <c r="AQ13" i="4" s="1"/>
  <c r="AP13" i="4" a="1"/>
  <c r="AP13" i="4" s="1"/>
  <c r="AO13" i="4" a="1"/>
  <c r="AO13" i="4" s="1"/>
  <c r="AN13" i="4" a="1"/>
  <c r="AN13" i="4" s="1"/>
  <c r="AM13" i="4" a="1"/>
  <c r="AM13" i="4" s="1"/>
  <c r="AL13" i="4" a="1"/>
  <c r="AL13" i="4" s="1"/>
  <c r="AK13" i="4" a="1"/>
  <c r="AK13" i="4" s="1"/>
  <c r="AJ13" i="4" a="1"/>
  <c r="AJ13" i="4" s="1"/>
  <c r="AI13" i="4" a="1"/>
  <c r="AI13" i="4" s="1"/>
  <c r="AH13" i="4" a="1"/>
  <c r="AH13" i="4" s="1"/>
  <c r="AG13" i="4" a="1"/>
  <c r="AG13" i="4" s="1"/>
  <c r="AF13" i="4" a="1"/>
  <c r="AF13" i="4" s="1"/>
  <c r="BC14" i="4" a="1"/>
  <c r="BC14" i="4" s="1"/>
  <c r="BB14" i="4" a="1"/>
  <c r="BB14" i="4" s="1"/>
  <c r="BA14" i="4" a="1"/>
  <c r="BA14" i="4" s="1"/>
  <c r="AZ14" i="4" a="1"/>
  <c r="AZ14" i="4" s="1"/>
  <c r="AY14" i="4" a="1"/>
  <c r="AY14" i="4" s="1"/>
  <c r="AX14" i="4" a="1"/>
  <c r="AX14" i="4" s="1"/>
  <c r="AW14" i="4" a="1"/>
  <c r="AW14" i="4" s="1"/>
  <c r="AV14" i="4" a="1"/>
  <c r="AV14" i="4" s="1"/>
  <c r="AU14" i="4" a="1"/>
  <c r="AU14" i="4" s="1"/>
  <c r="AT14" i="4" a="1"/>
  <c r="AT14" i="4" s="1"/>
  <c r="AS14" i="4" a="1"/>
  <c r="AS14" i="4" s="1"/>
  <c r="AR14" i="4" a="1"/>
  <c r="AR14" i="4" s="1"/>
  <c r="AQ14" i="4" a="1"/>
  <c r="AQ14" i="4" s="1"/>
  <c r="AP14" i="4" a="1"/>
  <c r="AP14" i="4" s="1"/>
  <c r="AO14" i="4" a="1"/>
  <c r="AO14" i="4" s="1"/>
  <c r="AN14" i="4" a="1"/>
  <c r="AN14" i="4" s="1"/>
  <c r="AM14" i="4" a="1"/>
  <c r="AM14" i="4" s="1"/>
  <c r="AL14" i="4" a="1"/>
  <c r="AL14" i="4" s="1"/>
  <c r="AK14" i="4" a="1"/>
  <c r="AK14" i="4" s="1"/>
  <c r="AJ14" i="4" a="1"/>
  <c r="AJ14" i="4" s="1"/>
  <c r="AI14" i="4" a="1"/>
  <c r="AI14" i="4" s="1"/>
  <c r="AH14" i="4" a="1"/>
  <c r="AH14" i="4" s="1"/>
  <c r="AG14" i="4" a="1"/>
  <c r="AG14" i="4" s="1"/>
  <c r="AF14" i="4" a="1"/>
  <c r="AF14" i="4" s="1"/>
  <c r="BC8" i="4" a="1"/>
  <c r="BC8" i="4" s="1"/>
  <c r="BB8" i="4" a="1"/>
  <c r="BB8" i="4" s="1"/>
  <c r="BA8" i="4" a="1"/>
  <c r="BA8" i="4" s="1"/>
  <c r="AZ8" i="4" a="1"/>
  <c r="AZ8" i="4" s="1"/>
  <c r="AY8" i="4" a="1"/>
  <c r="AY8" i="4" s="1"/>
  <c r="AX8" i="4" a="1"/>
  <c r="AX8" i="4" s="1"/>
  <c r="AW8" i="4" a="1"/>
  <c r="AW8" i="4" s="1"/>
  <c r="AV8" i="4" a="1"/>
  <c r="AV8" i="4" s="1"/>
  <c r="AU8" i="4" a="1"/>
  <c r="AU8" i="4" s="1"/>
  <c r="AT8" i="4" a="1"/>
  <c r="AT8" i="4" s="1"/>
  <c r="AS8" i="4" a="1"/>
  <c r="AS8" i="4" s="1"/>
  <c r="AR8" i="4" a="1"/>
  <c r="AR8" i="4" s="1"/>
  <c r="AQ8" i="4" a="1"/>
  <c r="AQ8" i="4" s="1"/>
  <c r="AP8" i="4" a="1"/>
  <c r="AP8" i="4" s="1"/>
  <c r="AO8" i="4" a="1"/>
  <c r="AO8" i="4" s="1"/>
  <c r="AN8" i="4" a="1"/>
  <c r="AN8" i="4" s="1"/>
  <c r="AM8" i="4" a="1"/>
  <c r="AM8" i="4" s="1"/>
  <c r="AL8" i="4" a="1"/>
  <c r="AL8" i="4" s="1"/>
  <c r="AK8" i="4" a="1"/>
  <c r="AK8" i="4" s="1"/>
  <c r="AJ8" i="4" a="1"/>
  <c r="AJ8" i="4" s="1"/>
  <c r="AI8" i="4" a="1"/>
  <c r="AI8" i="4" s="1"/>
  <c r="AH8" i="4" a="1"/>
  <c r="AH8" i="4" s="1"/>
  <c r="AG8" i="4" a="1"/>
  <c r="AG8" i="4" s="1"/>
  <c r="AF8" i="4" a="1"/>
  <c r="AF8" i="4" s="1"/>
  <c r="BC7" i="4" a="1"/>
  <c r="BC7" i="4" s="1"/>
  <c r="BB7" i="4" a="1"/>
  <c r="BB7" i="4" s="1"/>
  <c r="BA7" i="4" a="1"/>
  <c r="BA7" i="4" s="1"/>
  <c r="AZ7" i="4" a="1"/>
  <c r="AZ7" i="4" s="1"/>
  <c r="AY7" i="4" a="1"/>
  <c r="AY7" i="4" s="1"/>
  <c r="AX7" i="4" a="1"/>
  <c r="AX7" i="4" s="1"/>
  <c r="AW7" i="4" a="1"/>
  <c r="AW7" i="4" s="1"/>
  <c r="AV7" i="4" a="1"/>
  <c r="AV7" i="4" s="1"/>
  <c r="AU7" i="4" a="1"/>
  <c r="AU7" i="4" s="1"/>
  <c r="AT7" i="4" a="1"/>
  <c r="AT7" i="4" s="1"/>
  <c r="AS7" i="4" a="1"/>
  <c r="AS7" i="4" s="1"/>
  <c r="AR7" i="4" a="1"/>
  <c r="AR7" i="4" s="1"/>
  <c r="AQ7" i="4" a="1"/>
  <c r="AQ7" i="4" s="1"/>
  <c r="AP7" i="4" a="1"/>
  <c r="AP7" i="4" s="1"/>
  <c r="AO7" i="4" a="1"/>
  <c r="AO7" i="4" s="1"/>
  <c r="AN7" i="4" a="1"/>
  <c r="AN7" i="4" s="1"/>
  <c r="AM7" i="4" a="1"/>
  <c r="AM7" i="4" s="1"/>
  <c r="AL7" i="4" a="1"/>
  <c r="AL7" i="4" s="1"/>
  <c r="AK7" i="4" a="1"/>
  <c r="AK7" i="4" s="1"/>
  <c r="AJ7" i="4" a="1"/>
  <c r="AJ7" i="4" s="1"/>
  <c r="AI7" i="4" a="1"/>
  <c r="AI7" i="4" s="1"/>
  <c r="AH7" i="4" a="1"/>
  <c r="AH7" i="4" s="1"/>
  <c r="AG7" i="4" a="1"/>
  <c r="AG7" i="4" s="1"/>
  <c r="AF7" i="4" a="1"/>
  <c r="AF7" i="4" s="1"/>
  <c r="BC6" i="4" a="1"/>
  <c r="BC6" i="4" s="1"/>
  <c r="BB6" i="4" a="1"/>
  <c r="BB6" i="4" s="1"/>
  <c r="BA6" i="4" a="1"/>
  <c r="BA6" i="4" s="1"/>
  <c r="AZ6" i="4" a="1"/>
  <c r="AZ6" i="4" s="1"/>
  <c r="AY6" i="4" a="1"/>
  <c r="AY6" i="4" s="1"/>
  <c r="AX6" i="4" a="1"/>
  <c r="AX6" i="4" s="1"/>
  <c r="AW6" i="4" a="1"/>
  <c r="AW6" i="4" s="1"/>
  <c r="AV6" i="4" a="1"/>
  <c r="AV6" i="4" s="1"/>
  <c r="AU6" i="4" a="1"/>
  <c r="AU6" i="4" s="1"/>
  <c r="AT6" i="4" a="1"/>
  <c r="AT6" i="4" s="1"/>
  <c r="AS6" i="4" a="1"/>
  <c r="AS6" i="4" s="1"/>
  <c r="AR6" i="4" a="1"/>
  <c r="AR6" i="4" s="1"/>
  <c r="AQ6" i="4" a="1"/>
  <c r="AQ6" i="4" s="1"/>
  <c r="AP6" i="4" a="1"/>
  <c r="AP6" i="4" s="1"/>
  <c r="AO6" i="4" a="1"/>
  <c r="AO6" i="4" s="1"/>
  <c r="AN6" i="4" a="1"/>
  <c r="AN6" i="4" s="1"/>
  <c r="AM6" i="4" a="1"/>
  <c r="AM6" i="4" s="1"/>
  <c r="AL6" i="4" a="1"/>
  <c r="AL6" i="4" s="1"/>
  <c r="AK6" i="4" a="1"/>
  <c r="AK6" i="4" s="1"/>
  <c r="AJ6" i="4" a="1"/>
  <c r="AJ6" i="4" s="1"/>
  <c r="AI6" i="4" a="1"/>
  <c r="AI6" i="4" s="1"/>
  <c r="AH6" i="4" a="1"/>
  <c r="AH6" i="4" s="1"/>
  <c r="AG6" i="4" a="1"/>
  <c r="AG6" i="4" s="1"/>
  <c r="AF6" i="4" a="1"/>
  <c r="AF6" i="4" s="1"/>
  <c r="BC9" i="4" a="1"/>
  <c r="BC9" i="4" s="1"/>
  <c r="BB9" i="4" a="1"/>
  <c r="BB9" i="4" s="1"/>
  <c r="BA9" i="4" a="1"/>
  <c r="BA9" i="4" s="1"/>
  <c r="AZ9" i="4" a="1"/>
  <c r="AZ9" i="4" s="1"/>
  <c r="AY9" i="4" a="1"/>
  <c r="AY9" i="4" s="1"/>
  <c r="AX9" i="4" a="1"/>
  <c r="AX9" i="4" s="1"/>
  <c r="AW9" i="4" a="1"/>
  <c r="AW9" i="4" s="1"/>
  <c r="AV9" i="4" a="1"/>
  <c r="AV9" i="4" s="1"/>
  <c r="AU9" i="4" a="1"/>
  <c r="AU9" i="4" s="1"/>
  <c r="AT9" i="4" a="1"/>
  <c r="AT9" i="4" s="1"/>
  <c r="AS9" i="4" a="1"/>
  <c r="AS9" i="4" s="1"/>
  <c r="AR9" i="4" a="1"/>
  <c r="AR9" i="4" s="1"/>
  <c r="AQ9" i="4" a="1"/>
  <c r="AQ9" i="4" s="1"/>
  <c r="AP9" i="4" a="1"/>
  <c r="AP9" i="4" s="1"/>
  <c r="AO9" i="4" a="1"/>
  <c r="AO9" i="4" s="1"/>
  <c r="AN9" i="4" a="1"/>
  <c r="AN9" i="4" s="1"/>
  <c r="AM9" i="4" a="1"/>
  <c r="AM9" i="4" s="1"/>
  <c r="AL9" i="4" a="1"/>
  <c r="AL9" i="4" s="1"/>
  <c r="AK9" i="4" a="1"/>
  <c r="AK9" i="4" s="1"/>
  <c r="AJ9" i="4" a="1"/>
  <c r="AJ9" i="4" s="1"/>
  <c r="AI9" i="4" a="1"/>
  <c r="AI9" i="4" s="1"/>
  <c r="AH9" i="4" a="1"/>
  <c r="AH9" i="4" s="1"/>
  <c r="AG9" i="4" a="1"/>
  <c r="AG9" i="4" s="1"/>
  <c r="AF9" i="4" a="1"/>
  <c r="AF9" i="4" s="1"/>
  <c r="BC11" i="4" a="1"/>
  <c r="BC11" i="4" s="1"/>
  <c r="BB11" i="4" a="1"/>
  <c r="BB11" i="4" s="1"/>
  <c r="BA11" i="4" a="1"/>
  <c r="BA11" i="4" s="1"/>
  <c r="AZ11" i="4" a="1"/>
  <c r="AZ11" i="4" s="1"/>
  <c r="AY11" i="4" a="1"/>
  <c r="AY11" i="4" s="1"/>
  <c r="AX11" i="4" a="1"/>
  <c r="AX11" i="4" s="1"/>
  <c r="AW11" i="4" a="1"/>
  <c r="AW11" i="4" s="1"/>
  <c r="AV11" i="4" a="1"/>
  <c r="AV11" i="4" s="1"/>
  <c r="AU11" i="4" a="1"/>
  <c r="AU11" i="4" s="1"/>
  <c r="AT11" i="4" a="1"/>
  <c r="AT11" i="4" s="1"/>
  <c r="AS11" i="4" a="1"/>
  <c r="AS11" i="4" s="1"/>
  <c r="AR11" i="4" a="1"/>
  <c r="AR11" i="4" s="1"/>
  <c r="AQ11" i="4" a="1"/>
  <c r="AQ11" i="4" s="1"/>
  <c r="AP11" i="4" a="1"/>
  <c r="AP11" i="4" s="1"/>
  <c r="AO11" i="4" a="1"/>
  <c r="AO11" i="4" s="1"/>
  <c r="AN11" i="4" a="1"/>
  <c r="AN11" i="4" s="1"/>
  <c r="AM11" i="4" a="1"/>
  <c r="AM11" i="4" s="1"/>
  <c r="AL11" i="4" a="1"/>
  <c r="AL11" i="4" s="1"/>
  <c r="AK11" i="4" a="1"/>
  <c r="AK11" i="4" s="1"/>
  <c r="AJ11" i="4" a="1"/>
  <c r="AJ11" i="4" s="1"/>
  <c r="AI11" i="4" a="1"/>
  <c r="AI11" i="4" s="1"/>
  <c r="AH11" i="4" a="1"/>
  <c r="AH11" i="4" s="1"/>
  <c r="AG11" i="4" a="1"/>
  <c r="AG11" i="4" s="1"/>
  <c r="AF11" i="4" a="1"/>
  <c r="AF11" i="4" s="1"/>
  <c r="BC2" i="4" a="1"/>
  <c r="BC2" i="4" s="1"/>
  <c r="BB2" i="4" a="1"/>
  <c r="BB2" i="4" s="1"/>
  <c r="BA2" i="4" a="1"/>
  <c r="BA2" i="4" s="1"/>
  <c r="AZ2" i="4" a="1"/>
  <c r="AZ2" i="4" s="1"/>
  <c r="AY2" i="4" a="1"/>
  <c r="AY2" i="4" s="1"/>
  <c r="AX2" i="4" a="1"/>
  <c r="AX2" i="4" s="1"/>
  <c r="AW2" i="4" a="1"/>
  <c r="AW2" i="4" s="1"/>
  <c r="AV2" i="4" a="1"/>
  <c r="AV2" i="4" s="1"/>
  <c r="AU2" i="4" a="1"/>
  <c r="AU2" i="4" s="1"/>
  <c r="AT2" i="4" a="1"/>
  <c r="AT2" i="4" s="1"/>
  <c r="AS2" i="4" a="1"/>
  <c r="AS2" i="4" s="1"/>
  <c r="AR2" i="4" a="1"/>
  <c r="AR2" i="4" s="1"/>
  <c r="AQ2" i="4" a="1"/>
  <c r="AQ2" i="4" s="1"/>
  <c r="AP2" i="4" a="1"/>
  <c r="AP2" i="4" s="1"/>
  <c r="AO2" i="4" a="1"/>
  <c r="AO2" i="4" s="1"/>
  <c r="AN2" i="4" a="1"/>
  <c r="AN2" i="4" s="1"/>
  <c r="AM2" i="4" a="1"/>
  <c r="AM2" i="4" s="1"/>
  <c r="AL2" i="4" a="1"/>
  <c r="AL2" i="4" s="1"/>
  <c r="AK2" i="4" a="1"/>
  <c r="AK2" i="4" s="1"/>
  <c r="AJ2" i="4" a="1"/>
  <c r="AJ2" i="4" s="1"/>
  <c r="AI2" i="4" a="1"/>
  <c r="AI2" i="4" s="1"/>
  <c r="AH2" i="4" a="1"/>
  <c r="AH2" i="4" s="1"/>
  <c r="AG2" i="4" a="1"/>
  <c r="AG2" i="4" s="1"/>
  <c r="AF2" i="4" a="1"/>
  <c r="AF2" i="4" s="1"/>
  <c r="BC4" i="4" a="1"/>
  <c r="BC4" i="4" s="1"/>
  <c r="BB4" i="4" a="1"/>
  <c r="BB4" i="4" s="1"/>
  <c r="BA4" i="4" a="1"/>
  <c r="BA4" i="4" s="1"/>
  <c r="AZ4" i="4" a="1"/>
  <c r="AZ4" i="4" s="1"/>
  <c r="AY4" i="4" a="1"/>
  <c r="AY4" i="4" s="1"/>
  <c r="AX4" i="4" a="1"/>
  <c r="AX4" i="4" s="1"/>
  <c r="AW4" i="4" a="1"/>
  <c r="AW4" i="4" s="1"/>
  <c r="AV4" i="4" a="1"/>
  <c r="AV4" i="4" s="1"/>
  <c r="AU4" i="4" a="1"/>
  <c r="AU4" i="4" s="1"/>
  <c r="AT4" i="4" a="1"/>
  <c r="AT4" i="4" s="1"/>
  <c r="AS4" i="4" a="1"/>
  <c r="AS4" i="4" s="1"/>
  <c r="AR4" i="4" a="1"/>
  <c r="AR4" i="4" s="1"/>
  <c r="AQ4" i="4" a="1"/>
  <c r="AQ4" i="4" s="1"/>
  <c r="AP4" i="4" a="1"/>
  <c r="AP4" i="4" s="1"/>
  <c r="AO4" i="4" a="1"/>
  <c r="AO4" i="4" s="1"/>
  <c r="AN4" i="4" a="1"/>
  <c r="AN4" i="4" s="1"/>
  <c r="AM4" i="4" a="1"/>
  <c r="AM4" i="4" s="1"/>
  <c r="AL4" i="4" a="1"/>
  <c r="AL4" i="4" s="1"/>
  <c r="AK4" i="4" a="1"/>
  <c r="AK4" i="4" s="1"/>
  <c r="AJ4" i="4" a="1"/>
  <c r="AJ4" i="4" s="1"/>
  <c r="AI4" i="4" a="1"/>
  <c r="AI4" i="4" s="1"/>
  <c r="AH4" i="4" a="1"/>
  <c r="AH4" i="4" s="1"/>
  <c r="AG4" i="4" a="1"/>
  <c r="AG4" i="4" s="1"/>
  <c r="AF4" i="4" a="1"/>
  <c r="AF4" i="4" s="1"/>
  <c r="BC3" i="4" a="1"/>
  <c r="BC3" i="4" s="1"/>
  <c r="BB3" i="4" a="1"/>
  <c r="BB3" i="4" s="1"/>
  <c r="BA3" i="4" a="1"/>
  <c r="BA3" i="4" s="1"/>
  <c r="AZ3" i="4" a="1"/>
  <c r="AZ3" i="4" s="1"/>
  <c r="AY3" i="4" a="1"/>
  <c r="AY3" i="4" s="1"/>
  <c r="AX3" i="4" a="1"/>
  <c r="AX3" i="4" s="1"/>
  <c r="AW3" i="4" a="1"/>
  <c r="AW3" i="4" s="1"/>
  <c r="AV3" i="4" a="1"/>
  <c r="AV3" i="4" s="1"/>
  <c r="AU3" i="4" a="1"/>
  <c r="AU3" i="4" s="1"/>
  <c r="AT3" i="4" a="1"/>
  <c r="AT3" i="4" s="1"/>
  <c r="AS3" i="4" a="1"/>
  <c r="AS3" i="4" s="1"/>
  <c r="AR3" i="4" a="1"/>
  <c r="AR3" i="4" s="1"/>
  <c r="AQ3" i="4" a="1"/>
  <c r="AQ3" i="4" s="1"/>
  <c r="AP3" i="4" a="1"/>
  <c r="AP3" i="4" s="1"/>
  <c r="AO3" i="4" a="1"/>
  <c r="AO3" i="4" s="1"/>
  <c r="AN3" i="4" a="1"/>
  <c r="AN3" i="4" s="1"/>
  <c r="AM3" i="4" a="1"/>
  <c r="AM3" i="4" s="1"/>
  <c r="AL3" i="4" a="1"/>
  <c r="AL3" i="4" s="1"/>
  <c r="AK3" i="4" a="1"/>
  <c r="AK3" i="4" s="1"/>
  <c r="AJ3" i="4" a="1"/>
  <c r="AJ3" i="4" s="1"/>
  <c r="AI3" i="4" a="1"/>
  <c r="AI3" i="4" s="1"/>
  <c r="AH3" i="4" a="1"/>
  <c r="AH3" i="4" s="1"/>
  <c r="AG3" i="4" a="1"/>
  <c r="AG3" i="4" s="1"/>
  <c r="AF3" i="4" a="1"/>
  <c r="AF3" i="4" s="1"/>
  <c r="Y58" i="1" l="1"/>
  <c r="J58" i="1"/>
  <c r="M58" i="1" s="1" a="1"/>
  <c r="M58" i="1" s="1"/>
  <c r="AL97" i="4" s="1" a="1"/>
  <c r="AL97" i="4" s="1"/>
  <c r="J57" i="1"/>
  <c r="J56" i="1"/>
  <c r="J55" i="1"/>
  <c r="M55" i="1" s="1" a="1"/>
  <c r="M55" i="1" s="1"/>
  <c r="AL51" i="4" s="1" a="1"/>
  <c r="AL51" i="4" s="1"/>
  <c r="J54" i="1"/>
  <c r="J51" i="1"/>
  <c r="Y48" i="1"/>
  <c r="AX61" i="4" s="1" a="1"/>
  <c r="AX61" i="4" s="1"/>
  <c r="J48" i="1"/>
  <c r="Y47" i="1"/>
  <c r="AX45" i="4" s="1" a="1"/>
  <c r="AX45" i="4" s="1"/>
  <c r="J47" i="1"/>
  <c r="Y41" i="1"/>
  <c r="J41" i="1"/>
  <c r="Y39" i="1"/>
  <c r="AX44" i="4" s="1" a="1"/>
  <c r="AX44" i="4" s="1"/>
  <c r="J39" i="1"/>
  <c r="Y38" i="1"/>
  <c r="J38" i="1"/>
  <c r="M37" i="1" a="1"/>
  <c r="M37" i="1" s="1"/>
  <c r="AL56" i="4" s="1" a="1"/>
  <c r="AL56" i="4" s="1"/>
  <c r="L37" i="1" a="1"/>
  <c r="L37" i="1" s="1"/>
  <c r="AK56" i="4" s="1" a="1"/>
  <c r="AK56" i="4" s="1"/>
  <c r="K37" i="1"/>
  <c r="AJ56" i="4" s="1" a="1"/>
  <c r="AJ56" i="4" s="1"/>
  <c r="M35" i="1" a="1"/>
  <c r="M35" i="1" s="1"/>
  <c r="L35" i="1" a="1"/>
  <c r="L35" i="1" s="1"/>
  <c r="K35" i="1"/>
  <c r="M33" i="1" a="1"/>
  <c r="M33" i="1" s="1"/>
  <c r="L33" i="1" a="1"/>
  <c r="L33" i="1" s="1"/>
  <c r="K33" i="1"/>
  <c r="Y36" i="1"/>
  <c r="M36" i="1" a="1"/>
  <c r="M36" i="1" s="1"/>
  <c r="L36" i="1" a="1"/>
  <c r="L36" i="1" s="1"/>
  <c r="K36" i="1"/>
  <c r="Y34" i="1"/>
  <c r="AX29" i="4" s="1" a="1"/>
  <c r="AX29" i="4" s="1"/>
  <c r="J34" i="1"/>
  <c r="Y32" i="1"/>
  <c r="AX40" i="4" s="1" a="1"/>
  <c r="AX40" i="4" s="1"/>
  <c r="J32" i="1"/>
  <c r="AB30" i="1" a="1"/>
  <c r="AB30" i="1" s="1"/>
  <c r="Y31" i="1"/>
  <c r="AX55" i="4" s="1" a="1"/>
  <c r="AX55" i="4" s="1"/>
  <c r="AA30" i="1" a="1"/>
  <c r="AA30" i="1" s="1"/>
  <c r="J31" i="1"/>
  <c r="J24" i="1"/>
  <c r="J29" i="1"/>
  <c r="J28" i="1"/>
  <c r="J27" i="1"/>
  <c r="J26" i="1"/>
  <c r="J25" i="1"/>
  <c r="J12" i="1"/>
  <c r="Z30" i="1"/>
  <c r="M30" i="1" a="1"/>
  <c r="M30" i="1" s="1"/>
  <c r="L30" i="1" a="1"/>
  <c r="L30" i="1" s="1"/>
  <c r="K30" i="1"/>
  <c r="Y22" i="1"/>
  <c r="AX37" i="4" s="1" a="1"/>
  <c r="AX37" i="4" s="1"/>
  <c r="Y20" i="1"/>
  <c r="AX58" i="4" s="1" a="1"/>
  <c r="AX58" i="4" s="1"/>
  <c r="J20" i="1"/>
  <c r="Y19" i="1"/>
  <c r="J21" i="1"/>
  <c r="J22" i="1"/>
  <c r="J23" i="1"/>
  <c r="J19" i="1"/>
  <c r="Y18" i="1"/>
  <c r="J18" i="1"/>
  <c r="Y17" i="1"/>
  <c r="J17" i="1"/>
  <c r="Y16" i="1"/>
  <c r="AX63" i="4" s="1" a="1"/>
  <c r="AX63" i="4" s="1"/>
  <c r="J16" i="1"/>
  <c r="Y15" i="1"/>
  <c r="AX39" i="4" s="1" a="1"/>
  <c r="AX39" i="4" s="1"/>
  <c r="J15" i="1"/>
  <c r="K15" i="1" s="1"/>
  <c r="AJ39" i="4" s="1" a="1"/>
  <c r="AJ39" i="4" s="1"/>
  <c r="J14" i="1"/>
  <c r="Y11" i="1"/>
  <c r="Y7" i="1"/>
  <c r="AX81" i="4" s="1" a="1"/>
  <c r="AX81" i="4" s="1"/>
  <c r="Y9" i="1"/>
  <c r="AX90" i="4" s="1" a="1"/>
  <c r="AX90" i="4" s="1"/>
  <c r="Y13" i="1"/>
  <c r="AX85" i="4" s="1" a="1"/>
  <c r="AX85" i="4" s="1"/>
  <c r="Y14" i="1"/>
  <c r="AX60" i="4" s="1" a="1"/>
  <c r="AX60" i="4" s="1"/>
  <c r="Y6" i="1"/>
  <c r="AX80" i="4" s="1" a="1"/>
  <c r="AX80" i="4" s="1"/>
  <c r="Y4" i="1"/>
  <c r="AX41" i="4" s="1" a="1"/>
  <c r="AX41" i="4" s="1"/>
  <c r="Y3" i="1"/>
  <c r="AX66" i="4" s="1" a="1"/>
  <c r="AX66" i="4" s="1"/>
  <c r="J3" i="1"/>
  <c r="Y5" i="1"/>
  <c r="AX79" i="4" s="1" a="1"/>
  <c r="AX79" i="4" s="1"/>
  <c r="J11" i="1"/>
  <c r="K11" i="1" s="1"/>
  <c r="AJ77" i="4" s="1" a="1"/>
  <c r="AJ77" i="4" s="1"/>
  <c r="J9" i="1"/>
  <c r="J8" i="1"/>
  <c r="J7" i="1"/>
  <c r="J6" i="1"/>
  <c r="J5" i="1"/>
  <c r="J4" i="1"/>
  <c r="AB38" i="1" l="1" a="1"/>
  <c r="AB38" i="1" s="1"/>
  <c r="BA43" i="4" s="1" a="1"/>
  <c r="BA43" i="4" s="1"/>
  <c r="AX43" i="4" a="1"/>
  <c r="AX43" i="4" s="1"/>
  <c r="AA18" i="1" a="1"/>
  <c r="AA18" i="1" s="1"/>
  <c r="AZ50" i="4" s="1" a="1"/>
  <c r="AZ50" i="4" s="1"/>
  <c r="AX50" i="4" a="1"/>
  <c r="AX50" i="4" s="1"/>
  <c r="Z19" i="1"/>
  <c r="AY57" i="4" s="1" a="1"/>
  <c r="AY57" i="4" s="1"/>
  <c r="AX57" i="4" a="1"/>
  <c r="AX57" i="4" s="1"/>
  <c r="AA17" i="1" a="1"/>
  <c r="AA17" i="1" s="1"/>
  <c r="AZ64" i="4" s="1" a="1"/>
  <c r="AZ64" i="4" s="1"/>
  <c r="AX64" i="4" a="1"/>
  <c r="AX64" i="4" s="1"/>
  <c r="K20" i="1"/>
  <c r="AJ58" i="4" s="1" a="1"/>
  <c r="AJ58" i="4" s="1"/>
  <c r="AI58" i="4" a="1"/>
  <c r="AI58" i="4" s="1"/>
  <c r="Z41" i="1"/>
  <c r="AY28" i="4" s="1" a="1"/>
  <c r="AY28" i="4" s="1"/>
  <c r="AX28" i="4" a="1"/>
  <c r="AX28" i="4" s="1"/>
  <c r="Z58" i="1"/>
  <c r="AY97" i="4" s="1" a="1"/>
  <c r="AY97" i="4" s="1"/>
  <c r="AX97" i="4" a="1"/>
  <c r="AX97" i="4" s="1"/>
  <c r="AA11" i="1" a="1"/>
  <c r="AA11" i="1" s="1"/>
  <c r="AZ77" i="4" s="1" a="1"/>
  <c r="AZ77" i="4" s="1"/>
  <c r="AX77" i="4" a="1"/>
  <c r="AX77" i="4" s="1"/>
  <c r="AX34" i="4" a="1"/>
  <c r="AX34" i="4" s="1"/>
  <c r="AX30" i="4" a="1"/>
  <c r="AX30" i="4" s="1"/>
  <c r="AK46" i="4" a="1"/>
  <c r="AK46" i="4" s="1"/>
  <c r="AK32" i="4" a="1"/>
  <c r="AK32" i="4" s="1"/>
  <c r="AL32" i="4" a="1"/>
  <c r="AL32" i="4" s="1"/>
  <c r="AL46" i="4" a="1"/>
  <c r="AL46" i="4" s="1"/>
  <c r="AJ34" i="4" a="1"/>
  <c r="AJ34" i="4" s="1"/>
  <c r="AJ30" i="4" a="1"/>
  <c r="AJ30" i="4" s="1"/>
  <c r="AK34" i="4" a="1"/>
  <c r="AK34" i="4" s="1"/>
  <c r="AK30" i="4" a="1"/>
  <c r="AK30" i="4" s="1"/>
  <c r="AL35" i="4" a="1"/>
  <c r="AL35" i="4" s="1"/>
  <c r="AL47" i="4" a="1"/>
  <c r="AL47" i="4" s="1"/>
  <c r="AL30" i="4" a="1"/>
  <c r="AL30" i="4" s="1"/>
  <c r="AL34" i="4" a="1"/>
  <c r="AL34" i="4" s="1"/>
  <c r="AJ47" i="4" a="1"/>
  <c r="AJ47" i="4" s="1"/>
  <c r="AJ35" i="4" a="1"/>
  <c r="AJ35" i="4" s="1"/>
  <c r="AK47" i="4" a="1"/>
  <c r="AK47" i="4" s="1"/>
  <c r="AK35" i="4" a="1"/>
  <c r="AK35" i="4" s="1"/>
  <c r="AJ32" i="4" a="1"/>
  <c r="AJ32" i="4" s="1"/>
  <c r="AJ46" i="4" a="1"/>
  <c r="AJ46" i="4" s="1"/>
  <c r="AB58" i="1" a="1"/>
  <c r="AB58" i="1" s="1"/>
  <c r="BA97" i="4" s="1" a="1"/>
  <c r="BA97" i="4" s="1"/>
  <c r="AA58" i="1" a="1"/>
  <c r="AA58" i="1" s="1"/>
  <c r="AZ97" i="4" s="1" a="1"/>
  <c r="AZ97" i="4" s="1"/>
  <c r="K58" i="1"/>
  <c r="AJ97" i="4" s="1" a="1"/>
  <c r="AJ97" i="4" s="1"/>
  <c r="L58" i="1" a="1"/>
  <c r="L58" i="1" s="1"/>
  <c r="AK97" i="4" s="1" a="1"/>
  <c r="AK97" i="4" s="1"/>
  <c r="AA41" i="1" a="1"/>
  <c r="AA41" i="1" s="1"/>
  <c r="AZ28" i="4" s="1" a="1"/>
  <c r="AZ28" i="4" s="1"/>
  <c r="AB41" i="1" a="1"/>
  <c r="AB41" i="1" s="1"/>
  <c r="BA28" i="4" s="1" a="1"/>
  <c r="BA28" i="4" s="1"/>
  <c r="K55" i="1"/>
  <c r="AJ51" i="4" s="1" a="1"/>
  <c r="AJ51" i="4" s="1"/>
  <c r="L55" i="1" a="1"/>
  <c r="L55" i="1" s="1"/>
  <c r="AK51" i="4" s="1" a="1"/>
  <c r="AK51" i="4" s="1"/>
  <c r="M57" i="1" a="1"/>
  <c r="M57" i="1" s="1"/>
  <c r="AL72" i="4" s="1" a="1"/>
  <c r="AL72" i="4" s="1"/>
  <c r="L57" i="1" a="1"/>
  <c r="L57" i="1" s="1"/>
  <c r="AK72" i="4" s="1" a="1"/>
  <c r="AK72" i="4" s="1"/>
  <c r="K57" i="1"/>
  <c r="AJ72" i="4" s="1" a="1"/>
  <c r="AJ72" i="4" s="1"/>
  <c r="K51" i="1"/>
  <c r="AJ62" i="4" s="1" a="1"/>
  <c r="AJ62" i="4" s="1"/>
  <c r="L51" i="1" a="1"/>
  <c r="L51" i="1" s="1"/>
  <c r="AK62" i="4" s="1" a="1"/>
  <c r="AK62" i="4" s="1"/>
  <c r="M51" i="1" a="1"/>
  <c r="M51" i="1" s="1"/>
  <c r="AL62" i="4" s="1" a="1"/>
  <c r="AL62" i="4" s="1"/>
  <c r="M56" i="1" a="1"/>
  <c r="M56" i="1" s="1"/>
  <c r="L56" i="1" a="1"/>
  <c r="L56" i="1" s="1"/>
  <c r="K56" i="1"/>
  <c r="M54" i="1" a="1"/>
  <c r="M54" i="1" s="1"/>
  <c r="AL38" i="4" s="1" a="1"/>
  <c r="AL38" i="4" s="1"/>
  <c r="L54" i="1" a="1"/>
  <c r="L54" i="1" s="1"/>
  <c r="AK38" i="4" s="1" a="1"/>
  <c r="AK38" i="4" s="1"/>
  <c r="K54" i="1"/>
  <c r="AJ38" i="4" s="1" a="1"/>
  <c r="AJ38" i="4" s="1"/>
  <c r="AB48" i="1" a="1"/>
  <c r="AB48" i="1" s="1"/>
  <c r="BA61" i="4" s="1" a="1"/>
  <c r="BA61" i="4" s="1"/>
  <c r="AA48" i="1" a="1"/>
  <c r="AA48" i="1" s="1"/>
  <c r="AZ61" i="4" s="1" a="1"/>
  <c r="AZ61" i="4" s="1"/>
  <c r="Z48" i="1"/>
  <c r="AY61" i="4" s="1" a="1"/>
  <c r="AY61" i="4" s="1"/>
  <c r="M48" i="1" a="1"/>
  <c r="M48" i="1" s="1"/>
  <c r="AL61" i="4" s="1" a="1"/>
  <c r="AL61" i="4" s="1"/>
  <c r="L48" i="1" a="1"/>
  <c r="L48" i="1" s="1"/>
  <c r="AK61" i="4" s="1" a="1"/>
  <c r="AK61" i="4" s="1"/>
  <c r="K48" i="1"/>
  <c r="AJ61" i="4" s="1" a="1"/>
  <c r="AJ61" i="4" s="1"/>
  <c r="AB47" i="1" a="1"/>
  <c r="AB47" i="1" s="1"/>
  <c r="BA45" i="4" s="1" a="1"/>
  <c r="BA45" i="4" s="1"/>
  <c r="AA47" i="1" a="1"/>
  <c r="AA47" i="1" s="1"/>
  <c r="AZ45" i="4" s="1" a="1"/>
  <c r="AZ45" i="4" s="1"/>
  <c r="Z47" i="1"/>
  <c r="AY45" i="4" s="1" a="1"/>
  <c r="AY45" i="4" s="1"/>
  <c r="M47" i="1" a="1"/>
  <c r="M47" i="1" s="1"/>
  <c r="AL45" i="4" s="1" a="1"/>
  <c r="AL45" i="4" s="1"/>
  <c r="L47" i="1" a="1"/>
  <c r="L47" i="1" s="1"/>
  <c r="AK45" i="4" s="1" a="1"/>
  <c r="AK45" i="4" s="1"/>
  <c r="K47" i="1"/>
  <c r="AJ45" i="4" s="1" a="1"/>
  <c r="AJ45" i="4" s="1"/>
  <c r="M41" i="1" a="1"/>
  <c r="M41" i="1" s="1"/>
  <c r="AL28" i="4" s="1" a="1"/>
  <c r="AL28" i="4" s="1"/>
  <c r="L41" i="1" a="1"/>
  <c r="L41" i="1" s="1"/>
  <c r="AK28" i="4" s="1" a="1"/>
  <c r="AK28" i="4" s="1"/>
  <c r="K41" i="1"/>
  <c r="AJ28" i="4" s="1" a="1"/>
  <c r="AJ28" i="4" s="1"/>
  <c r="AB39" i="1" a="1"/>
  <c r="AB39" i="1" s="1"/>
  <c r="BA44" i="4" s="1" a="1"/>
  <c r="BA44" i="4" s="1"/>
  <c r="AA39" i="1" a="1"/>
  <c r="AA39" i="1" s="1"/>
  <c r="AZ44" i="4" s="1" a="1"/>
  <c r="AZ44" i="4" s="1"/>
  <c r="Z39" i="1"/>
  <c r="AY44" i="4" s="1" a="1"/>
  <c r="AY44" i="4" s="1"/>
  <c r="M39" i="1" a="1"/>
  <c r="M39" i="1" s="1"/>
  <c r="AL44" i="4" s="1" a="1"/>
  <c r="AL44" i="4" s="1"/>
  <c r="L39" i="1" a="1"/>
  <c r="L39" i="1" s="1"/>
  <c r="AK44" i="4" s="1" a="1"/>
  <c r="AK44" i="4" s="1"/>
  <c r="K39" i="1"/>
  <c r="AJ44" i="4" s="1" a="1"/>
  <c r="AJ44" i="4" s="1"/>
  <c r="AA38" i="1" a="1"/>
  <c r="AA38" i="1" s="1"/>
  <c r="AZ43" i="4" s="1" a="1"/>
  <c r="AZ43" i="4" s="1"/>
  <c r="Z38" i="1"/>
  <c r="AY43" i="4" s="1" a="1"/>
  <c r="AY43" i="4" s="1"/>
  <c r="M38" i="1" a="1"/>
  <c r="M38" i="1" s="1"/>
  <c r="AL43" i="4" s="1" a="1"/>
  <c r="AL43" i="4" s="1"/>
  <c r="L38" i="1" a="1"/>
  <c r="L38" i="1" s="1"/>
  <c r="AK43" i="4" s="1" a="1"/>
  <c r="AK43" i="4" s="1"/>
  <c r="K38" i="1"/>
  <c r="AJ43" i="4" s="1" a="1"/>
  <c r="AJ43" i="4" s="1"/>
  <c r="Z36" i="1"/>
  <c r="AB36" i="1" a="1"/>
  <c r="AB36" i="1" s="1"/>
  <c r="AA36" i="1" a="1"/>
  <c r="AA36" i="1" s="1"/>
  <c r="Z32" i="1"/>
  <c r="AY40" i="4" s="1" a="1"/>
  <c r="AY40" i="4" s="1"/>
  <c r="AB32" i="1" a="1"/>
  <c r="AB32" i="1" s="1"/>
  <c r="BA40" i="4" s="1" a="1"/>
  <c r="BA40" i="4" s="1"/>
  <c r="AA32" i="1" a="1"/>
  <c r="AA32" i="1" s="1"/>
  <c r="AZ40" i="4" s="1" a="1"/>
  <c r="AZ40" i="4" s="1"/>
  <c r="AB31" i="1" a="1"/>
  <c r="AB31" i="1" s="1"/>
  <c r="BA55" i="4" s="1" a="1"/>
  <c r="BA55" i="4" s="1"/>
  <c r="AA31" i="1" a="1"/>
  <c r="AA31" i="1" s="1"/>
  <c r="AZ55" i="4" s="1" a="1"/>
  <c r="AZ55" i="4" s="1"/>
  <c r="Z31" i="1"/>
  <c r="AY55" i="4" s="1" a="1"/>
  <c r="AY55" i="4" s="1"/>
  <c r="AB34" i="1" a="1"/>
  <c r="AB34" i="1" s="1"/>
  <c r="BA29" i="4" s="1" a="1"/>
  <c r="BA29" i="4" s="1"/>
  <c r="AA34" i="1" a="1"/>
  <c r="AA34" i="1" s="1"/>
  <c r="AZ29" i="4" s="1" a="1"/>
  <c r="AZ29" i="4" s="1"/>
  <c r="Z34" i="1"/>
  <c r="AY29" i="4" s="1" a="1"/>
  <c r="AY29" i="4" s="1"/>
  <c r="M34" i="1" a="1"/>
  <c r="M34" i="1" s="1"/>
  <c r="AL29" i="4" s="1" a="1"/>
  <c r="AL29" i="4" s="1"/>
  <c r="L34" i="1" a="1"/>
  <c r="L34" i="1" s="1"/>
  <c r="AK29" i="4" s="1" a="1"/>
  <c r="AK29" i="4" s="1"/>
  <c r="K34" i="1"/>
  <c r="AJ29" i="4" s="1" a="1"/>
  <c r="AJ29" i="4" s="1"/>
  <c r="M32" i="1" a="1"/>
  <c r="M32" i="1" s="1"/>
  <c r="AL40" i="4" s="1" a="1"/>
  <c r="AL40" i="4" s="1"/>
  <c r="L32" i="1" a="1"/>
  <c r="L32" i="1" s="1"/>
  <c r="AK40" i="4" s="1" a="1"/>
  <c r="AK40" i="4" s="1"/>
  <c r="K32" i="1"/>
  <c r="AJ40" i="4" s="1" a="1"/>
  <c r="AJ40" i="4" s="1"/>
  <c r="L31" i="1" a="1"/>
  <c r="L31" i="1" s="1"/>
  <c r="AK55" i="4" s="1" a="1"/>
  <c r="AK55" i="4" s="1"/>
  <c r="K31" i="1"/>
  <c r="AJ55" i="4" s="1" a="1"/>
  <c r="AJ55" i="4" s="1"/>
  <c r="M31" i="1" a="1"/>
  <c r="M31" i="1" s="1"/>
  <c r="AL55" i="4" s="1" a="1"/>
  <c r="AL55" i="4" s="1"/>
  <c r="M29" i="1" a="1"/>
  <c r="M29" i="1" s="1"/>
  <c r="AL87" i="4" s="1" a="1"/>
  <c r="AL87" i="4" s="1"/>
  <c r="L29" i="1" a="1"/>
  <c r="L29" i="1" s="1"/>
  <c r="AK87" i="4" s="1" a="1"/>
  <c r="AK87" i="4" s="1"/>
  <c r="K29" i="1"/>
  <c r="AJ87" i="4" s="1" a="1"/>
  <c r="AJ87" i="4" s="1"/>
  <c r="M28" i="1" a="1"/>
  <c r="M28" i="1" s="1"/>
  <c r="AL91" i="4" s="1" a="1"/>
  <c r="AL91" i="4" s="1"/>
  <c r="L28" i="1" a="1"/>
  <c r="L28" i="1" s="1"/>
  <c r="AK91" i="4" s="1" a="1"/>
  <c r="AK91" i="4" s="1"/>
  <c r="K28" i="1"/>
  <c r="AJ91" i="4" s="1" a="1"/>
  <c r="AJ91" i="4" s="1"/>
  <c r="M27" i="1" a="1"/>
  <c r="M27" i="1" s="1"/>
  <c r="AL75" i="4" s="1" a="1"/>
  <c r="AL75" i="4" s="1"/>
  <c r="L27" i="1" a="1"/>
  <c r="L27" i="1" s="1"/>
  <c r="AK75" i="4" s="1" a="1"/>
  <c r="AK75" i="4" s="1"/>
  <c r="K27" i="1"/>
  <c r="AJ75" i="4" s="1" a="1"/>
  <c r="AJ75" i="4" s="1"/>
  <c r="M26" i="1" a="1"/>
  <c r="M26" i="1" s="1"/>
  <c r="AL88" i="4" s="1" a="1"/>
  <c r="AL88" i="4" s="1"/>
  <c r="L26" i="1" a="1"/>
  <c r="L26" i="1" s="1"/>
  <c r="AK88" i="4" s="1" a="1"/>
  <c r="AK88" i="4" s="1"/>
  <c r="K26" i="1"/>
  <c r="AJ88" i="4" s="1" a="1"/>
  <c r="AJ88" i="4" s="1"/>
  <c r="M25" i="1" a="1"/>
  <c r="M25" i="1" s="1"/>
  <c r="AL89" i="4" s="1" a="1"/>
  <c r="AL89" i="4" s="1"/>
  <c r="L25" i="1" a="1"/>
  <c r="L25" i="1" s="1"/>
  <c r="AK89" i="4" s="1" a="1"/>
  <c r="AK89" i="4" s="1"/>
  <c r="K25" i="1"/>
  <c r="AJ89" i="4" s="1" a="1"/>
  <c r="AJ89" i="4" s="1"/>
  <c r="L24" i="1" a="1"/>
  <c r="L24" i="1" s="1"/>
  <c r="AK86" i="4" s="1" a="1"/>
  <c r="AK86" i="4" s="1"/>
  <c r="M24" i="1" a="1"/>
  <c r="M24" i="1" s="1"/>
  <c r="AL86" i="4" s="1" a="1"/>
  <c r="AL86" i="4" s="1"/>
  <c r="K24" i="1"/>
  <c r="AJ86" i="4" s="1" a="1"/>
  <c r="AJ86" i="4" s="1"/>
  <c r="M12" i="1" a="1"/>
  <c r="M12" i="1" s="1"/>
  <c r="AL78" i="4" s="1" a="1"/>
  <c r="AL78" i="4" s="1"/>
  <c r="L12" i="1" a="1"/>
  <c r="L12" i="1" s="1"/>
  <c r="AK78" i="4" s="1" a="1"/>
  <c r="AK78" i="4" s="1"/>
  <c r="K12" i="1"/>
  <c r="AJ78" i="4" s="1" a="1"/>
  <c r="AJ78" i="4" s="1"/>
  <c r="K21" i="1"/>
  <c r="AJ54" i="4" s="1" a="1"/>
  <c r="AJ54" i="4" s="1"/>
  <c r="M21" i="1" a="1"/>
  <c r="M21" i="1" s="1"/>
  <c r="AL54" i="4" s="1" a="1"/>
  <c r="AL54" i="4" s="1"/>
  <c r="L21" i="1" a="1"/>
  <c r="L21" i="1" s="1"/>
  <c r="AK54" i="4" s="1" a="1"/>
  <c r="AK54" i="4" s="1"/>
  <c r="K23" i="1"/>
  <c r="AJ26" i="4" s="1" a="1"/>
  <c r="AJ26" i="4" s="1"/>
  <c r="M23" i="1" a="1"/>
  <c r="M23" i="1" s="1"/>
  <c r="AL26" i="4" s="1" a="1"/>
  <c r="AL26" i="4" s="1"/>
  <c r="L23" i="1" a="1"/>
  <c r="L23" i="1" s="1"/>
  <c r="AK26" i="4" s="1" a="1"/>
  <c r="AK26" i="4" s="1"/>
  <c r="L17" i="1" a="1"/>
  <c r="L17" i="1" s="1"/>
  <c r="AK64" i="4" s="1" a="1"/>
  <c r="AK64" i="4" s="1"/>
  <c r="K17" i="1"/>
  <c r="AJ64" i="4" s="1" a="1"/>
  <c r="AJ64" i="4" s="1"/>
  <c r="M17" i="1" a="1"/>
  <c r="M17" i="1" s="1"/>
  <c r="AL64" i="4" s="1" a="1"/>
  <c r="AL64" i="4" s="1"/>
  <c r="AB22" i="1" a="1"/>
  <c r="AB22" i="1" s="1"/>
  <c r="BA37" i="4" s="1" a="1"/>
  <c r="BA37" i="4" s="1"/>
  <c r="Z22" i="1"/>
  <c r="AY37" i="4" s="1" a="1"/>
  <c r="AY37" i="4" s="1"/>
  <c r="AA22" i="1" a="1"/>
  <c r="AA22" i="1" s="1"/>
  <c r="AZ37" i="4" s="1" a="1"/>
  <c r="AZ37" i="4" s="1"/>
  <c r="L19" i="1" a="1"/>
  <c r="L19" i="1" s="1"/>
  <c r="AK57" i="4" s="1" a="1"/>
  <c r="AK57" i="4" s="1"/>
  <c r="K19" i="1"/>
  <c r="AJ57" i="4" s="1" a="1"/>
  <c r="AJ57" i="4" s="1"/>
  <c r="K18" i="1"/>
  <c r="AJ50" i="4" s="1" a="1"/>
  <c r="AJ50" i="4" s="1"/>
  <c r="M18" i="1" a="1"/>
  <c r="M18" i="1" s="1"/>
  <c r="AL50" i="4" s="1" a="1"/>
  <c r="AL50" i="4" s="1"/>
  <c r="L18" i="1" a="1"/>
  <c r="L18" i="1" s="1"/>
  <c r="AK50" i="4" s="1" a="1"/>
  <c r="AK50" i="4" s="1"/>
  <c r="K16" i="1"/>
  <c r="AJ63" i="4" s="1" a="1"/>
  <c r="AJ63" i="4" s="1"/>
  <c r="L16" i="1" a="1"/>
  <c r="L16" i="1" s="1"/>
  <c r="AK63" i="4" s="1" a="1"/>
  <c r="AK63" i="4" s="1"/>
  <c r="M16" i="1" a="1"/>
  <c r="M16" i="1" s="1"/>
  <c r="AL63" i="4" s="1" a="1"/>
  <c r="AL63" i="4" s="1"/>
  <c r="M15" i="1" a="1"/>
  <c r="M15" i="1" s="1"/>
  <c r="AL39" i="4" s="1" a="1"/>
  <c r="AL39" i="4" s="1"/>
  <c r="L15" i="1" a="1"/>
  <c r="L15" i="1" s="1"/>
  <c r="AK39" i="4" s="1" a="1"/>
  <c r="AK39" i="4" s="1"/>
  <c r="M14" i="1" a="1"/>
  <c r="M14" i="1" s="1"/>
  <c r="AL60" i="4" s="1" a="1"/>
  <c r="AL60" i="4" s="1"/>
  <c r="L14" i="1" a="1"/>
  <c r="L14" i="1" s="1"/>
  <c r="AK60" i="4" s="1" a="1"/>
  <c r="AK60" i="4" s="1"/>
  <c r="K14" i="1"/>
  <c r="AJ60" i="4" s="1" a="1"/>
  <c r="AJ60" i="4" s="1"/>
  <c r="L22" i="1" a="1"/>
  <c r="L22" i="1" s="1"/>
  <c r="AK37" i="4" s="1" a="1"/>
  <c r="AK37" i="4" s="1"/>
  <c r="K22" i="1"/>
  <c r="AJ37" i="4" s="1" a="1"/>
  <c r="AJ37" i="4" s="1"/>
  <c r="M22" i="1" a="1"/>
  <c r="M22" i="1" s="1"/>
  <c r="AL37" i="4" s="1" a="1"/>
  <c r="AL37" i="4" s="1"/>
  <c r="AB20" i="1" a="1"/>
  <c r="AB20" i="1" s="1"/>
  <c r="BA58" i="4" s="1" a="1"/>
  <c r="BA58" i="4" s="1"/>
  <c r="AA20" i="1" a="1"/>
  <c r="AA20" i="1" s="1"/>
  <c r="AZ58" i="4" s="1" a="1"/>
  <c r="AZ58" i="4" s="1"/>
  <c r="Z20" i="1"/>
  <c r="AY58" i="4" s="1" a="1"/>
  <c r="AY58" i="4" s="1"/>
  <c r="M20" i="1" a="1"/>
  <c r="M20" i="1" s="1"/>
  <c r="AL58" i="4" s="1" a="1"/>
  <c r="AL58" i="4" s="1"/>
  <c r="L20" i="1" a="1"/>
  <c r="L20" i="1" s="1"/>
  <c r="AK58" i="4" s="1" a="1"/>
  <c r="AK58" i="4" s="1"/>
  <c r="M19" i="1" a="1"/>
  <c r="M19" i="1" s="1"/>
  <c r="AL57" i="4" s="1" a="1"/>
  <c r="AL57" i="4" s="1"/>
  <c r="AB19" i="1" a="1"/>
  <c r="AB19" i="1" s="1"/>
  <c r="BA57" i="4" s="1" a="1"/>
  <c r="BA57" i="4" s="1"/>
  <c r="AA19" i="1" a="1"/>
  <c r="AA19" i="1" s="1"/>
  <c r="AZ57" i="4" s="1" a="1"/>
  <c r="AZ57" i="4" s="1"/>
  <c r="AB18" i="1" a="1"/>
  <c r="AB18" i="1" s="1"/>
  <c r="BA50" i="4" s="1" a="1"/>
  <c r="BA50" i="4" s="1"/>
  <c r="Z18" i="1"/>
  <c r="AY50" i="4" s="1" a="1"/>
  <c r="AY50" i="4" s="1"/>
  <c r="AB17" i="1" a="1"/>
  <c r="AB17" i="1" s="1"/>
  <c r="BA64" i="4" s="1" a="1"/>
  <c r="BA64" i="4" s="1"/>
  <c r="Z17" i="1"/>
  <c r="AY64" i="4" s="1" a="1"/>
  <c r="AY64" i="4" s="1"/>
  <c r="AA16" i="1" a="1"/>
  <c r="AA16" i="1" s="1"/>
  <c r="AZ63" i="4" s="1" a="1"/>
  <c r="AZ63" i="4" s="1"/>
  <c r="Z16" i="1"/>
  <c r="AY63" i="4" s="1" a="1"/>
  <c r="AY63" i="4" s="1"/>
  <c r="AB16" i="1" a="1"/>
  <c r="AB16" i="1" s="1"/>
  <c r="BA63" i="4" s="1" a="1"/>
  <c r="BA63" i="4" s="1"/>
  <c r="AB15" i="1" a="1"/>
  <c r="AB15" i="1" s="1"/>
  <c r="BA39" i="4" s="1" a="1"/>
  <c r="BA39" i="4" s="1"/>
  <c r="AA15" i="1" a="1"/>
  <c r="AA15" i="1" s="1"/>
  <c r="AZ39" i="4" s="1" a="1"/>
  <c r="AZ39" i="4" s="1"/>
  <c r="Z15" i="1"/>
  <c r="AY39" i="4" s="1" a="1"/>
  <c r="AY39" i="4" s="1"/>
  <c r="Z11" i="1"/>
  <c r="AY77" i="4" s="1" a="1"/>
  <c r="AY77" i="4" s="1"/>
  <c r="AB11" i="1" a="1"/>
  <c r="AB11" i="1" s="1"/>
  <c r="BA77" i="4" s="1" a="1"/>
  <c r="BA77" i="4" s="1"/>
  <c r="AB12" i="1" a="1"/>
  <c r="AB12" i="1" s="1"/>
  <c r="BA78" i="4" s="1" a="1"/>
  <c r="BA78" i="4" s="1"/>
  <c r="AA12" i="1" a="1"/>
  <c r="AA12" i="1" s="1"/>
  <c r="AZ78" i="4" s="1" a="1"/>
  <c r="AZ78" i="4" s="1"/>
  <c r="Z12" i="1"/>
  <c r="AY78" i="4" s="1" a="1"/>
  <c r="AY78" i="4" s="1"/>
  <c r="AB13" i="1" a="1"/>
  <c r="AB13" i="1" s="1"/>
  <c r="BA85" i="4" s="1" a="1"/>
  <c r="BA85" i="4" s="1"/>
  <c r="AA13" i="1" a="1"/>
  <c r="AA13" i="1" s="1"/>
  <c r="AZ85" i="4" s="1" a="1"/>
  <c r="AZ85" i="4" s="1"/>
  <c r="Z13" i="1"/>
  <c r="AY85" i="4" s="1" a="1"/>
  <c r="AY85" i="4" s="1"/>
  <c r="Z4" i="1"/>
  <c r="AY41" i="4" s="1" a="1"/>
  <c r="AY41" i="4" s="1"/>
  <c r="AA4" i="1" a="1"/>
  <c r="AA4" i="1" s="1"/>
  <c r="AZ41" i="4" s="1" a="1"/>
  <c r="AZ41" i="4" s="1"/>
  <c r="AB4" i="1" a="1"/>
  <c r="AB4" i="1" s="1"/>
  <c r="BA41" i="4" s="1" a="1"/>
  <c r="BA41" i="4" s="1"/>
  <c r="AB3" i="1" a="1"/>
  <c r="AB3" i="1" s="1"/>
  <c r="BA66" i="4" s="1" a="1"/>
  <c r="BA66" i="4" s="1"/>
  <c r="Z3" i="1"/>
  <c r="AY66" i="4" s="1" a="1"/>
  <c r="AY66" i="4" s="1"/>
  <c r="AA3" i="1" a="1"/>
  <c r="AA3" i="1" s="1"/>
  <c r="AZ66" i="4" s="1" a="1"/>
  <c r="AZ66" i="4" s="1"/>
  <c r="AB5" i="1" a="1"/>
  <c r="AB5" i="1" s="1"/>
  <c r="BA79" i="4" s="1" a="1"/>
  <c r="BA79" i="4" s="1"/>
  <c r="AA5" i="1" a="1"/>
  <c r="AA5" i="1" s="1"/>
  <c r="AZ79" i="4" s="1" a="1"/>
  <c r="AZ79" i="4" s="1"/>
  <c r="Z5" i="1"/>
  <c r="AY79" i="4" s="1" a="1"/>
  <c r="AY79" i="4" s="1"/>
  <c r="L13" i="1" a="1"/>
  <c r="L13" i="1" s="1"/>
  <c r="AK85" i="4" s="1" a="1"/>
  <c r="AK85" i="4" s="1"/>
  <c r="M13" i="1" a="1"/>
  <c r="M13" i="1" s="1"/>
  <c r="AL85" i="4" s="1" a="1"/>
  <c r="AL85" i="4" s="1"/>
  <c r="AA7" i="1" a="1"/>
  <c r="AA7" i="1" s="1"/>
  <c r="AZ81" i="4" s="1" a="1"/>
  <c r="AZ81" i="4" s="1"/>
  <c r="Z7" i="1"/>
  <c r="AY81" i="4" s="1" a="1"/>
  <c r="AY81" i="4" s="1"/>
  <c r="AA8" i="1" a="1"/>
  <c r="AA8" i="1" s="1"/>
  <c r="AZ82" i="4" s="1" a="1"/>
  <c r="AZ82" i="4" s="1"/>
  <c r="Z8" i="1"/>
  <c r="AY82" i="4" s="1" a="1"/>
  <c r="AY82" i="4" s="1"/>
  <c r="AB8" i="1" a="1"/>
  <c r="AB8" i="1" s="1"/>
  <c r="BA82" i="4" s="1" a="1"/>
  <c r="BA82" i="4" s="1"/>
  <c r="AB9" i="1" a="1"/>
  <c r="AB9" i="1" s="1"/>
  <c r="BA90" i="4" s="1" a="1"/>
  <c r="BA90" i="4" s="1"/>
  <c r="Z9" i="1"/>
  <c r="AY90" i="4" s="1" a="1"/>
  <c r="AY90" i="4" s="1"/>
  <c r="AA9" i="1" a="1"/>
  <c r="AA9" i="1" s="1"/>
  <c r="AZ90" i="4" s="1" a="1"/>
  <c r="AZ90" i="4" s="1"/>
  <c r="AB14" i="1" a="1"/>
  <c r="AB14" i="1" s="1"/>
  <c r="BA60" i="4" s="1" a="1"/>
  <c r="BA60" i="4" s="1"/>
  <c r="AA14" i="1" a="1"/>
  <c r="AA14" i="1" s="1"/>
  <c r="AZ60" i="4" s="1" a="1"/>
  <c r="AZ60" i="4" s="1"/>
  <c r="Z14" i="1"/>
  <c r="AY60" i="4" s="1" a="1"/>
  <c r="AY60" i="4" s="1"/>
  <c r="AB7" i="1" a="1"/>
  <c r="AB7" i="1" s="1"/>
  <c r="BA81" i="4" s="1" a="1"/>
  <c r="BA81" i="4" s="1"/>
  <c r="Z6" i="1"/>
  <c r="AY80" i="4" s="1" a="1"/>
  <c r="AY80" i="4" s="1"/>
  <c r="AA6" i="1" a="1"/>
  <c r="AA6" i="1" s="1"/>
  <c r="AZ80" i="4" s="1" a="1"/>
  <c r="AZ80" i="4" s="1"/>
  <c r="AB6" i="1" a="1"/>
  <c r="AB6" i="1" s="1"/>
  <c r="BA80" i="4" s="1" a="1"/>
  <c r="BA80" i="4" s="1"/>
  <c r="M11" i="1" a="1"/>
  <c r="M11" i="1" s="1"/>
  <c r="AL77" i="4" s="1" a="1"/>
  <c r="AL77" i="4" s="1"/>
  <c r="L11" i="1" a="1"/>
  <c r="L11" i="1" s="1"/>
  <c r="AK77" i="4" s="1" a="1"/>
  <c r="AK77" i="4" s="1"/>
  <c r="L9" i="1" a="1"/>
  <c r="L9" i="1" s="1"/>
  <c r="AK90" i="4" s="1" a="1"/>
  <c r="AK90" i="4" s="1"/>
  <c r="M9" i="1" a="1"/>
  <c r="M9" i="1" s="1"/>
  <c r="AL90" i="4" s="1" a="1"/>
  <c r="AL90" i="4" s="1"/>
  <c r="K9" i="1"/>
  <c r="AJ90" i="4" s="1" a="1"/>
  <c r="AJ90" i="4" s="1"/>
  <c r="L8" i="1" a="1"/>
  <c r="L8" i="1" s="1"/>
  <c r="AK82" i="4" s="1" a="1"/>
  <c r="AK82" i="4" s="1"/>
  <c r="M8" i="1" a="1"/>
  <c r="M8" i="1" s="1"/>
  <c r="AL82" i="4" s="1" a="1"/>
  <c r="AL82" i="4" s="1"/>
  <c r="K8" i="1"/>
  <c r="AJ82" i="4" s="1" a="1"/>
  <c r="AJ82" i="4" s="1"/>
  <c r="L7" i="1" a="1"/>
  <c r="L7" i="1" s="1"/>
  <c r="AK81" i="4" s="1" a="1"/>
  <c r="AK81" i="4" s="1"/>
  <c r="K7" i="1"/>
  <c r="AJ81" i="4" s="1" a="1"/>
  <c r="AJ81" i="4" s="1"/>
  <c r="M7" i="1" a="1"/>
  <c r="M7" i="1" s="1"/>
  <c r="AL81" i="4" s="1" a="1"/>
  <c r="AL81" i="4" s="1"/>
  <c r="L6" i="1" a="1"/>
  <c r="L6" i="1" s="1"/>
  <c r="AK80" i="4" s="1" a="1"/>
  <c r="AK80" i="4" s="1"/>
  <c r="K6" i="1"/>
  <c r="AJ80" i="4" s="1" a="1"/>
  <c r="AJ80" i="4" s="1"/>
  <c r="M6" i="1" a="1"/>
  <c r="M6" i="1" s="1"/>
  <c r="AL80" i="4" s="1" a="1"/>
  <c r="AL80" i="4" s="1"/>
  <c r="L5" i="1" a="1"/>
  <c r="L5" i="1" s="1"/>
  <c r="AK79" i="4" s="1" a="1"/>
  <c r="AK79" i="4" s="1"/>
  <c r="M5" i="1" a="1"/>
  <c r="M5" i="1" s="1"/>
  <c r="AL79" i="4" s="1" a="1"/>
  <c r="AL79" i="4" s="1"/>
  <c r="K5" i="1"/>
  <c r="AJ79" i="4" s="1" a="1"/>
  <c r="AJ79" i="4" s="1"/>
  <c r="K4" i="1"/>
  <c r="AJ41" i="4" s="1" a="1"/>
  <c r="AJ41" i="4" s="1"/>
  <c r="M4" i="1" a="1"/>
  <c r="M4" i="1" s="1"/>
  <c r="AL41" i="4" s="1" a="1"/>
  <c r="AL41" i="4" s="1"/>
  <c r="L4" i="1" a="1"/>
  <c r="L4" i="1" s="1"/>
  <c r="AK41" i="4" s="1" a="1"/>
  <c r="AK41" i="4" s="1"/>
  <c r="L3" i="1" a="1"/>
  <c r="L3" i="1" s="1"/>
  <c r="AK66" i="4" s="1" a="1"/>
  <c r="AK66" i="4" s="1"/>
  <c r="M3" i="1" a="1"/>
  <c r="M3" i="1" s="1"/>
  <c r="AL66" i="4" s="1" a="1"/>
  <c r="AL66" i="4" s="1"/>
  <c r="R3" i="1"/>
  <c r="S3" i="1"/>
  <c r="K3" i="1"/>
  <c r="AJ66" i="4" s="1" a="1"/>
  <c r="AJ66" i="4" s="1"/>
  <c r="AZ34" i="4" l="1" a="1"/>
  <c r="AZ34" i="4" s="1"/>
  <c r="AZ30" i="4" a="1"/>
  <c r="AZ30" i="4" s="1"/>
  <c r="BA34" i="4" a="1"/>
  <c r="BA34" i="4" s="1"/>
  <c r="BA30" i="4" a="1"/>
  <c r="BA30" i="4" s="1"/>
  <c r="AY34" i="4" a="1"/>
  <c r="AY34" i="4" s="1"/>
  <c r="AY30" i="4" a="1"/>
  <c r="AY3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tc={08EBADC1-B005-4269-8D6C-9FBA80E334FC}</author>
  </authors>
  <commentList>
    <comment ref="G27" authorId="0" shapeId="0" xr:uid="{08EBADC1-B005-4269-8D6C-9FBA80E334FC}">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Verificar con Clau o Susanita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<sst xmlns="http://schemas.openxmlformats.org/spreadsheetml/2006/main" count="10748" uniqueCount="3383">
  <si>
    <t>Datos Generales</t>
  </si>
  <si>
    <t>INICIO DE ANP (plazos iniciales)</t>
  </si>
  <si>
    <t>SEGUIMIENTO DE ANP (ajustes al plazo)</t>
  </si>
  <si>
    <t>N°</t>
  </si>
  <si>
    <t>Año</t>
  </si>
  <si>
    <t>Acción no programada (ANP)</t>
  </si>
  <si>
    <t>Universidad</t>
  </si>
  <si>
    <t>Expediente Interno</t>
  </si>
  <si>
    <t>Expediente SUNGED</t>
  </si>
  <si>
    <t xml:space="preserve">Documento  </t>
  </si>
  <si>
    <t>Fecha de  notificación</t>
  </si>
  <si>
    <t>Días hábiles para entrega de información</t>
  </si>
  <si>
    <t>Fecha de vencimiento</t>
  </si>
  <si>
    <t>Días para el vencimiento del plazo</t>
  </si>
  <si>
    <t>Alerta (i)</t>
  </si>
  <si>
    <t>Alerta (ii)</t>
  </si>
  <si>
    <t>Estado</t>
  </si>
  <si>
    <t>Observaciones</t>
  </si>
  <si>
    <t>Última actuación</t>
  </si>
  <si>
    <t>Fecha de entrega  de presentación
(presentación real)</t>
  </si>
  <si>
    <t>Tipo de información</t>
  </si>
  <si>
    <t>Diferencia entre fecha de entrega vs. entrega real</t>
  </si>
  <si>
    <t>Tipo de solicitud</t>
  </si>
  <si>
    <t>Documento</t>
  </si>
  <si>
    <t>Fecha de notificación</t>
  </si>
  <si>
    <t>Acción Directa</t>
  </si>
  <si>
    <t xml:space="preserve">Universidad Nacional del Altiplano </t>
  </si>
  <si>
    <t>AD-001-2026</t>
  </si>
  <si>
    <t>2026INT0000001210-SUNEDU</t>
  </si>
  <si>
    <t>Oficio N° 00272-2026-SUNEDU-DS-DIRESESU-UVE</t>
  </si>
  <si>
    <t>Ajustes al plazo</t>
  </si>
  <si>
    <t>Se emitió primer reiterativo</t>
  </si>
  <si>
    <t>Reiterativo</t>
  </si>
  <si>
    <t>Oficio N° 01964-2026-SUNEDU-DS-DIRESESU-UVE</t>
  </si>
  <si>
    <t>Entregado</t>
  </si>
  <si>
    <t>OK - ABMC</t>
  </si>
  <si>
    <t>Universidad Nacional de Juliaca</t>
  </si>
  <si>
    <t>AD-003-2026</t>
  </si>
  <si>
    <t xml:space="preserve">  2025EXT0000062967-SUNEDU</t>
  </si>
  <si>
    <t>Oficio N° 00457-2026-SUNEDU-DS-DIRESESU-UVE</t>
  </si>
  <si>
    <t>Prórroga</t>
  </si>
  <si>
    <t>Oficio N° 00831-2026-SUNEDU-DS-DIRESESU-UVE</t>
  </si>
  <si>
    <t>Universidad Privada Peruana Unión</t>
  </si>
  <si>
    <t>AD-004-2026</t>
  </si>
  <si>
    <t>2026INT0000001629-SUNEDU</t>
  </si>
  <si>
    <t>Oficio N° 00438-2026-SUNEDU-DS-DIRESESU-UVE</t>
  </si>
  <si>
    <t>Visita de inspección</t>
  </si>
  <si>
    <t>Oficio N° 00854-2026-SUNEDU-DS-DIRESESU-UVE</t>
  </si>
  <si>
    <t xml:space="preserve">Universidad Nacional San Agustín de Arequipa </t>
  </si>
  <si>
    <t>AD-005-2026</t>
  </si>
  <si>
    <t>2026INT0000001642-SUNEDU</t>
  </si>
  <si>
    <t>Oficio N° 00450-2026-SUNEDU-DS-DIRESESU-UVE</t>
  </si>
  <si>
    <t>Oficio N° XXX-2026-SUNEDU-DS-DIRESESU-UVE</t>
  </si>
  <si>
    <t>Visita Remota / Verificar</t>
  </si>
  <si>
    <t>Universidad Continental</t>
  </si>
  <si>
    <t>AD-007-2026</t>
  </si>
  <si>
    <t>2026INT0000002835-SUNEDU</t>
  </si>
  <si>
    <t>Oficio N° 00684-2026-SUNEDU-DS-DIRESESU-UVE</t>
  </si>
  <si>
    <t>Acta de visita de inspección</t>
  </si>
  <si>
    <t>Universidad Nacional Agraria de La Molina</t>
  </si>
  <si>
    <t>AD-009-2026</t>
  </si>
  <si>
    <t>2026INT0000003775-SUNEDU</t>
  </si>
  <si>
    <t>Oficio N° 01181-2026-SUNEDU-DS-DIRESESU-UVE</t>
  </si>
  <si>
    <t>Universidad Nacional de San Martín</t>
  </si>
  <si>
    <t>AD-013-2026</t>
  </si>
  <si>
    <t>2026INT0000005042-SUNEDU</t>
  </si>
  <si>
    <t>Oficio N° 001831-2026-SUNEDU-DS-DIRESESU-UVE</t>
  </si>
  <si>
    <t>Universidad Nacional Autónoma de Alto Amazonas</t>
  </si>
  <si>
    <t>AD-016-2026</t>
  </si>
  <si>
    <t>Denuncia</t>
  </si>
  <si>
    <t>Universidad San Martín de Porres</t>
  </si>
  <si>
    <t>00452-2026-SUNEDU/DIRESESU-UVE</t>
  </si>
  <si>
    <t>2026EXT0000010825-SUNEDU</t>
  </si>
  <si>
    <t>Oficio N° 00932-2026-SUNEDU-DS-DIRESESU-UVE</t>
  </si>
  <si>
    <t>02073-2026-SUNEDU-DS-DIRESESU-UVE</t>
  </si>
  <si>
    <t>La Universidad presentó informaciónmediante el Oficio N°046-2026-VRA-USMP; sin embargo, mediante el Oficio N°047-2026-VRA-USMP  pidió que se deje sin efecto la documentación.</t>
  </si>
  <si>
    <t>Universidad Nacional Intercultural de la Selva Central 
Juan Santos Atahualpa</t>
  </si>
  <si>
    <t>00455-2026-SUNEDU/DIRESESU-UVE</t>
  </si>
  <si>
    <t>Oficio N° 02239-2026-SUNEDU-DS-DIRESESU-UVE</t>
  </si>
  <si>
    <t>Acta de supervisión</t>
  </si>
  <si>
    <t xml:space="preserve">Universidad Cesar Vallejo </t>
  </si>
  <si>
    <t>00925-2026-SUNEDU/DIRESESU-UVE</t>
  </si>
  <si>
    <t>Universidad Privada Norbert Wiener</t>
  </si>
  <si>
    <t>AD-006-2025</t>
  </si>
  <si>
    <t>Oficio N° 00453-2025-SUNEDU-DS-DIRESESU-UVE</t>
  </si>
  <si>
    <t xml:space="preserve"> Universidad Nacional Micaela Bastidas de Apurímac</t>
  </si>
  <si>
    <t xml:space="preserve"> AD-010-2025</t>
  </si>
  <si>
    <t>2025INT0000000421-SUNEDU</t>
  </si>
  <si>
    <t>Oficio N° 00066-2025-SUNEDU-DS-DIRESESU-UVE</t>
  </si>
  <si>
    <t>Oficio N° 04500-2025-SUNEDU-DS-DIRESESU-UVE</t>
  </si>
  <si>
    <t>AD-013-2025</t>
  </si>
  <si>
    <t>2025INT0000003215-SUNEDU</t>
  </si>
  <si>
    <t>00899-2025-SUNEDU-DS-DIRESESU-UVE</t>
  </si>
  <si>
    <t>Universidad de Ingeniería y Tecnología</t>
  </si>
  <si>
    <t>AD-019-2025</t>
  </si>
  <si>
    <t>01294-2025-SUNEDU-DS-DIRESESU-UVE</t>
  </si>
  <si>
    <t xml:space="preserve"> Universidad Nacional José Faustino Sánchez Carrión</t>
  </si>
  <si>
    <t>AD-020-2025</t>
  </si>
  <si>
    <t>2024EXT0000037874-SUNEDU</t>
  </si>
  <si>
    <t>Oficio N° 00829-2024-SUNEDU-DS-DIRESESU-UVE</t>
  </si>
  <si>
    <t xml:space="preserve"> Universidad Privada del Norte S.A.C.</t>
  </si>
  <si>
    <t>AD-029-2025</t>
  </si>
  <si>
    <t>2025INT0000006602-SUNEDU</t>
  </si>
  <si>
    <t>Oficio N° 02015-2025-SUNEDU-DS-DIRESESU-UVE</t>
  </si>
  <si>
    <t xml:space="preserve">Oficio N°03052-2025-SUNEDU-DS-DIRESESU-UVE </t>
  </si>
  <si>
    <t>AD-032-2025</t>
  </si>
  <si>
    <t>2025EXT0000037095-SUNEDU</t>
  </si>
  <si>
    <t>Acta de Supervisión</t>
  </si>
  <si>
    <t>Requerimiento complementario</t>
  </si>
  <si>
    <t>Oficio N°03029-2025-SUNEDU-DS-DIRESESU-UVE</t>
  </si>
  <si>
    <t xml:space="preserve">Falta descargar inf. de enlaces consignados en informes </t>
  </si>
  <si>
    <t>Universidad Nacional De San Antonio Abad Del Cusco</t>
  </si>
  <si>
    <t xml:space="preserve"> AD-033-2025 </t>
  </si>
  <si>
    <t>Sin actuaciones</t>
  </si>
  <si>
    <t>AD-042-2025</t>
  </si>
  <si>
    <t>Oficio N° 04289-2025-SUNEDU-DS-DIRESESU-UVE</t>
  </si>
  <si>
    <t>0012-2026-SUNEDU-DS-DIRESESU-UVE</t>
  </si>
  <si>
    <t>Universidad César Vallejo</t>
  </si>
  <si>
    <t>AD-031-2025</t>
  </si>
  <si>
    <t>Universidad Continental S.A.C</t>
  </si>
  <si>
    <t>01043-2026-SUNEDU/DIRESESU-UVE</t>
  </si>
  <si>
    <t>2026INT0000005044-SUNEDU</t>
  </si>
  <si>
    <t>Universidad Nacional Autónoma Altoandina de Tarma</t>
  </si>
  <si>
    <t>01066-2026-SUNEDU/DIRESESU-UVE</t>
  </si>
  <si>
    <t>2026EXT0000019713-SUNEDU</t>
  </si>
  <si>
    <t>Universidad Ricardo Palma</t>
  </si>
  <si>
    <t>01056-2026-SUNEDU/DIRESESU-UVE</t>
  </si>
  <si>
    <t xml:space="preserve">2026EXT0000019442-SUNEDU </t>
  </si>
  <si>
    <t>Universidad Nacional del Centro del Perú</t>
  </si>
  <si>
    <t>00167-2026-SUNEDU/DIRESESU-UVE</t>
  </si>
  <si>
    <t>2026EXT0000003691-SUNEDU</t>
  </si>
  <si>
    <t>Universidad Nacional San Luis Gonzaga</t>
  </si>
  <si>
    <t>01110-2026-SUNEDU/DIRESESU-UVE</t>
  </si>
  <si>
    <t>2026EXT0000022299-SUNEDU </t>
  </si>
  <si>
    <t xml:space="preserve">	Universidad Privada Antenor Orrego</t>
  </si>
  <si>
    <t>01052-2026-SUNEDU/DIRESESU-UVE</t>
  </si>
  <si>
    <t>2026EXT0000003866-SUNEDU</t>
  </si>
  <si>
    <t>SNP</t>
  </si>
  <si>
    <t>Universidad Nacional Tecnológica de Frontera de San Ignacio de Loyola</t>
  </si>
  <si>
    <t>EXP. 00435-2026</t>
  </si>
  <si>
    <t>2026INT0000003026-SUNEDU</t>
  </si>
  <si>
    <t>Oficio N° 00779-2026-SUNEDU-DS-DIRESESU-UVE</t>
  </si>
  <si>
    <t>---</t>
  </si>
  <si>
    <t>Reiterativo/Complementario</t>
  </si>
  <si>
    <t>Oficio N° 02029-2026-SUNEDU-DS-DIRESESU-UVE</t>
  </si>
  <si>
    <t>La Universidad solicitó reunión para absolver consultas</t>
  </si>
  <si>
    <t>UNIVERSIDAD NACIONAL DE TUMBES</t>
  </si>
  <si>
    <t>00427-2025-SUNEDU/02-13</t>
  </si>
  <si>
    <t>2024EXT0000026965-SUNEDU</t>
  </si>
  <si>
    <t>Oficio N° 01894-2025-SUNEDU-DS-DIRESESU-UVE (30.05.25)</t>
  </si>
  <si>
    <t>UNIVERSIDAD NACIONAL DE CAJAMARCA</t>
  </si>
  <si>
    <t>01445-2025-SUNEDU/02-13</t>
  </si>
  <si>
    <t>2025EXT0000006933-SUNEDU</t>
  </si>
  <si>
    <t>Oficio N° 01747-2025-SUNEDU-DS-DIRESESU-UVE (27.05.25)</t>
  </si>
  <si>
    <t>Oficio N° 01813-2026-SUNEDU-DS-DIRESESU-UVE</t>
  </si>
  <si>
    <t>UNIVERSIDAD NACIONAL DANIEL ALCIDES CARRION</t>
  </si>
  <si>
    <t>01927-2025-SUNEDU/02-13</t>
  </si>
  <si>
    <t>2024INT0000002755-SUNEDU</t>
  </si>
  <si>
    <t>05589-2025-SUNEDU-DS-DIRESESU-UVE</t>
  </si>
  <si>
    <t>No se atendió la prórroga</t>
  </si>
  <si>
    <t>UNIVERSIDAD NACIONAL DEL ALTIPLANO</t>
  </si>
  <si>
    <t>02521-2025-SUNEDU/02-13</t>
  </si>
  <si>
    <t>2025INT0000010126-SUNEDU</t>
  </si>
  <si>
    <t>Oficio N° 03316-2025-SUNEDU-DS-DIRESESU-UVE (03.09.25)</t>
  </si>
  <si>
    <t>Oficio N° 04129-2025-SUNEDU-DS-DIRESESU-UVE</t>
  </si>
  <si>
    <t>02619-2025-SUNEDU/02-13</t>
  </si>
  <si>
    <t>UNIVERSIDAD NACIONAL AUTONOMA ALTOANDINA DE TARMA</t>
  </si>
  <si>
    <t>03188-2025-SUNEDU/02-13</t>
  </si>
  <si>
    <t>2025EXT0000062629-SUNEDU</t>
  </si>
  <si>
    <t>Oficio N° 00423-2026-SUNEDU-DS-DIRESESU-UVE (02.02.26)</t>
  </si>
  <si>
    <t>Oficio N° 00820-2026-SUNEDU-DS-DIRESESU-UVE (09.03.26)</t>
  </si>
  <si>
    <t>UNIVERSIDAD NACIONAL PEDRO RUIZ GALLO</t>
  </si>
  <si>
    <t>00764-2025-SUNEDU/02-13</t>
  </si>
  <si>
    <t>2025EXT0000017393-SUNEDU</t>
  </si>
  <si>
    <t>Oficio N° 00953-2026-SUNEDU-DS-DIRESESU-UVE (19.03.26)</t>
  </si>
  <si>
    <t>UNIVERSIDAD NACIONAL CIRO ALEGRIA</t>
  </si>
  <si>
    <t>01020-2025-SUNEDU/02-13</t>
  </si>
  <si>
    <t>2025EXT0000021715-SUNEDU</t>
  </si>
  <si>
    <t>Oficio N° 03497-2025-SUNEDU-DS-DIRESESU-UVE (08.09.25)</t>
  </si>
  <si>
    <t>Oficio N° 03963-2025-SUNEDU-DS-DIRESESU-UVE</t>
  </si>
  <si>
    <t>01186-2025-SUNEDU/02-13</t>
  </si>
  <si>
    <t>2025EXT0000021720-SUNEDU</t>
  </si>
  <si>
    <t>UNIVERSIDAD TECNOLOGICA DEL PERU S.A.C.</t>
  </si>
  <si>
    <t>01035-2025-SUNEDU/02-13</t>
  </si>
  <si>
    <t>2025EXT0000021962-SUNEDU</t>
  </si>
  <si>
    <t>UNIVERSIDAD ANDINA DEL CUSCO</t>
  </si>
  <si>
    <t>01164-2025-SUNEDU/02-13</t>
  </si>
  <si>
    <t>2025EXT0000024112-SUNEDU</t>
  </si>
  <si>
    <t>Oficio N° 02359-2025-SUNEDU-DS-DIRESESU-UVE</t>
  </si>
  <si>
    <t>Oficio N° 02665-2025-SUNEDU-DS-DIRESESU-UVE</t>
  </si>
  <si>
    <t>UNIVERSIDAD CESAR VALLEJO S.A.C.</t>
  </si>
  <si>
    <t>01625-2025-SUNEDU/02-13</t>
  </si>
  <si>
    <t>2025EXT0000033071-SUNEDU</t>
  </si>
  <si>
    <t>UNIVERSIDAD PRIVADA DEL NORTE S.A.C.</t>
  </si>
  <si>
    <t>01657-2025-SUNEDU/02-13</t>
  </si>
  <si>
    <t>2025EXT0000033758-SUNEDU</t>
  </si>
  <si>
    <t>UNIVERSIDAD NACIONAL MAYOR DE SAN MARCOS</t>
  </si>
  <si>
    <t>01658-2025-SUNEDU/02-13</t>
  </si>
  <si>
    <t>2025EXT0000033852-SUNEDU</t>
  </si>
  <si>
    <t>01689-2025-SUNEDU/02-13</t>
  </si>
  <si>
    <t>2025EXT0000034474-SUNEDU</t>
  </si>
  <si>
    <t>02079-2025-SUNEDU/02-13</t>
  </si>
  <si>
    <t>2025EXT0000041666-SUNEDU</t>
  </si>
  <si>
    <t>02160-2025-SUNEDU/02-13</t>
  </si>
  <si>
    <t>2025EXT0000022994-SUNEDU
2025EXT0000029151-SUNEDU</t>
  </si>
  <si>
    <t>Oficio Nº 04148-2025-SUNEDU-DS-DIRESESU-UVE</t>
  </si>
  <si>
    <t>UNIVERSIDAD DE SAN MARTIN DE PORRES</t>
  </si>
  <si>
    <t>02556-2025-SUNEDU/02-13</t>
  </si>
  <si>
    <t>2025EXT0000048245-SUNEDU</t>
  </si>
  <si>
    <t>Oficio N° 00814-2026-SUNEDU-DS-DIRESESU-UVE (06.03.26)</t>
  </si>
  <si>
    <t xml:space="preserve"> Oficio N° 02095-2026-SUNEDU-DS-DIRESESU-UVE </t>
  </si>
  <si>
    <t>2025EXT0000049372-SUNEDU</t>
  </si>
  <si>
    <t>02735-2025-SUNEDU/02-13</t>
  </si>
  <si>
    <t>2025EXT0000051350-SUNEDU</t>
  </si>
  <si>
    <t>02779-2025-SUNEDU/02-13</t>
  </si>
  <si>
    <t>2025EXT0000052587-SUNEDU</t>
  </si>
  <si>
    <t>Oficio N° 00814-2026-SUNEDU-DS-DIRESESU-UVE</t>
  </si>
  <si>
    <t>02798-2025-SUNEDU/02-13</t>
  </si>
  <si>
    <t>2025EXT0000052884-SUNEDU
2026EXT0000016351-SUNEDU</t>
  </si>
  <si>
    <t>UNIVERSIDAD NACIONAL DE MUSICA</t>
  </si>
  <si>
    <t>03020-2025-SUNEDU/02-13</t>
  </si>
  <si>
    <t>2025EXT0000057787-SUNEDU
2025EXT0000060478-SUNEDU</t>
  </si>
  <si>
    <t>UNIVERSIDAD NACIONAL DE BARRANCA</t>
  </si>
  <si>
    <t>03072-2025-SUNEDU/02-13</t>
  </si>
  <si>
    <t>2025EXT0000058737-SUNEDU</t>
  </si>
  <si>
    <t xml:space="preserve">	OFICIO Nº 00954-2026-SUNEDU-DS-DIRESESU-UVE</t>
  </si>
  <si>
    <t>Plazo vencido - preguntar a susana</t>
  </si>
  <si>
    <t>UNIVERSIDAD NACIONAL INTERCULTURAL DE LA SELVA CENTRAL JUAN SANTOS ATAHUALPA</t>
  </si>
  <si>
    <t>03172-2025-SUNEDU/02-13</t>
  </si>
  <si>
    <t>2025EXT0000060991-SUNEDU</t>
  </si>
  <si>
    <t>Oficio N↑ 02239-2026-SUNEDU-DS-DIRESESU-UVE</t>
  </si>
  <si>
    <t>03299-2025-SUNEDU/02-13</t>
  </si>
  <si>
    <t>2025EXT0000065562-SUNEDU</t>
  </si>
  <si>
    <t>00423-2026-SUNEDU-DS-DIRESESU-UVE</t>
  </si>
  <si>
    <t>Inicio de una SNP</t>
  </si>
  <si>
    <t>UNIVERSIDAD CATOLICA DE SANTA MARIA</t>
  </si>
  <si>
    <t>03416-2025-SUNEDU/02-13</t>
  </si>
  <si>
    <t>2025EXT0000068790-SUNEDU</t>
  </si>
  <si>
    <t>OFICIO Nº 01815-2026-SUNEDU-DS-DIRESESU-UVE</t>
  </si>
  <si>
    <t>UNIVERSIDAD NACIONAL INTERCULTURAL DE QUILLABAMBA</t>
  </si>
  <si>
    <t>01116-2026-SUNEDU/DIRESESU-UVE</t>
  </si>
  <si>
    <t>2024INT0000011031-SUNEDU</t>
  </si>
  <si>
    <t>OFICIO Nº 02415-2026-SUNEDU-DS-DIRESESU-UVE</t>
  </si>
  <si>
    <t>OFICIO Nº 02927-2026-SUNEDU-DS-DIRESESU-UVE</t>
  </si>
  <si>
    <t>UNIVERSIDAD NACIONAL SAN LUIS GONZAGA</t>
  </si>
  <si>
    <t>01160-2026-SUNEDU/DIRESESU-UVE</t>
  </si>
  <si>
    <t>2026EXT0000025949-SUNEDU</t>
  </si>
  <si>
    <t>01209-2026-SUNEDU/DIRESESU-UVE</t>
  </si>
  <si>
    <t>2026EXT0000026980-SUNEDU</t>
  </si>
  <si>
    <t>UNIVERSIDAD NACIONAL FEDERICO VILLARREAL</t>
  </si>
  <si>
    <t>01155-2024-SUNEDU/02-13</t>
  </si>
  <si>
    <t>2024EXT0000038187-SUNEDU</t>
  </si>
  <si>
    <t>OFICIO Nº 02249-2026-SUNEDU-DS-DIRESESU-UVE</t>
  </si>
  <si>
    <t>UNIVERSIDAD RICARDO PALMA</t>
  </si>
  <si>
    <t>02299-2024-SUNEDU/02-13</t>
  </si>
  <si>
    <t xml:space="preserve">	2024EXT0000035994-SUNEDU</t>
  </si>
  <si>
    <t>OFICIO Nº 00931-2026-SUNEDU-DS-DIRESESU-UVE</t>
  </si>
  <si>
    <t>Universidad de Ciencias y Artes de América Latina S.A.C.</t>
  </si>
  <si>
    <t xml:space="preserve"> 02438-2024-SUNEDU/02-13</t>
  </si>
  <si>
    <t>2024INT0000014220-SUNEDU</t>
  </si>
  <si>
    <t>OFICIO Nº 02404-2025-SUNEDU-DS-DIRESESU-UVE</t>
  </si>
  <si>
    <t> 02805-2024-SUNEDU/02-13</t>
  </si>
  <si>
    <t xml:space="preserve">2024EXT0000048324-SUNEDU </t>
  </si>
  <si>
    <t>OFICIO Nº 04738-2025-SUNEDU-DS-DIRESESU-UVE</t>
  </si>
  <si>
    <t>Sí</t>
  </si>
  <si>
    <t>01134-2026-SUNEDU/DIRESESU-UVE</t>
  </si>
  <si>
    <t>Pública</t>
  </si>
  <si>
    <t>UNE</t>
  </si>
  <si>
    <t>2026INT0000006504-SUNEDU</t>
  </si>
  <si>
    <t>En trámite</t>
  </si>
  <si>
    <t>no programada - oficio</t>
  </si>
  <si>
    <t>UNIQ</t>
  </si>
  <si>
    <t>00435-2026-SUNEDU/DIRESESU-UVE</t>
  </si>
  <si>
    <t>UNIVERSIDAD NACIONAL TECNOLOGICA DE FRONTERA SAN IGNACIO DE LOYOLA</t>
  </si>
  <si>
    <t>ATENCIÓN A OTROS ASPECTOS VERIFICADOS DURANTE LA VISITA EFECTUADA CON OCASIÓN DE LA TOMA DE PARTE DE LA RESIDENCIA DE DOCENTES POR ESTUDIANTES</t>
  </si>
  <si>
    <t>No aplica</t>
  </si>
  <si>
    <t>AD-021-2026</t>
  </si>
  <si>
    <t>Accion Directa</t>
  </si>
  <si>
    <t>UNIVERSIDAD NACIONAL DE JAEN</t>
  </si>
  <si>
    <t>AD-019-2026</t>
  </si>
  <si>
    <t>UNIVERSIDAD NACIONAL AUTONOMA DE ALTO AMAZONAS</t>
  </si>
  <si>
    <t>UNAAA</t>
  </si>
  <si>
    <t>DENUNCIA QUE LA FACULTAD DE MEDICINA DE LA UNIVERSIDAD NACIONAL SAN LUIS GONZAGA (UNSLG), TRAS EL SISMO DE MAGNITUD 6.1 OCURRIDO EN ICA, PRESENTA DAÑOS ESTRUCTURALES QUE PONEN EN RIESGO LA INTEGRIDAD DE LOS ESTUDIANTES. PESE A ELLO, LA INSTITUCION CONTINUA DICTANDO CLASES PRESENCIALES SIN HABER REALIZADO LAS REPARACIONES NECESARIAS EN LA INFRAESTRUCTURA, EXPONIENDO A LA COMUNIDAD ESTUDIANTIL A CONDICIONES INSEGURAS.</t>
  </si>
  <si>
    <t>UNICA</t>
  </si>
  <si>
    <t>Web</t>
  </si>
  <si>
    <t>INDICA PRESUNTAS IRREGULARIDADES EN EL CUMPLIMIENTO DE LAS CBC DENTRO DE LAS UNIVERSIDAD NACIONAL SAN LUIS GONZAGA</t>
  </si>
  <si>
    <t>2026EXT0000022299-SUNEDU</t>
  </si>
  <si>
    <t>MP</t>
  </si>
  <si>
    <t>UNIVERSIDAD NACIONAL DE SAN MARTIN</t>
  </si>
  <si>
    <t>UNSM</t>
  </si>
  <si>
    <t>AD</t>
  </si>
  <si>
    <t>Los hechos vinculados con la CBC III, referidos a infraestructura y equipamiento, guardarían relación con denuncias anteriores. No obstante, la presente denuncia incorpora elementos nuevos relacionados con la CBC V, respecto de la disponibilidad e idoneidad docente, y con la CBC I, respecto de la currícula académica, planificación y continuidad de la oferta educativa de la Escuela Profesional de Medicina Humana.</t>
  </si>
  <si>
    <t>Denuncian una presunta situación crítica de la Escuela Profesional de Medicina Humana de la UNAAT, vinculada con riesgo de paralización, falta de infraestructura y equipamiento, ausencia de presupuesto y sostenibilidad, posible falta de docentes médicos especialistas, cuestionamientos a la conducción de la escuela, convocatoria docente y currícula académica.</t>
  </si>
  <si>
    <t>UNAAT</t>
  </si>
  <si>
    <t>SOLICITA QUE LA SUNEDU INCORPORE Y VALORE DE INMEDIATO LA TACHA SUSTANTIVA DE ROMERO REVILLA Y ADVIERTA QUE EL ASIENTO A00009 NO CONTIENE EL ESTATUTO INTEGRO Y CONSOLIDADO DE LA URP. REFERENCIA: EXP. 0229-2024-SUNEDU/02-13.</t>
  </si>
  <si>
    <t>Privada</t>
  </si>
  <si>
    <t>URP</t>
  </si>
  <si>
    <t>2026EXT0000019442-SUNEDU</t>
  </si>
  <si>
    <t>DENUNCIA PRESUNTAS IRREGULARIDADES RESPECTO A LAS CONDICIONES BASICAS DE CALIDAD DENTRO DE LA UNIVERSIDAD PRIVADA ANTENOR ORREGO.</t>
  </si>
  <si>
    <t>UNIVERSIDAD PRIVADA ANTENOR ORREGO</t>
  </si>
  <si>
    <t>UPAO</t>
  </si>
  <si>
    <t>DENUNCIA PRESUNTAS IRREGULARIDADES EN LA UNIVERSIDAD CONTINENTAL CON RESPECTO A LAS DEFICIENCIAS EN LA INFRAESTRUCTURA Y RIESGO PARA LA SEGURIDAD ESTUDIANTIL</t>
  </si>
  <si>
    <t>UNIVERSIDAD CONTINENTAL S.A.C.</t>
  </si>
  <si>
    <t>UCV</t>
  </si>
  <si>
    <t>2026EXT0000017371-SUNEDU</t>
  </si>
  <si>
    <t>UNIVERSIDAD NACIONAL AGRARIA LA MOLINA</t>
  </si>
  <si>
    <t>UNALM</t>
  </si>
  <si>
    <t>Inicio de indagaciones preliminares por ingreso de agua y lodo a instalaciones de la filial Arequipa (F01L01). Dicha situación habría generado una presunta afectación a la infraestructura del campus, lo que podría comprometer condiciones vinculadas con la seguridad y continuidad del servicio educativo (CBC III).</t>
  </si>
  <si>
    <t>Carta y/o Oficio</t>
  </si>
  <si>
    <t>EN PROCESO</t>
  </si>
  <si>
    <t>FALLECIMIENTO DE UNA ESTUDIANTE EN EL CAMPUS UNIVERSITARIO (SL01). 
LA CBC COMPRENDIDA EN ESTAS ACCIONES INICIALES CORRESPONDE A LA VI.</t>
  </si>
  <si>
    <t>UNIVERSIDAD NACIONAL DE SAN AGUSTIN DE AREQUIPA</t>
  </si>
  <si>
    <t>UNSA</t>
  </si>
  <si>
    <t>SE HA TOMADO CONOCIMIENTO DE QUE EN EL LOCAL DE LA FILIAL F01L01 VIENE FUNCIONANDO UN INSTITUTO DE EDUCACIÓN SUPERIOR DENOMINADO “ADVENTISTAS DEL TITICACA”, LO QUE PERMITIRÍA PRESUMIR EL USO COMPARTIDO DE AMBIENTES.</t>
  </si>
  <si>
    <t>UNIVERSIDAD PERUANA UNION</t>
  </si>
  <si>
    <t>UPEU</t>
  </si>
  <si>
    <t>Informe y/o Requerimiento de información</t>
  </si>
  <si>
    <t>SIN FECHA</t>
  </si>
  <si>
    <t>Falta programar</t>
  </si>
  <si>
    <t>Se realizó requerimiento, pendiente evaluación</t>
  </si>
  <si>
    <t>Se notificó el oficio que da inicio a la AD y en el cual se requirió información</t>
  </si>
  <si>
    <t>VI</t>
  </si>
  <si>
    <t>Puno</t>
  </si>
  <si>
    <t>Av. Floral N° 1153</t>
  </si>
  <si>
    <t>SL01</t>
  </si>
  <si>
    <t>Caso referido al acciones indagatorias por el fallecimiento de un estudiante en el campus (sl01) de la Universidad Nacional Del Altiplano (UNA)</t>
  </si>
  <si>
    <t>-</t>
  </si>
  <si>
    <t>DENUNCIA LA PRESUNTA INTERRUPCION DEL SERVICIO DE INTERNET —SIN AVISO PREVIO— QUE HABRIA AFECTADO EL DESARROLLO DE LAS PRACTICAS DEL CURSO DE METEOROLOGIA Y CLIMATOLOGIA EN LOS LABORATORIOS DE INGENIERIA AMBIENTAL, UBICADOS EN BAJO ALDEA, PICHANAQUI. ASIMISMO, SEÑALA QUE LOS EQUIPOS DE COMPUTO SE ENCONTRARIAN OBSOLETOS. POR ELLO, SOLICITA LA REVISION DE LAS CONDICIONES EN LAS QUE SE ENCUENTRAN LOS LABORATORIOS, A FIN DE QUE SE ADOPTEN MEDIDAS CORRECTIVAS NECESARIAS QUE GARANTICEN LA CALIDAD DEL SERVICIO EDUCATIVO Y EL ADECUADO EJERCICIO DE LA LABOR DOCENTE.</t>
  </si>
  <si>
    <t>UNISCJSA</t>
  </si>
  <si>
    <t>FUD</t>
  </si>
  <si>
    <t>SE DENUNCIA LA FALTA DE INFRAESTRUCTURA Y CONDICIONES MINIMAS DE CALIDAD DEBIDO A QUE EL EDIFICIO UNIVERSITARIO NO CUENTA CON BIBLIOTECA, ALBERGA MAS CARRERAS DE LAS QUE SU CAPACIDAD PERMITE, TIENE SALONES Y LABORATORIOS REDUCIDOS PARA MEDICINA, OBLIGA A LOS ESTUDIANTES A TRASLADARSE A OTRA SEDE PARA CURSOS ESENCIALES, Y PRESENTA DEFICIENCIAS EN ESPACIOS COMUNES COMO BAÑOS Y AREAS DE DESCANSO.</t>
  </si>
  <si>
    <t>USMP</t>
  </si>
  <si>
    <t>Se derivó al equipo de estudiantes ya que no nos correspondía atender.</t>
  </si>
  <si>
    <t>COMPLETADO</t>
  </si>
  <si>
    <t>SE DENUNCIA QUE LA UNMSM HABRIA VENIDO OFRECIENDO VACANTES EN UNA FILIAL QUE NO ESTARIA CUMPLIENDO CON LAS CONDICIONES BASICAS DE CALIDAD (CBC). PESE A ELLO, LA UNIVERSIDAD CONTINUO OFERTANDO VACANTES DURANTE LOS AÑOS 2024, 2025 Y 2026, GENERANDO UN ENGAÑO A LOS POSTULANTES, QUIENES AL INGRESAR NO CUENTAN CON INFRAESTRUCTURA ADECUADA PARA SUS CLASES. ANTE ESTA CARENCIA, LOS ESTUDIANTES HABRIAN TENIDO QUE SOLICITAR APOYO A INSTITUCIONES EXTERNAS, COMO LA MUNICIPALIDAD Y LA CASA DEL ADULTO MAYOR, PARA PODER DISPONER DE AULAS Y EVITAR RETRASOS EN SU FORMACION.</t>
  </si>
  <si>
    <t>UNMSM</t>
  </si>
  <si>
    <t>2026EXT0000006366-SUNEDU</t>
  </si>
  <si>
    <t>Derivada</t>
  </si>
  <si>
    <t>00298-2026-SUNEDU/DIRESESU-UVE</t>
  </si>
  <si>
    <t>DENUNCIA LA INEXISTENCIA O INOPERATIVIDAD DE CAMARAS DE VIDEOVIGILANCIA EN ZONAS CRITICAS, LO CUAL DEJA EN INDEFENSION A LA COMUNIDAD ESTUDIANTIL FRENTE A ACTOS DELICTIVOS.</t>
  </si>
  <si>
    <t>UNIVERSIDAD NACIONAL DEL CENTRO DEL PERU</t>
  </si>
  <si>
    <t>UNCP</t>
  </si>
  <si>
    <t>DENUNCIA QUE NO CONTARÍAN CON LAS CONDICIONES BÁSICAS DE CALIDAD PARA PODER ESTUDIAR DE MANERA CORRECTA.</t>
  </si>
  <si>
    <t>2026EXT0000001867-SUNEDU</t>
  </si>
  <si>
    <t>00096-2026-SUNEDU/DIRESESU-UVE</t>
  </si>
  <si>
    <t>Pendiente recibir información, al 26 de enero aún están en plazo (prorrogado)</t>
  </si>
  <si>
    <t>Visita de Inspección del 02.12.25 al 05.12.25, con cierre de acta el 11.12.25</t>
  </si>
  <si>
    <t>ALTA</t>
  </si>
  <si>
    <t>III
VI </t>
  </si>
  <si>
    <t>San Roman</t>
  </si>
  <si>
    <t>Denuncia trasladada por la Comisión de Fiscalización y Contraloría del Congreso de la República, referida a presuntas deficiencias en la infraestructura y servicios del campus de la Universidad Nacional de Juliaca, consistentes en la falta de laboratorios, bibliotecas, servicio de internet y comedor universitario; presunta vulneración de derechos laborales de una docente gestante; presunta contratación de personal administrativo sin concurso público e irregularidades en el cumplimiento de la Ley N.º 32171.</t>
  </si>
  <si>
    <t>UNIVERSIDAD NACIONAL DE JULIACA</t>
  </si>
  <si>
    <t>UNAJ</t>
  </si>
  <si>
    <t>Correo electrónico</t>
  </si>
  <si>
    <t>Informe N° 00446-2026-SUNEDU-DS-DIRESESU-UVE que concluye con el archivamiento de la AD.</t>
  </si>
  <si>
    <t>Falta elaborar Informe</t>
  </si>
  <si>
    <t>GIGI NASSI</t>
  </si>
  <si>
    <t>En las fotografías de la visita de inspección se advierte una situación irregular que podría transgredir las condiciones de seguridad del local, se trata de la obras de 3 pisos que se ubica sobre otros 3 pisos construidos del pabellón principal del local. En dicha línea, se estaría utilizando ambientes a la par que se desarrollan obra civil en los pisos superiores. Durante la inspección la Universidad señaló que la obra se encontraría paralizada.</t>
  </si>
  <si>
    <t>En dic 2015 remitió información solicitada en la visita de inspección realizada en dic 2025.</t>
  </si>
  <si>
    <t>BAJA</t>
  </si>
  <si>
    <t>III</t>
  </si>
  <si>
    <t>Nuevo Chimbote</t>
  </si>
  <si>
    <t>Santa</t>
  </si>
  <si>
    <t>Ancash</t>
  </si>
  <si>
    <t>Monte de Chimbote Sub Lote 1-2, Sector Pampa Alconcillo</t>
  </si>
  <si>
    <t>F04L03</t>
  </si>
  <si>
    <t>Un sector del local nuevo en Nuevo Chimbote, ubicado en la Panamerica Norte, se utiliza como depósito de muebles, material de construcción , basura, entre otros.</t>
  </si>
  <si>
    <t>2024EXT00015997-SUNEDU</t>
  </si>
  <si>
    <t>Archivado</t>
  </si>
  <si>
    <t>AD-037-2025</t>
  </si>
  <si>
    <t>No se cuenta con información específica relacionada con esta denuncia. Requerería de una búsqueda preliminar de información en la página de transparencia de la Universidad y en los portales de los proyectos de inversión, posterior a ello, se evaluaría si amerita pedidos de información puntuales y/o visita de inspección.</t>
  </si>
  <si>
    <t>Registro de denuncia (Acta de registro de información) a partir de denuncias en medios periodísticos.</t>
  </si>
  <si>
    <t>MEDIA</t>
  </si>
  <si>
    <t>19, 27, 28, 30</t>
  </si>
  <si>
    <t>Cusco</t>
  </si>
  <si>
    <t>Av. de la Cultura N° 733</t>
  </si>
  <si>
    <t>Se tomó conocimiento sobre la toma del local SL01 de la UNSAAC. Se denuncia la falta de implementación de laboratorios en diferentes escuelas profesionales, y sobre presuntas deficiencias en la vivienda universitaria (fallas estructurales y hacinamiento).</t>
  </si>
  <si>
    <t>UNIVERSIDAD NACIONAL DE SAN ANTONIO ABAD DEL CUSCO</t>
  </si>
  <si>
    <t>UNSAAC</t>
  </si>
  <si>
    <t>AD-033-2025</t>
  </si>
  <si>
    <t>Falta elaborar Informe de cierre</t>
  </si>
  <si>
    <t>Se realizó visita de inspección presencial en jun2025, y se solicitó información producto de dicha inspección en jul2025. Finalmente, se solicitó información adicional en ago2025.</t>
  </si>
  <si>
    <t>La Universidad remitió información en ago2025 ante el pedido del oficio de requerimiento de información adicional de ago2025.</t>
  </si>
  <si>
    <t>19, 30</t>
  </si>
  <si>
    <t>Los Olivos</t>
  </si>
  <si>
    <t>Lima</t>
  </si>
  <si>
    <t>Se tomó conocimiento de que la infraestructura del local F02L01 de la Universidad Privada del Norte, habría sufrido daños tras actividad sísmica registrada el domingo 15 de junio del presente año.</t>
  </si>
  <si>
    <t>UPN</t>
  </si>
  <si>
    <t>Falta atender</t>
  </si>
  <si>
    <t>Se podría cerrar el informe con una visita de inspección breve que registre el estado de los ambientes y/o infraestructura que en su momento fue identificada como afectada por el movimiento sísimico de jun2025.</t>
  </si>
  <si>
    <t>Registro de denuncia (Acta de registro de información) a partir de infografía de redes sociales.</t>
  </si>
  <si>
    <t>Av. Alfredo Mendiola N° 6232, Urbanización lotización industrial Molitalia</t>
  </si>
  <si>
    <t>F05L01</t>
  </si>
  <si>
    <t>Se tomó conocimiento de que, en el local F05L01 de la Universidad César Vallejo, el lunes 16 de junio del presente año se suspendieron las clases con el propósito de realizar una revisión preventiva de la infraestructura, tras la actividad sísmica registrada el domingo 15 de junio.</t>
  </si>
  <si>
    <t>Se realizó visita de inspección virtual.</t>
  </si>
  <si>
    <t>La Universidad remitió información en ago2025 ante el pedido del oficio de requerimiento de información de ago2025.</t>
  </si>
  <si>
    <t>Trujillo</t>
  </si>
  <si>
    <t>La Libertad</t>
  </si>
  <si>
    <t>Av. Ejercito 890 - 896, Urbanización El Molino</t>
  </si>
  <si>
    <t>SL02</t>
  </si>
  <si>
    <t>Se está iniciando acciones indagatorias vinculadas con el fallecimiento de una estudiante en el campus de la Universidad (SL01).</t>
  </si>
  <si>
    <t>Si bien se cuenta con un informe que analiza la denuncia desde CBC III y IV, requiere de una revisión minuciona de los aspectos relacionados en estricto con la denuncia (invetigación, docentes), así como requiere del análisis de los proyectos de inversión referidos en la documentación de la visita y en la remitida por la Universidad.
No se ha leabdora don IR de la CBC III, esta pendiente. Se cuenta con información proporcionada por la Universidad durante la VI realizada del 10 al 13 de Noviembre 2025.</t>
  </si>
  <si>
    <t>La Universidad remitió información en nov2025 ante el pedido del oficio de requerimiento de información de nov2025. Se cuenta con 1 Informe elaborado que requiere revisión.</t>
  </si>
  <si>
    <t>IV
V
VIII</t>
  </si>
  <si>
    <t>Huacho</t>
  </si>
  <si>
    <t>Huaura</t>
  </si>
  <si>
    <t>Av. Mercedes Indacochea N° 609 - Puerta 01</t>
  </si>
  <si>
    <t>El caso involucra 3 denuncias, i) mediante Oficio N° 131-2024-FENDUP del 29 de agosto de 2024, la UVE tomó conocimiento, entre otros aspectos, sobre la presunta concentración de asesorías y jurados de tesis en pocos docentes, así como la no publicación de los trabajos de investigación en el portal de la Universidad Nacional José Faustino Sánchez Carrión, vinculado con la CBC IV del Modelo de Licenciamiento Institucional. ii) Sobre deficiencias en el PI con CUI 21334406. iii)mediante OFICIO-02052-2025-MINEDU-VMGP-DIGESU denuncia sobre el PI anterior.</t>
  </si>
  <si>
    <t>UNIVERSIDAD NACIONAL JOSE FAUSTINO SANCHEZ CARRION</t>
  </si>
  <si>
    <t>UNJFSC</t>
  </si>
  <si>
    <t>Este caso escalaría a SNP, para lo cual, se propone resolver en enero el Oficio que tralada el caso hacia SNP.
El 10 de junio 2025, se realizó la VI, posterior a ello la Universidad presentó información solicitada en dicha VI.</t>
  </si>
  <si>
    <t>La Universidad remitió información en jul2025. Se cuenta con 1 carta elaborada para escalar a SNP que decantaría en IR.</t>
  </si>
  <si>
    <t>V
VI</t>
  </si>
  <si>
    <t>Barranco</t>
  </si>
  <si>
    <t>Jirón Medrano Silva N° 165</t>
  </si>
  <si>
    <t>El inicio de acciones indagatorias responden al fallecimiento de un docente en el local SL01 de la Universidad, y el requerimiento de información se relaciona con la CBC V y VI.</t>
  </si>
  <si>
    <t>UNIVERSIDAD DE INGENIERIA Y TECNOLOGIA</t>
  </si>
  <si>
    <t>UTEC</t>
  </si>
  <si>
    <t>La denuncia continua como SNP, se cierra la AD.</t>
  </si>
  <si>
    <t>IV</t>
  </si>
  <si>
    <t>Cajamarca</t>
  </si>
  <si>
    <t>Av. Atahualpa 1050</t>
  </si>
  <si>
    <t>El programa Medicina Veterinaria (P21) de la Facultad de Ciencias Veterinarias de la Universidad habría permitido el uso arbitrario de canes protegidos por la Ley N° 30407, Ley de Protección y Bienestar Animal. Se vincula con el mantenimiento de la CBC IV, indicador 34 del Modelo de Licenciamiento.</t>
  </si>
  <si>
    <t>UNC</t>
  </si>
  <si>
    <t>Cerrada</t>
  </si>
  <si>
    <t>AD-014-2025</t>
  </si>
  <si>
    <t>Informe elaborado por Jenny, pendiente de revisión final.</t>
  </si>
  <si>
    <t>Visita de inspección realizada en jun2025. Previemente, en mar2025 la Universidad remitió información solicitada mediante oficio. Se cuenta con 1 IR elaborado pendiente de revisión final.</t>
  </si>
  <si>
    <t>La Molina</t>
  </si>
  <si>
    <t>Av. La Fontana Nº 1250</t>
  </si>
  <si>
    <t>Clausura del coliseo de la Facultad de Ingeniería y Arquitectura, ubicado en el local SL02  de la Universidad de San Martín de Porres, por parte de la Municipalidad Distrital de La Molina, debido a que no habría superado la inspección técnica. Esta situación podría implicar una afectación al mantenimiento de las CBC III  y VI  del Modelo de Licenciamiento, en particular, en los indicadores 27 y 46 del Modelo de Licenciamiento.</t>
  </si>
  <si>
    <t>Atendido</t>
  </si>
  <si>
    <t>Falta revisar Informe elaborado</t>
  </si>
  <si>
    <t>Existe IR elaborado por Jenny, se encuentra a la espra de revsión y notificación</t>
  </si>
  <si>
    <t>IR en word elaborado por Jenny</t>
  </si>
  <si>
    <t>30, 44</t>
  </si>
  <si>
    <t>III
VI</t>
  </si>
  <si>
    <t>Tamburco</t>
  </si>
  <si>
    <t>Abancay</t>
  </si>
  <si>
    <t>Apurimac</t>
  </si>
  <si>
    <t>Av. Inca Garcilaso de la Vega y la Panamericana Abancay – Cusco S/N</t>
  </si>
  <si>
    <t>El comedor universitario del local SL01 de la Universidad Nacional Micaela Bastidas de Apurímac podría estar brindando el servicio en condiciones inadecuadas. Esta situación podría implicar una afectación al mantenimiento de las CBC III y VI del Modelo de Licenciamiento. En nov 2025 remitió información solicitada.</t>
  </si>
  <si>
    <t>UNIVERSIDAD NACIONAL MICAELA BASTIDAS DE APURIMAC</t>
  </si>
  <si>
    <t>UNAMBA</t>
  </si>
  <si>
    <t>AD-010-2025</t>
  </si>
  <si>
    <t>Atendido con el Informe N° 00126-2026-SUNEDU-DS-DIRESESU-UVE y notificado mediante el Oficio N° 00620-2026-SUNEDU-DS-DIRESESU-UVE, ambos del 24 de febrero de 2026.</t>
  </si>
  <si>
    <t>IR elaborado por Paola, pendiente de revisión final.</t>
  </si>
  <si>
    <t>Visita de inspección realizada en jun2025. Al respecto la Universidad presentó la información solicitada. Se cuenta con 1 IR elaborado pendiente de revisión final.</t>
  </si>
  <si>
    <t>Sobre el fallecimiento de una estudiante en el local de Los Olivos (F05L01) de la Universidad César Vallejo S.A.C. Este hecho estaría vinculado con el mantenimiento de la CBC VI, indicador 48 del Modelo de Licenciamiento.</t>
  </si>
  <si>
    <t>AD-009-2025</t>
  </si>
  <si>
    <t>Informe elaborado como producto, pendiente de revisión final (JENNY)</t>
  </si>
  <si>
    <t>Visita de inspección realizada en feb2025. Al respcto, la Universidad presentó información en el marco de la visita; se cuenta con 1 IR elaborado pendiente de revisión final.</t>
  </si>
  <si>
    <t>17, 27, 28</t>
  </si>
  <si>
    <t>Lince (SL03 y SL05)</t>
  </si>
  <si>
    <t>UNIVERSIDAD PRIVADA NORBERT WIENER S.A.</t>
  </si>
  <si>
    <t>Sugiero iniciar con un requerimiento de información inicial, ya que no se realizado ninguna acción. Estaría pendiente el requerimiento inicial de información.</t>
  </si>
  <si>
    <t>Juliaca</t>
  </si>
  <si>
    <t>Jr. Manco lnca S/N, esquina Jr. Manco lnca con Jr. lntiraymi</t>
  </si>
  <si>
    <t>2025EXT0000062967-SUNEDU</t>
  </si>
  <si>
    <t>UCSM</t>
  </si>
  <si>
    <t>Ministerio Público</t>
  </si>
  <si>
    <t>Por estatégia no se cierra esta denuncia.</t>
  </si>
  <si>
    <t>Se acumula con 03188-2025-SUNEDU/02-13</t>
  </si>
  <si>
    <t>El programa de Medicina Humana formó parte de la nueva oferta académica registrada; por lo que no se habría supervisado la implementación de su infraestructura. Estaría pendiente el requerimiento inicial de información. Lo vinculado a acoso sexual y lo de la comisión universitaria, estaría siendo atendido por el equipo de Estudiantes.</t>
  </si>
  <si>
    <t>19, 27, 28</t>
  </si>
  <si>
    <t>Acobamba</t>
  </si>
  <si>
    <t>Tarma</t>
  </si>
  <si>
    <t>Junín</t>
  </si>
  <si>
    <t>03299-2025-SUNEDU/02-13
(Vinculado 03188-2025-SUNEDU/02-13)</t>
  </si>
  <si>
    <t>Atendido con la Carta Nº 00390-2026-SUNEDU-DS-DIRESESU-UVE. Se informa que se ha dado inicio a una supervisión no programada a la Universidad, a efectos de tener elementos de juicio sobre el mantenimiento de la Condición Básica de Calidad III.</t>
  </si>
  <si>
    <t>Se requiere indagar previamente el estado de los proyectos de inversión, programas licenciados y programas de NOA, y posterior a ello constatar a través de una visita de inspección el estado de la infraestura de la Universidad.</t>
  </si>
  <si>
    <t>Denuncia recibida</t>
  </si>
  <si>
    <t>27, 28, 30</t>
  </si>
  <si>
    <t>Denuncia refiere a la comisión organizadora, respecto de la cual señala que habría incurrido en actos de corrupción y priorizó obras que no atienden a la necesidad de la Escuela Profesional de Ingeniería Agroindustrial, carente de infraestructura, laboratorios y equipamiento, así como no se estaría promoviendo el área de investigación. También señala que las Escuelas vinculadas con las carreras profesionales de Administración y Medicina Humana presentan falencias.</t>
  </si>
  <si>
    <t>2025EXT0000063141-SUNEDU</t>
  </si>
  <si>
    <t>03200-2025-SUNEDU/02-13)
(Vinculado 03188-2025-SUNEDU/02-13)</t>
  </si>
  <si>
    <t>Junin</t>
  </si>
  <si>
    <t>Se acumula con 03188-2025-SUNEDU/02-14</t>
  </si>
  <si>
    <t>Denuncia refiere que los alumnos se encontrarían estudiando en situación precaria, siendo que la Universidad no estaría utilizando todo su presupuesto.</t>
  </si>
  <si>
    <t>Se archiva por inicio de SNP oficio N° 00423-2026-SUNEDU-DS-DIRESESU-UVE</t>
  </si>
  <si>
    <t>PLAN 2026/
13 al 21 de julio de 2026 (visita)
Priorizada para ser cerrada en octubre 2026.</t>
  </si>
  <si>
    <t>Se precisa desglosado las CBC e indicadores por tema de denuncia: 
1) CBC III, indicador 27 y financiero. 
2) No vinculado a un indicador en específico.
3) CBC III, indicador 27, 28, 30; y CBC IV, indicador 33.
4) CBC VI, indicador 44.
5) En etapa de construcción se vincula indicador 27 de la CBC III, para identificar la infraestructura educativa y complementaria involucrada en el proyecto, para identificar para qué programas y para cuándo son requeridos. Además, previó a su inauguración se relaciona todos los indicadores de la CBC III.
6) CBC V, indicador 40 y 41.
7) CBC VII, indicador 51.
8) CBC I, indicador 1
9) No vinculado a un indicador en específico.
10) CBC V, indicador 40 y 41
11) CBC VI, indicador 44
12) No vinculado a un indicador en específico.
13) CBC IV, indicador 33
14) No vinculado a un indicador en específico.
15) Financiero.
16) No vinculado a un indicador en específico.</t>
  </si>
  <si>
    <t>Formato único de denuncia</t>
  </si>
  <si>
    <t>I 
III
IV
V
VI
VII</t>
  </si>
  <si>
    <t>PLAN 2026/
16 al 24 de marzo de 2026 (visita)
Priorizada para ser cerrada en setiembre 2026.</t>
  </si>
  <si>
    <t>2, 27, 28</t>
  </si>
  <si>
    <t>I
III</t>
  </si>
  <si>
    <t>Barranca</t>
  </si>
  <si>
    <t>UNAB</t>
  </si>
  <si>
    <t>I
III
IV
V
VI</t>
  </si>
  <si>
    <t>Se denuncia que:
i) Los órganos de gobierno y los fines de la Universidad se contradicen con el estatuto y el reglamento general. 
ii) No cuentan con presupuesto para responsabilidad social y políticas de riesgo. Además, indican que no existe oferta educativa. Asimismo, indican que su infraestructura es una calamidad.
iii) No existe sistemas integrados para la gestión académica y administrativa. Además, no existe el 25% de personal docente a tiempo completo.
iv) No existe normas sobre el proceso de selección docente de los programas académicos; asimismo, existen docentes que no tienen grado de bachiller. Además, el órgano de investigación tiene muchas inconsistencias en cuanto a su estructura y composición.</t>
  </si>
  <si>
    <t>UNM</t>
  </si>
  <si>
    <t>Sanagorán</t>
  </si>
  <si>
    <t>Sanchez Carrion</t>
  </si>
  <si>
    <t>Local ubicado en el distrito de Sanagorán (ex instituto).</t>
  </si>
  <si>
    <t>Nuevo local</t>
  </si>
  <si>
    <t>Denuncia que debido al incremento de los alumnos, la Universidad no mantendría las condiciones básicas de calidad en el nuevo local académico.
La denuncia va por el incremento de número de vacantes de 40 a 60 estudiantes, cuyo incremento podría impactar en la ocupabilidad de la infraestructura.
También, la denuncia está vinculada con el EXP. 02798-2025-SUNEDU/02-13, por el traslado de oferta de programas a un nuevo local. En este caso, entre otros, presentan evidencias del inicio de actividades, en abril de 2025, en el nuevo local ubicado en el distrito de Sanagorán; asimismo, muestran evidencias de una comunicación del 22 de mayo de 2025 de “suspensión temporal de actividades académicas y administrativas por acondicionamiento.</t>
  </si>
  <si>
    <t>UNCA</t>
  </si>
  <si>
    <t>En la carpeta en Z no hay informacion se requiere solicitar informacion.</t>
  </si>
  <si>
    <t>21, 30</t>
  </si>
  <si>
    <t>SL04</t>
  </si>
  <si>
    <t>Denuncia que la universidad no habría reparado los servicios higiénicos de los Pabellones a y b. agrega que ello afecta las condiciones básicas de calidad universitaria, Se advierte la falta de mantenimiento de los servicios higiénicos en dos (2) pabellones.</t>
  </si>
  <si>
    <t>UNIVERSIDAD CÉSAR VALLEJO</t>
  </si>
  <si>
    <t>Informe de Resultados</t>
  </si>
  <si>
    <t>17, 19, 20, 27, 28</t>
  </si>
  <si>
    <t>Yanacancha</t>
  </si>
  <si>
    <t>Pasco</t>
  </si>
  <si>
    <t>Programa de vivienda Urbanización San Juan Pampa, Mz Q, Lote 1, Sector Centro Comercial</t>
  </si>
  <si>
    <t>UNDAC</t>
  </si>
  <si>
    <t>Carta N° 00626-2026-SUNEDU-DS-DIRESESU-UVE del 27 de febrero de 2026</t>
  </si>
  <si>
    <t>Se reemplazó por UNAB</t>
  </si>
  <si>
    <t>Presentan un audio en el que indican que, en su SLI, las aulas eran amplias; mientras que, ahora la Universidad las redujo en tamaño. Podrían presentar riesgos de seguridad por atrapamiento y caídas en caso de evacuación. También podría presentar insuficientes ambientes (aulas, laboratorios y/o talleres) para la oferta de los programas autorizados.</t>
  </si>
  <si>
    <t>Carta N° 03562-2025-SUNEDU-DS-DIRESESU-UVE, mediante el cual se solicita información para la subsanación a la denuncia presentada contra la Universidad.</t>
  </si>
  <si>
    <t>19, 27</t>
  </si>
  <si>
    <t>San Juan de Lurigancho</t>
  </si>
  <si>
    <t>Avenida Canto Bello N° 431, Urbanización Canto Bello</t>
  </si>
  <si>
    <t>Denuncia que la universidad no contaría con ambientes adecuados para brindar algunas carreras profesionales, ya que la práctica es virtual. Agrega que cuando el estudiante va a reclamar sobre su derecho a una buena educación, ellos se excusan con que las instalaciones están sobre pobladas.</t>
  </si>
  <si>
    <t>UNIVERSIDAD MARIA AUXILIADORA S.A.C.</t>
  </si>
  <si>
    <t>UMA</t>
  </si>
  <si>
    <t>2025EXT0000048337-SUNEDU</t>
  </si>
  <si>
    <t>02562-2025-SUNEDU/02-13</t>
  </si>
  <si>
    <t>No precisa</t>
  </si>
  <si>
    <t>Denuncia deficiencias en la infraestructura y servicios de la universidad. indican que, existen ascensores inoperativos, bebederos dañados sin reemplazarlos, sillas rotas en aulas y auditorio y no funciona máquina para secar manos en los baños.
La denuncia está vinculada con la falta de mantenimiento, lo que también impacta en el indicador 19. No obstante, la descripción de la denuncia y los registros audiovisuales, no muestran e indican el local donde se dan las incidencias.</t>
  </si>
  <si>
    <t>Solo se ha realizado visita de inspección y se ha requerido información, no hay ninguna acción adicional.</t>
  </si>
  <si>
    <t>La Universidad remitió información requerida en el Acta de Supervisión, mediante Oficio N° 407-2025-R-UNA-PUNO del 28.10.25</t>
  </si>
  <si>
    <t>Caso referido a la creación y funcionamiento de secciones de facultad de la Universidad Nacional del Altiplano en las provincias de Juli y Azángaro, en los que se estaría brindando el servicio educativo en edificaciones que corresponderían a instituciones de educación básica, sin encontrarse registradas en el SIU. Asimismo, se identificaron presuntas deficiencias en las condiciones de seguridad y habitabilidad de los ambientes.</t>
  </si>
  <si>
    <t>No programada - oficio</t>
  </si>
  <si>
    <t>DENUNCIA QUE EN LA PROVINCIA DE CHUCUITO – JULI VIENE FUNCIONANDO UNA FILIAL DE LA UNIVERSIDAD NACIONAL DEL ALTIPLANO (UNA) SIN CONTAR CON EL LICENCIAMIENTO OTORGADO POR LA SUNEDU.</t>
  </si>
  <si>
    <t>2025EXT0000046535-SUNEDU</t>
  </si>
  <si>
    <t>02429-2025-SUNEDU/02-13</t>
  </si>
  <si>
    <t>Arequipa</t>
  </si>
  <si>
    <t>Calle Samuel Velarde N° 320 – Umacollo</t>
  </si>
  <si>
    <t>Denuncia que la universidad habría cometido un incumplimiento contractual respecto a una deuda que la universidad mantendría con la empresa "Go Media Films E.I.R.L." quien implemento en el edificio "Torre Santa María" infraestructura tecnológica, domótica, mobiliario y sistemas audiovisuales.</t>
  </si>
  <si>
    <t>02373-2025-SUNEDU/02-13</t>
  </si>
  <si>
    <t>MANUEL HURTADO</t>
  </si>
  <si>
    <t>OFICIO N° 04148-2025-SUNEDU-DS-DIRESESU-UVE</t>
  </si>
  <si>
    <t>Se informa que la universidad habría dispuesto trasladar la Facultad de Gestión Empresarial a un inmueble ubicado en el distrito de Sanagorán, basándose solo en un acuerdo de Consejo Municipal, que aprueba la donación de dicho inmueble, y sin considerar el cumplimiento de las condiciones básicas de calidad para su funcionamiento.
La Universidad señaló que, a octubre del 2025, no viene brindando el servicio educativo en el inmueble donado por la Municipalidad Distrital de Sanagorán; asimismo, indica que aún se no se formalizó el inicio de actividades académicas en el inmueble antes mencionado.
La Universidad no descartó la oferta en este nuevo local; no obstante, no indicó los actuados para iniciar la oferta académica en este nuevo local.</t>
  </si>
  <si>
    <t>DENUNCIA QUE LA CREACION DE LA NUEVA FILIAL DE LA UNIVERSIDAD EN LA CIUDAD DE JULI, EN PUNO HABRIA SIDO REALIZADA CON FINES PROSELITISTAS.</t>
  </si>
  <si>
    <t>Ingreso de Denuncia/Se escala a SNP</t>
  </si>
  <si>
    <t>27, 28</t>
  </si>
  <si>
    <t>Se escala a SNP</t>
  </si>
  <si>
    <t>Se reemplazó por USMP</t>
  </si>
  <si>
    <t>Santiago de Surco</t>
  </si>
  <si>
    <t>DENUNCIA QUE LA UNIVERSIDAD NO OFRECERIA LAS GARANTIAS ADECUADAS, DEBIDO A QUE HABRIAN SURGIDO VICTIMAS TRAS LA CAIDA DE UN ARBOL EN UN MODULO DE ESTUDIOS.</t>
  </si>
  <si>
    <t>UNIVERSIDAD ESAN</t>
  </si>
  <si>
    <t>ESAN</t>
  </si>
  <si>
    <t>2025EXT0000037015-SUNEDU</t>
  </si>
  <si>
    <t>01815-2025-SUNEDU/02-13</t>
  </si>
  <si>
    <t>El registro fotográfico muestra fisuras estructural en viga de la infraestructura del local F02L03.</t>
  </si>
  <si>
    <t>Av. Alfredo Mendiola N° 6040 Mnz. C Lt. 11C Lot. Industrial Molitalia</t>
  </si>
  <si>
    <t>F02L03</t>
  </si>
  <si>
    <t>Hace de conocimiento que, la universidad obligaría a los estudiantes a asistir a clases presenciales, a pesar de los daños que presentaría la infraestructura de dicha casa de estudios.</t>
  </si>
  <si>
    <t>El registro fotográfico muestra fisuras y desprendimiento de tarrajeo en infraestructura de la Facultad de Derecho.</t>
  </si>
  <si>
    <t>Calle Germán Amezaga N° 375</t>
  </si>
  <si>
    <t>Manifiesta su desacuerdo con la decisión de las autoridades de la facultad de Derecho de negarse a disponer que las clases sean virtuales, hasta que se asegure que los daños generados por el ultimo sismo en la infraestructura no pondrán en riesgo la integridad física de los estudiantes.</t>
  </si>
  <si>
    <t>En paralelo se inició una AD</t>
  </si>
  <si>
    <t>Hace de conocimiento que, mediante comunicado de la facultad de medicina, se dispuso que las clases virtuales solamente serian hasta el día miércoles, a pesar de que habrían deficiencias en la infraestructura de la universidad.</t>
  </si>
  <si>
    <t>HACE DE CONOCIMIENTO DEFICIENCIAS DE LOS EQUIPOS QUE SE UTILIZARIAN EN EL LABORATORIO DE LA FACULTAD DE INGENIERIA.</t>
  </si>
  <si>
    <t>INFORME DE RESULTADOS N° 00051-2026-SUNEDU-DS-DIRESESU-UVE</t>
  </si>
  <si>
    <t>PABLO ARRÓSPIDE</t>
  </si>
  <si>
    <t>Se tiene un IR preliminar elaborado por Jenny Mendez, pendiente de revisión final. Tener en cuenta que no se ha requerido información sobre el indicador 17, considerar un requerimiento complementario.</t>
  </si>
  <si>
    <t>Respuesta por parte de la Universidad a los requerimientos realizados en el Acta de Supervisión, mediante Oficio N° 000788-2025-RECTOR del 25.11.25</t>
  </si>
  <si>
    <t>Lircay</t>
  </si>
  <si>
    <t>Angaraes</t>
  </si>
  <si>
    <t>Huancavelica</t>
  </si>
  <si>
    <t>Denuncia referida a la Universidad Nacional de Huancavelica, derivada del traslado de la oferta académica de las Escuelas Profesionales de Ingeniería de Minas e Ingeniería Civil al local de la Institución Educativa “Nuestra Señora del Carmen” de Lircay, en el marco de un convenio de cooperación interinstitucional. Las presuntas deficiencias estarían relacionadas con la adecuación y disponibilidad de aulas, laboratorios y servicios complementarios (servicio de tópico, psicopedagogía, biblioteca y PRODAP), así como con el uso compartido de ambientes para el desarrollo de actividades académicas. Asimismo, se advierte la necesidad de verificar la correspondencia entre dicho traslado y la infraestructura existente en el local F03L01 de la filial Angaraes, considerando la construcción de nueva infraestructura universitaria y la habilitación de ambientes temporales, a fin de asegurar la continuidad, seguridad y sostenibilidad del servicio educativo conforme al Modelo de Licenciamiento y la normativa vigente.</t>
  </si>
  <si>
    <t>UNIVERSIDAD NACIONAL DE HUANCAVELICA</t>
  </si>
  <si>
    <t>UNH</t>
  </si>
  <si>
    <t>01560-2025-SUNEDU/02-13</t>
  </si>
  <si>
    <t>Falta revisar Informe preliminar elaborado
Falta programar</t>
  </si>
  <si>
    <t>Se tiene un IR preliminar elaborado por Cristina Anaya, pendiente de revisión final. La AD-014-2025 escaló a SNP.</t>
  </si>
  <si>
    <t>La Universidad remitió información en jun2025. Se cuenta con 1 IR elaborado pendiente de revisión final.</t>
  </si>
  <si>
    <t>Huamachuco</t>
  </si>
  <si>
    <t>Jr. Garcilaso de la Vega N° 905</t>
  </si>
  <si>
    <t>Idem al anterior EXP 2025EXT0000021715-SUNEDU</t>
  </si>
  <si>
    <t>La Universidad remitió información complementaria mediante Oficio N° 0304-2025-R-UAC del 07.08.25</t>
  </si>
  <si>
    <t>Sicuani</t>
  </si>
  <si>
    <t>Canchis</t>
  </si>
  <si>
    <t>Av. República de Hungría N° 1036</t>
  </si>
  <si>
    <t>F01L01</t>
  </si>
  <si>
    <t>Denuncia que en la página oficial de la universidad hace referencia a admisión en la carrera de Ingeniería Civil. Precisando, que actualmente esta institución no tiene los laboratorios correspondientes para ofertar esta carrera, es por ello que se esta lucrando mas sin pensar en el desarrollo de los estudiantes, por tal motivo solicita su inspección y clausura de la filial.</t>
  </si>
  <si>
    <t>UAC</t>
  </si>
  <si>
    <t>Falta atender
Posible visita de inspección</t>
  </si>
  <si>
    <t>En la carpeta no hay informacion y no precisa la denuncia a que sedes se refiere con diferentes tipos de carreras</t>
  </si>
  <si>
    <t>Jirón Hernán Velarde N° 143, N° 149, N° 151 y N° 153; frente al Parque Hernán Velarde Nº 33 y Nº 35</t>
  </si>
  <si>
    <t>Manifiesta que la universidad no contaría con computadoras en buen estado, así como, no habría aire acondicionado en los salones.</t>
  </si>
  <si>
    <t>UTP</t>
  </si>
  <si>
    <t>Hace de conocimiento que el laboratorio de biología no contaría con el espacio adecuado para la realización de las clases prácticas; además, en su oficina administrativa estaría funcionando el centro preuniversitario.
Solo presentó imágenes fotograficas del laboratorio de Biología foto 1 (Materiales que se encontraban en armario de la oficina administrativa se encuentra en las mesas de prácticas del Laboratorio de Biología, ubicación de la asistente de laboratorio con sus bienes escritorio y armario que se encontraba en la oficina administrativa ahora se encuentra en el Laboratorio de Biología.</t>
  </si>
  <si>
    <t>Se elaboro Oficio de requerimiento de información pero no fue notificado, esta denuncia se verá de forma q se recomendará el cambio de situación para mejora, se le dará un tiempo para cumplir y luego se volverá a ir para verificar el cambio (sino cumple a UDRA)</t>
  </si>
  <si>
    <t>Lambayeque</t>
  </si>
  <si>
    <t>Av. Juan XXIII 391</t>
  </si>
  <si>
    <t>Hace de conocimiento que el rector de la universidad pretendería la destrucción del vivero, módulos académicos e invernadero registrados en la relación de laboratorios y talleres, presentados en el procedimiento de licenciamiento de la facultad de agronomía.
El rector presenta carta notarial para solicitar se abstengan de la demolicion en el Inmueble T-07 Invernadero ya que manifiesta que no cuentan con la aprobacion del concejo Universitario.</t>
  </si>
  <si>
    <t>UNPRG</t>
  </si>
  <si>
    <t>Informe de Resultados N° 00035-2026-SUNEDU-DS-DIRESESU-UVE del 28 de febrero de 2026</t>
  </si>
  <si>
    <t>El informe ya se encontraba culminado y parcialmente revisado; estaría pendiente complementar con la última información remitida por la Universidad.</t>
  </si>
  <si>
    <t>La Universidad remitió información complementaria mediante Oficio N° 0455-2025-R-UAC del 20.11.25</t>
  </si>
  <si>
    <t>Tambopata</t>
  </si>
  <si>
    <t>Madre de Dios</t>
  </si>
  <si>
    <t>Av. Dos de Mayo y Av. Ernesto Rivera Mza. 1-H Lote 9-10,</t>
  </si>
  <si>
    <t>F03L01</t>
  </si>
  <si>
    <t>Denuncia referida a la presunta falta de implementación del programa de Enfermería de la Universidad Andina del Cusco en el local F03L01, pese a encontrarse en funcionamiento desde aproximadamente dos años, consistente en la carencia de implementos básicos para las prácticas académicas (como maniquíes para procedimientos), la existencia de un laboratorio de Enfermería de dimensiones reducidas, aulas con ventilación insuficiente y deficiencias en los servicios higiénicos, tales como baños en mal estado, puertas que no cierran y piletas averiadas.</t>
  </si>
  <si>
    <t>2025EXT0000015628-SUNEDU</t>
  </si>
  <si>
    <t>00506-2025-SUNEDU/02-13</t>
  </si>
  <si>
    <t>Atendido con el Informe de Resultados N° 00135-2026-SUNEDU-DS-DIRESESU-UVE que recomienda la derivación a UDRA.</t>
  </si>
  <si>
    <t>Se tiene un IR preliminar elaborado por Jenny Mendez, pendiente de revisión final.</t>
  </si>
  <si>
    <t>Respuesta por parte de la Universidad a los requerimientos realizados en el Acta de Supervisión, mediante Oficio N° 0223-2025-UNTUMBES-R del 18.06.25</t>
  </si>
  <si>
    <t>Tumbes</t>
  </si>
  <si>
    <t>A.H Puerto Pizarro, Av. Miguel Grau N°300</t>
  </si>
  <si>
    <t>Denuncia referida a presuntas irregularidades en la Facultad de Ingeniería y Ciencias del Mar de la Universidad Nacional de Tumbes, comunicada por la Contraloría General de la República , consiste en deficiencias en la infraestructura y el equipamiento, tales como laboratorios que no se encontrarían en adecuadas condiciones de funcionamiento ni debidamente implementados, con presencia de productos químicos vencidos y microscopios en mal estado; servicios higiénicos en condiciones deficientes y carencia de suministro de agua; aulas que no contarían con equipamiento básico para la docencia, como proyectores; limitaciones en el servicio de biblioteca debido a la inexistencia de material bibliográfico suficiente y a horarios de atención reducidos; así como la inoperatividad de las embarcaciones destinadas a la realización de prácticas académicas.</t>
  </si>
  <si>
    <t>UNT</t>
  </si>
  <si>
    <t>Por el criterio de sostenibilidad financiera se podría realizar las acciones indagatorias de esta denuncia. Se podría sumar a las acciones de la denuncia que refiere a infraestructura precaria, y que ameritaría una visita de inspección.</t>
  </si>
  <si>
    <t>Denuncia refiere a la comisión organizadora de la Universidad, respecto de la cual se señala que estaría conformada por personal que tendría denuncias de acoso sexual y malversación de presupuesto.</t>
  </si>
  <si>
    <t>Atendido con la Carta Nº 00389-2026-SUNEDU-DS-DIRESESU-UVE. Se informa que se ha dado inicio a una supervisión no programada a la Universidad, a efectos de tener elementos de juicio sobre el mantenimiento de la Condición Básica de Calidad III.</t>
  </si>
  <si>
    <t>Atendido con el Informe N° 00292-2026-SUNEDU-DS-DIRESESU-UVE, notificado mediante el Oficio N° 01319-2026-SUNEDU-DS-DIRESESU-UVE del 1 de abril de 2026.</t>
  </si>
  <si>
    <t>ERNESTO ALZA
CLAUDIA MECHAN</t>
  </si>
  <si>
    <t>En este caso no se realizó visita de inspección. El tema a tratar es CBC VI respecto el servicio de comedor, se podría culminar con un Oficio e Informe de Cierre, debido a que se cuenta con información remitida ante los pedidos realizados.</t>
  </si>
  <si>
    <t>La Universidad remitió información en dic2025 ante el pedido del oficio de requerimiento de información de nov2025.</t>
  </si>
  <si>
    <t>Las acciones de indagación se iniciaron debido a que se advirtió (en medios públicos) irregularidades en la reserva de cupos en el comedor universitario del local SL01 de la Universidad Nacional de San Antonio Abad del Cusco. Este hecho estaría vinculado con el mantenimiento de la CBC VI del Modelo de Licenciamiento.</t>
  </si>
  <si>
    <t>AD-041-2024</t>
  </si>
  <si>
    <t>Este expediente tiene pendiente una revisión final del IR, en el cual se precisen aspectos de la implrementación de ambientes (equipamiento y mobiliairio), y se realice el cruce de mallas respecto a los ambientes requeridos y de la ejecución de los proyectos de inversión y sus fechas.</t>
  </si>
  <si>
    <t>Visita de inspección realizada en mayo 2025, al respecto la Universidad presentó información y se cuenta con 1 IR elaborado pendiente de revisión final.</t>
  </si>
  <si>
    <t>Sullana</t>
  </si>
  <si>
    <t>Piura</t>
  </si>
  <si>
    <t>Av. San Hilarión N° 101, Zona de expansión urbana de Sullana, margen izquierda, entre la urbanización popular Villa Perú Canadá</t>
  </si>
  <si>
    <t>Las acciones indagatorias iniciarion por falta de implementación de laboratorios y mobiliario en algunas carreras profesionales, lo que involucrarIa una posible afectación al mantenimiento de la CBC.</t>
  </si>
  <si>
    <t>UNIVERSIDAD NACIONAL DE FRONTERA</t>
  </si>
  <si>
    <t>UNF</t>
  </si>
  <si>
    <t>AD-034-2024</t>
  </si>
  <si>
    <t>Carta N° 00523-2026-SUNEDU-DS-DIRESESU-UVE del 23 de febrero de 2026</t>
  </si>
  <si>
    <t>Cuenta con siete (7) N° Suministros: 1057597,1026467, 1089967, 1057179 entre otros</t>
  </si>
  <si>
    <t>Mediante Oficio Digital Nº 01160-2025-R-UPLA, presentó recibos de pagos y numeros de suministros y cuentan con un informe de cierre</t>
  </si>
  <si>
    <t>Huancayo</t>
  </si>
  <si>
    <t>Av. Mártires del Periodismo N° 2008-2040-2060-2080, Jr. Ciro Alegria N°215, Calle Las Estrellas N° 105-115, Calle Neptuno N°100-150 y Calle Los Andes N°125</t>
  </si>
  <si>
    <t>Denuncia que en el campus chorrillos de la universidad no se contaría con los servicios básicos como el agua potable.</t>
  </si>
  <si>
    <t>UNIVERSIDAD PERUANA LOS ANDES</t>
  </si>
  <si>
    <t>UPLA</t>
  </si>
  <si>
    <t>2024EXT0000049748-SUNEDU</t>
  </si>
  <si>
    <t>02878-2024-SUNEDU/02-13</t>
  </si>
  <si>
    <t>Se atendió con la Carta N° 01915-2026-SUNEDU-DS-DIRESESU-UVE y del Oficio N° 02658-2026-SUNEDU-DS-DIRESESU-UVE.</t>
  </si>
  <si>
    <t>Oficio de notificación pendiente de firma de la Ejecutiva.</t>
  </si>
  <si>
    <t>Requerimiento de información elaborado. Pendiente de notificación,se estaría a la espera de información.</t>
  </si>
  <si>
    <t>El Agustino</t>
  </si>
  <si>
    <t>Jirón Chepén - Av. Atarjea - Urb. Villa Hermosa</t>
  </si>
  <si>
    <t>SL10</t>
  </si>
  <si>
    <t>Hace de conocimiento destrucción del Laboratorio de Investigación de Técnica Quirúrgica y Cirugía Experimental, inaugurado el 14 de julio de 1999.</t>
  </si>
  <si>
    <t>UNFV</t>
  </si>
  <si>
    <t>2024EXT0000048933-SUNEDU</t>
  </si>
  <si>
    <t>02873-2024-SUNEDU/02-13</t>
  </si>
  <si>
    <t>Avenida Toribio Luzuriaga N° 376, Mz. J - Urbanización La Florida</t>
  </si>
  <si>
    <t>2024EXT0000048324-SUNEDU</t>
  </si>
  <si>
    <t>02805-2024-SUNEDU/02-13</t>
  </si>
  <si>
    <t>NÉSTOR TICSE</t>
  </si>
  <si>
    <t>Santa Anita</t>
  </si>
  <si>
    <t>Av. Alameda del Corregidor 1517-1531, Urb. Sirius – III Etapa – La Molina</t>
  </si>
  <si>
    <t>Hace de conocimiento que se habría clausurado el comedor de la de la Facultad de Medicina de la universidad tras una fiscalización realizada por la municipalidad a la concesionaria que operaba en dicho espacio, lo cual estaría afectando a los alumnos ya que no tendrían un lugar donde almorzar.</t>
  </si>
  <si>
    <t>2024EXT0000043718-SUNEDU</t>
  </si>
  <si>
    <t>02628-2024-SUNEDU/02-13</t>
  </si>
  <si>
    <t>III
V</t>
  </si>
  <si>
    <t>Av. La Molina N° 3755, Sol de la Molina, distrito de La Molina, provincia y departamento de Lima.</t>
  </si>
  <si>
    <t>UNIVERSIDAD DE CIENCIAS Y ARTES DE AMERICA LATINA S.A.C.</t>
  </si>
  <si>
    <t>UCAL</t>
  </si>
  <si>
    <t>02438-2024-SUNEDU/02-13</t>
  </si>
  <si>
    <t>Sin fecha</t>
  </si>
  <si>
    <t>No ha sido atendida</t>
  </si>
  <si>
    <t>Miraflores</t>
  </si>
  <si>
    <t>Calle Dos de Mayo No. 152</t>
  </si>
  <si>
    <t>Nuevo local, distrito de Miraflores</t>
  </si>
  <si>
    <t>2024EXT0000035994-SUNEDU</t>
  </si>
  <si>
    <t>III
IV</t>
  </si>
  <si>
    <t>El Sindicato de Trabajadores CAS de la Universidad Nacional Ciro Alegría, pone en conocimiento irregularidades a la oferta del servicio educativo: Sindicato de trabajadores de la UNCA solicitan la reconformacion de la comision organizadora por las siguientes razones: requerimientos mejora continua en instalaciones puesta en marcha de grupos electrogenos, ejecucion de proyectos CUI N°2471427, CUI:2509818, CUI:2511627 y CUI:2513857 en el local SL04 , evidencias de la implementacion de la infraestructura, maquinaria y equipos para el comedor universitario en el local SL04. (La denuncia refiere a los requerimientos que no han presentado la Universidad)</t>
  </si>
  <si>
    <t>2024EXT0000025963-SUNEDU</t>
  </si>
  <si>
    <t>01773-2024-SUNEDU/02-13</t>
  </si>
  <si>
    <t>Se le responde al denunciante que el local ubicado en Av. Néstor Gambeta Dpto. Mz. 85, Ventanilla, Callao, solicitó modificación de licencia el 1 de abril de 2024</t>
  </si>
  <si>
    <t>19, 27, 28, 29</t>
  </si>
  <si>
    <t>La Universidad no ha remtido la información solicitada, el oficio fue elaborado por Isabel. Al buscar en Google, se indica que el local está "permanentemente cerrado"; sin embargo, se ha identificado en las redes sociales que ha habido actividad hasta noviembre de 2025.</t>
  </si>
  <si>
    <t>Se emitió el segundo reiterativo de información, mediante Oficio N.° 01381-2025-SUNEDU-DS-DIRESESU-UVE del 24.04.25</t>
  </si>
  <si>
    <t>Chota</t>
  </si>
  <si>
    <t>Av. Agricultura 144</t>
  </si>
  <si>
    <t>F04L01</t>
  </si>
  <si>
    <t>Caso referido a la vigencia del derecho de uso del local F04L01 de la Universidad Nacional de Cajamarca, ubicado en la filial Chota, debido a que el contrato de arrendamiento que sustentó el licenciamiento institucional habría vencido al 31 de diciembre de 2018, sin que se haya identificado documentación vigente que acredite el derecho de uso a favor de la universidad. Esta situación fue advertida en el marco de acciones de supervisión, al verificarse que el local continúa siendo utilizado para la prestación del servicio educativo sin contar con sustento registral actualizado.</t>
  </si>
  <si>
    <t>00548-2024-SUNEDU/02-13</t>
  </si>
  <si>
    <t>Se archivó porque escaló a una SNP</t>
  </si>
  <si>
    <t>Conforme a la inspección, se identificó ausencia de ambientes y afectación de CBC´s, lo cual requeriría de análisis de las mallas de los programas ofertados y del estado de los proyectos de inversión. A la fecha la Universidad no ha presentado la información solicitada en la VI de octubre de 2025.</t>
  </si>
  <si>
    <t>Visita de inspección realizada en oct2025, a la espera del envío de información solicitada a la Universidad.</t>
  </si>
  <si>
    <t>19, 27, 28, 30, 33, 34, 35, 38, 40, 42, 44</t>
  </si>
  <si>
    <t>III
IV
V</t>
  </si>
  <si>
    <t>Santa Ana</t>
  </si>
  <si>
    <t>La Convencion</t>
  </si>
  <si>
    <t>El Arenal S/N</t>
  </si>
  <si>
    <t>AD-015-2023</t>
  </si>
  <si>
    <t>INFORME N° 00210-2026-SUNEDU-DS-DIRESESU-UVE</t>
  </si>
  <si>
    <t>CULMINADO
Informe de Cierre. Recomendación con derivación da DIGESU</t>
  </si>
  <si>
    <t>En la comunicación inicial de la Universidad, que origina la acción de oficio, presentó el "Plan de Contingencia del Proceso de Formación profesional y eduación contínua 2023" mediante el cual planifica acciones que acompañarían su pedido de "flexibilidad para la prestación del servicio educativo en manera virtual para el semestre 2023-I".
Disup tuvo reuniones y realizó seguimiento, siendo que en julio de 2023 solicitó información de las acciones que la Universidad ejecutaría frente a los problemas de techos e infraestructura afectada por lluvias. 
Cuenta con 2 supervisiones de campo, 1 realizada en noviembre de 2023, en la cual señaló que realizó proyectos IOARR´s para la mejora de techos y atender acciones de emergencia de mantenimiento; y 1 segunda visita de inspección realizada el 10 y 11 de setiembre de 2025.</t>
  </si>
  <si>
    <t>Visita de inspección realizada en set2025, al respecto la Universidad presentó información y se cuenta con 1 IR elaborado pendiente de revisión final.</t>
  </si>
  <si>
    <t>19, 30, 44</t>
  </si>
  <si>
    <t>Lurigancho</t>
  </si>
  <si>
    <t>Avenida Enrique Guzmán y Valle N° 951</t>
  </si>
  <si>
    <t>UNIVERSIDAD NACIONAL DE EDUCACION ENRIQUE GUZMAN Y VALLE</t>
  </si>
  <si>
    <t>AD-013-2023</t>
  </si>
  <si>
    <t>01709-2023-SUNEDU/02-13</t>
  </si>
  <si>
    <t>JENNY MENDEZ</t>
  </si>
  <si>
    <t>Se realizó visita de inspección y se realizó requerimiento de información, estaría pendiente la revisión remitida por parte de la Universidad y determinar si es necesario un requerimiento complementario o se procede a elaborar el IR.</t>
  </si>
  <si>
    <t>Respuesta por parte de la Universidad a los requerimientos realizados en el Acta de Supervisión, mediante Oficio N° 598-OGC-2025-UNSAAC del 31.12.25</t>
  </si>
  <si>
    <t>III
V
VI</t>
  </si>
  <si>
    <t>Yauri</t>
  </si>
  <si>
    <t>Espinar</t>
  </si>
  <si>
    <t>Calle 21 de junio, sector Magisterial</t>
  </si>
  <si>
    <t>Denuncia trasladada por la congresista Ruth Luque Ibarra, referida a presuntas deficiencias en la infraestructura, equipamiento y condiciones de seguridad de las escuelas profesionales de Medicina Veterinaria y Educación, ubicadas en la filial Espinar (local F04L01) de la Universidad Nacional de San Antonio Abad del Cusco, consistentes en la inexistencia de un ambiente exclusivo para biblioteca y material bibliográfico insuficiente, insuficiencia de docentes para el dictado de clases, carencias en el centro de cómputo, riesgos eléctricos y deficiencias en las instalaciones sanitarias, así como daños en cielos rasos por filtraciones pluviales. Asimismo, se reporta que los establos y galpones (laboratorios) habrían sido construidos de manera inadecuada, generando riesgo de colapso o fallas estructurales.</t>
  </si>
  <si>
    <t>00222-2023-SUNEDU/02-13</t>
  </si>
  <si>
    <t>Está pendiente la elaboración del Informe de Resultados, ya que se recopiló información en el 2023 y en el 2025.</t>
  </si>
  <si>
    <t>Respuesta por parte de la Universidad a los requerimientos realizados en el Acta de Supervisión, mediante Oficio N° 542-2025-UNSCH-R del 11.12.25</t>
  </si>
  <si>
    <t>Caso referido a presuntas deficiencias en la infraestructura, equipamiento y servicios complementarios de la Universidad Nacional de San Cristóbal de Huamanga, tanto en la sede principal como en la filial La Convención – Pichari (local F01L01), consistentes en condiciones de inhabitabilidad de ambientes académicos, deficiencias de seguridad en instalaciones (luminarias deterioradas, conexiones expuestas y falta de ventilación), carencias en los servicios de salud universitarios, limitaciones en la operatividad del comedor universitario y de la residencia estudiantil, así como la ausencia de cerco perimétrico adecuado en la filial. Asimismo, se reporta insuficiencia de personal docente en determinados programas académicos y la falta de acreditación vigente del derecho de uso del local F01L01.</t>
  </si>
  <si>
    <t>UNIVERSIDAD NACIONAL DE SAN CRISTOBAL DE HUAMANGA</t>
  </si>
  <si>
    <t>UNSCH</t>
  </si>
  <si>
    <t>00052-2023-SUNEDU/02-13</t>
  </si>
  <si>
    <t>Informe N° 00484-2026-SUNEDU-DS-DIRESESU-UVE que recomendó:
El archivamiento de la AD-005-2022 en lo referido a la verificación del mantenimiento de las CBC V y VI del Modelo de Licenciamiento, vinculadas a la existencia mínima del 25% de docentes a tiempo completo del total, así como a los procesos de selección, evaluación y capacitación docente, y a la disponibilidad del acervo bibliográfico.
2) Inicio de una supervisión no programada respecto de la CBC III</t>
  </si>
  <si>
    <t>VÍCTOR DE LA CRUZ</t>
  </si>
  <si>
    <t>Están vinculados 2 informes de RCRQ (Informe 0441-2021-SUNEDU-02-12 DEL 17.05.2021 e 1286-2021-SUNEDU-02-12 del 15.12.2021) relacionado con la ejecución de sus proyectos de inversión. 
Cuenta con 2 supervisiones de campo, 1 realizada en setiembre de 2022 de la cual se obtuvo 1 Informe de Hallazgos y 1 Informe Complementario (no notificados a la Universidad) y 1 realizada en noviembre de 2025, en la cual se realizaron entrevistas y se solicitó información mediante Anexo.
Adicionalmente a los hechos que motivaron la supervisión (falta de laboratorios y biblioteca) se identificaron en 2025, aspectos relacionados con la falta de gestión de residuos, seguridad del local y mantenimiento.</t>
  </si>
  <si>
    <t>La Universidad presentó información del acta del 13/11/2025.</t>
  </si>
  <si>
    <t>Andahuaylas</t>
  </si>
  <si>
    <t>UNIVERSIDAD NACIONAL JOSE MARIA ARGUEDAS</t>
  </si>
  <si>
    <t>UNAJMA</t>
  </si>
  <si>
    <t>Archivado/UDRA</t>
  </si>
  <si>
    <t>AD-005-2022</t>
  </si>
  <si>
    <t>INFORME DE RESULTADOS N° 00065-2026-SUNEDU-DS-DIRESESU-UVE</t>
  </si>
  <si>
    <t>ANTHONY SAAVEDRA</t>
  </si>
  <si>
    <t>Está pendiente la elaboración del Informe de Resultados con la última información remitida por la Universidad.</t>
  </si>
  <si>
    <t>Respuesta por parte de la Universidad a los requerimientos realizados por la DISUP en el Informe preliminar N° 047-2022-SUNEDU/02-13, del 20.02.23</t>
  </si>
  <si>
    <t>Caso referido a presuntas afectaciones en locales licenciados de la Universidad Tecnológica del Perú (SL01, SL03, SL10, SL14 y F06L02), derivadas del traslado (Trujillo) y, en algunos casos (Lima), fusión de laboratorios y talleres entre sedes. La supervisión preliminar identificó la reubicación de ambientes de enseñanza en sótanos y zonas colindantes a estacionamientos, lo que podría comprometer las condiciones de habitabilidad (confort acústico y térmico), seguridad (ausencia de circulación peatonal diferenciada y medios de evacuación, así como falta de actualización de la identificación de riesgos), y la disponibilidad de equipamiento mínimo, al evidenciarse una reducción en la cantidad de equipos respecto a lo declarado en el licenciamiento.</t>
  </si>
  <si>
    <t>02730-2022-SUNEDU/02-13</t>
  </si>
  <si>
    <t>Informe de Resultados N° 00109-2026-SUNEDU-DS-DIRESESU-UVE que recomienda la derivación a UDRA.</t>
  </si>
  <si>
    <t>CARLA LA TORRE</t>
  </si>
  <si>
    <t>Ahuaycha</t>
  </si>
  <si>
    <t>Tayacaja</t>
  </si>
  <si>
    <t>Av. Universitaria Mz. A Lt. 12, 13 y 14</t>
  </si>
  <si>
    <t>SL03</t>
  </si>
  <si>
    <t>Denuncia presentada por estudiantes de la Universidad Nacional Autónoma de Tayacaja, mediante la cual se solicita la intervención de la SUNEDU y la reorganización de los miembros de la Comisión Organizadora, debido a presuntas deficiencias institucionales consistentes en la falta de infraestructura y de pabellones y laboratorios para el desarrollo de los programas académicos, la ausencia de rendición de cuentas del presupuesto anual universitario, la falta de construcción e implementación de la sede administrativa, deficiencias en el servicio y/o contrato del proveedor del comedor universitario, la inexistencia del servicio de internet, deficiencias en el reglamento académico y el no reconocimiento de las juntas estudiantiles de las cinco carreras.</t>
  </si>
  <si>
    <t>UNIVERSIDAD NACIONAL AUTONOMA DE TAYACAJA DANIEL HERNANDEZ MORILLO</t>
  </si>
  <si>
    <t>UNAT</t>
  </si>
  <si>
    <t>01028-2022-SUNEDU/02-13</t>
  </si>
  <si>
    <t>Fecha</t>
  </si>
  <si>
    <t>Fechas</t>
  </si>
  <si>
    <t>Productos</t>
  </si>
  <si>
    <t>Revisión de jefe</t>
  </si>
  <si>
    <t>Entrega de informe</t>
  </si>
  <si>
    <t>ACCIONES</t>
  </si>
  <si>
    <t>COMENTARIOS</t>
  </si>
  <si>
    <t>FECHA DE LA ÚLTIMA ACCIÓN</t>
  </si>
  <si>
    <t>ULTIMA ACCIÓN</t>
  </si>
  <si>
    <t>PRIORIDAD</t>
  </si>
  <si>
    <t>COMPLEJIDAD</t>
  </si>
  <si>
    <t>Indicador (MV)</t>
  </si>
  <si>
    <t>CBC</t>
  </si>
  <si>
    <t>Distrito</t>
  </si>
  <si>
    <t>Provincia</t>
  </si>
  <si>
    <t>Región</t>
  </si>
  <si>
    <t>Dirección</t>
  </si>
  <si>
    <t>Código del local</t>
  </si>
  <si>
    <t>HECHOS DENUNCIADOS</t>
  </si>
  <si>
    <t>Tipo de Gestión</t>
  </si>
  <si>
    <t>UNIVERSIDAD
DENOMINACIÓN</t>
  </si>
  <si>
    <t>N° DE EXPEDIENTE (SUNGED)</t>
  </si>
  <si>
    <t>ESTADO</t>
  </si>
  <si>
    <t>N° DE EXPEDIENTE (DENUNCIAS Y SUPERVISIONES)</t>
  </si>
  <si>
    <t>CANAL DENUNCIA / ORIGEN DE LA SUPERVISION</t>
  </si>
  <si>
    <t>TIPO DE ANP</t>
  </si>
  <si>
    <t>AÑO</t>
  </si>
  <si>
    <t>ID</t>
  </si>
  <si>
    <t>Archivo</t>
  </si>
  <si>
    <t>Informe de Resultados N° 00289-2025-SUNEDU-DS-DIRESESU-UVE</t>
  </si>
  <si>
    <t>I, III, IV y VI
I, II, IV y V</t>
  </si>
  <si>
    <t>MLI
MSPAD</t>
  </si>
  <si>
    <t>UNIVERSIDAD CIENTIFICA DEL SUR S.A.C.</t>
  </si>
  <si>
    <t>02150-2025-SUNEDU/02-13</t>
  </si>
  <si>
    <t>SP2025</t>
  </si>
  <si>
    <t>Informe de Resultados N° 00288-2025-SUNEDU-DS-DIRESESU-UVE</t>
  </si>
  <si>
    <t>UNIVERSIDAD PERUANA DE CIENCIAS APLICADAS S.A.C.</t>
  </si>
  <si>
    <t>02149-2025-SUNEDU/02-13</t>
  </si>
  <si>
    <t>Informe de Resultados N° 00331-2025-SUNEDU-DS-DIRESESU-UVE</t>
  </si>
  <si>
    <t>01905-2025-SUNEDU/02-13</t>
  </si>
  <si>
    <t>Informe de Resultados N° 00333-2025-SUNEDU-DS-DIRESESU-UVE</t>
  </si>
  <si>
    <t>01904-2025-SUNEDU/02-13</t>
  </si>
  <si>
    <t>Informe de Resultados N° 00239-2025-SUNEDU-DS-DIRESESU-UVE</t>
  </si>
  <si>
    <t>I, III, IV y VI
I, II, IV  y V</t>
  </si>
  <si>
    <t>01776-2025-SUNEDU/02-13</t>
  </si>
  <si>
    <t>Informe de Resultados N° 00240-2025-SUNEDU-DS-DIRESESU-UVE</t>
  </si>
  <si>
    <t>01775-2025-SUNEDU/02-13</t>
  </si>
  <si>
    <t>Informe de Resultados N° 00194-2025-SUNEDU-DS-DIRESESU-UVE</t>
  </si>
  <si>
    <t>01444-2025-SUNEDU/02-13</t>
  </si>
  <si>
    <t>Informe de Resultados N° 00193-2025-SUNEDU-DS-DIRESESU-UVE</t>
  </si>
  <si>
    <t>UNIVERSIDAD PRIVADA DE TACNA</t>
  </si>
  <si>
    <t>01443-2025-SUNEDU/02-13</t>
  </si>
  <si>
    <t>Informe de Resultados N° 00159-2025-SUNEDU-DS-DIRESESU-UVE</t>
  </si>
  <si>
    <t>UNIVERSIDAD CATOLICA SAN PABLO</t>
  </si>
  <si>
    <t>01442-2025-SUNEDU/02-13</t>
  </si>
  <si>
    <t>Informe de Resultados N° 00157-2025-SUNEDU-DS-DIRESESU-UVE</t>
  </si>
  <si>
    <t>UNIVERSIDAD LA SALLE</t>
  </si>
  <si>
    <t>01441-2025-SUNEDU/02-13</t>
  </si>
  <si>
    <t>MLI</t>
  </si>
  <si>
    <t>UNIVERSIDAD NACIONAL DE CAÑETE</t>
  </si>
  <si>
    <t>00607-2026-SUNEDU/DIRESESU-UVE</t>
  </si>
  <si>
    <t>SP2026</t>
  </si>
  <si>
    <t>RLUN</t>
  </si>
  <si>
    <t>00606-2026-SUNEDU/DIRESESU-UVE</t>
  </si>
  <si>
    <t>00603-2026-SUNEDU/DIRESESU-UVE</t>
  </si>
  <si>
    <t>UNIVERSIDAD NACIONAL INTERCULTURAL FABIOLA SALAZAR LEGUIA DE BAGUA</t>
  </si>
  <si>
    <t>00602-2026-SUNEDU/DIRESESU-UVE</t>
  </si>
  <si>
    <t>UNIVERSIDAD AUTONOMA DE ICA S.A.C.</t>
  </si>
  <si>
    <t>00601-2026-SUNEDU/DIRESESU-UVE</t>
  </si>
  <si>
    <t>00600-2026-SUNEDU/DIRESESU-UVE</t>
  </si>
  <si>
    <t>00597-2026-SUNEDU/DIRESESU-UVE</t>
  </si>
  <si>
    <t>UNIVERSIDAD NACIONAL TORIBIO RODRIGUEZ DE MENDOZA DE AMAZONAS</t>
  </si>
  <si>
    <t>00596-2026-SUNEDU/DIRESESU-UVE</t>
  </si>
  <si>
    <t>I</t>
  </si>
  <si>
    <t>MLUN 
MSPAD</t>
  </si>
  <si>
    <t>UNIVERSIDAD PERUANA DEL CENTRO</t>
  </si>
  <si>
    <t>00589-2026-SUNEDU/DIRESESU-UVE</t>
  </si>
  <si>
    <t>UNIVERSIDAD PRIVADA DE TRUJILLO</t>
  </si>
  <si>
    <t>00588-2026-SUNEDU/DIRESESU-UVE</t>
  </si>
  <si>
    <t>UNIVERSIDAD NACIONAL DE EDUCACIÓN ENRIQUE GUZMÁN Y VALLE</t>
  </si>
  <si>
    <t>III y VI</t>
  </si>
  <si>
    <t>III, V</t>
  </si>
  <si>
    <t xml:space="preserve">I
III
V </t>
  </si>
  <si>
    <t>Informe N° 00446-2026-SUNEDU-DS-DIRESESU-UVE</t>
  </si>
  <si>
    <t>Informe N° 00585-2026-SUNEDU-DS-DIRESESU-UVE</t>
  </si>
  <si>
    <t>Informe N° 00126-2026-SUNEDU-DS-DIRESESU-UVE</t>
  </si>
  <si>
    <t>SF</t>
  </si>
  <si>
    <t>03299-2025-SUNEDU/02-13
03188-2025-SUNEDU/02-13</t>
  </si>
  <si>
    <t>Carta N° 00390-2026-SUNEDU-DS-DIRESESU-UVE</t>
  </si>
  <si>
    <t>03200-2025-SUNEDU/02-13
03188-2025-SUNEDU/02-13</t>
  </si>
  <si>
    <t>Carta N° 00388-2026-SUNEDU-DS-DIRESESU-UVE</t>
  </si>
  <si>
    <t>Carta N° 00626-2026-SUNEDU-DS-DIRESESU-UVE</t>
  </si>
  <si>
    <t>Carta N° 00976-2026-SUNEDU-DS-DIRESESU-UVE</t>
  </si>
  <si>
    <t>Carta N° 00627-2026-SUNEDU-DS-DIRESESU-UVE</t>
  </si>
  <si>
    <t>Derivado a UDRA</t>
  </si>
  <si>
    <t>Informe de Resultados N° 00051-2026-SUNEDU-DS-DIRESESU-UVE</t>
  </si>
  <si>
    <t>Informe de Resultados N° 00035-2026-SUNEDU-DS-DIRESESU-UVE</t>
  </si>
  <si>
    <t>Informe de Resultados N° 00135-2026-SUNEDU-DS-DIRESESU-UVE</t>
  </si>
  <si>
    <t>03188-2025-SUNEDU/02-13
 03190-2025-SUNEDU/02-13
03200-2025-SUNEDU/02-13
03299-2025-SUNEDU/02-13</t>
  </si>
  <si>
    <t>Carta N° 00389-2026-SUNEDU-DS-DIRESESU-UVE</t>
  </si>
  <si>
    <t xml:space="preserve"> 03190-2025-SUNEDU/02-13
03188-2025-SUNEDU/02-13</t>
  </si>
  <si>
    <t>Informe N° 00292-2026-SUNEDU-DS-DIRESESU-UVE</t>
  </si>
  <si>
    <t>Carta N° 00523-2026-SUNEDU-DS-DIRESESU-UVE</t>
  </si>
  <si>
    <t>Carta N° 01915-2026-SUNEDU-DS-DIRESESU-UVE 
Oficio N° 02658-2026-SUNEDU-DS-DIRESESU-UVE</t>
  </si>
  <si>
    <t>Carta N° 01451-2026-SUNEDU-DS-DIRESESU-UVE 
Oficio N° 01850-2026-SUNEDU-DS-DIRESESU-UVE</t>
  </si>
  <si>
    <t>Se archiva por inicio de SNP: Oficio N° 02415-2026-SUNEDU-DS-DIRESESU-UVE</t>
  </si>
  <si>
    <t>Informe N° 00210-2026-SUNEDU-DS-DIRESESU-UVE</t>
  </si>
  <si>
    <t>Informe N° 00484-2026-SUNEDU-DS-DIRESESU-UVE</t>
  </si>
  <si>
    <t>Informe de Resultados N° 00065-2026-SUNEDU-DS-DIRESESU-UVE</t>
  </si>
  <si>
    <t>Informe de Resultados N° 00109-2026-SUNEDU-DS-DIRESESU-UVE</t>
  </si>
  <si>
    <t>RESULTADO GENERAL DE LA SUPERVISIÓN</t>
  </si>
  <si>
    <t>INFORME/CARTA</t>
  </si>
  <si>
    <t>Modelo de Licenciamiento</t>
  </si>
  <si>
    <t>TIPO DE EXPEDIENTE</t>
  </si>
  <si>
    <t>EIPOS</t>
  </si>
  <si>
    <t>Escuela Internacional de Posgrado S.A.C.</t>
  </si>
  <si>
    <t>EPG SFX</t>
  </si>
  <si>
    <t>Escuela de Postgrado San Francisco Xavier Escuela de Negocios SFX S.A.C.</t>
  </si>
  <si>
    <t>EPG GERENS</t>
  </si>
  <si>
    <t>Escuela de Postgrado Gerens S.A.</t>
  </si>
  <si>
    <t>EPG NEWMAN</t>
  </si>
  <si>
    <t>Escuela de Posgrado Newman S.A.C.</t>
  </si>
  <si>
    <t>USIL</t>
  </si>
  <si>
    <t>Universidad San Ignacio de Loyola S.r.l.</t>
  </si>
  <si>
    <t>UNTFIL</t>
  </si>
  <si>
    <t>Universidad Nacional Tecnológica de Frontera San Ignacio de Loyola</t>
  </si>
  <si>
    <t>UNDAR</t>
  </si>
  <si>
    <t>Universidad Nacional Daniel Alomía Robles</t>
  </si>
  <si>
    <t>Universidad Nacional de Música</t>
  </si>
  <si>
    <t>ULADECH</t>
  </si>
  <si>
    <t>Universidad Católica Los Ángeles de Chimbote</t>
  </si>
  <si>
    <t>UPPE</t>
  </si>
  <si>
    <t>Universidad Politécnica del Perú S.A.</t>
  </si>
  <si>
    <t>UJB</t>
  </si>
  <si>
    <t>Universidad Jaime Bausate y Meza</t>
  </si>
  <si>
    <t>UCH</t>
  </si>
  <si>
    <t>Asociación Civil Universidad de Ciencias y Humanidades</t>
  </si>
  <si>
    <t>UMARPE</t>
  </si>
  <si>
    <t>Universidad Marítima del Perú S.A.C.</t>
  </si>
  <si>
    <t>Universidad María Auxiliadora S.A.C.</t>
  </si>
  <si>
    <t>UNASAM</t>
  </si>
  <si>
    <t>Universidad Nacional Santiago Antúnez de Mayolo</t>
  </si>
  <si>
    <t>UNS</t>
  </si>
  <si>
    <t>Universidad Nacional del Santa</t>
  </si>
  <si>
    <t>UNDC</t>
  </si>
  <si>
    <t>Universidad Nacional de Cañete</t>
  </si>
  <si>
    <t>UNACH</t>
  </si>
  <si>
    <t>Universidad Nacional Autónoma de Chota</t>
  </si>
  <si>
    <t>UP</t>
  </si>
  <si>
    <t>Universidad del Pacífico</t>
  </si>
  <si>
    <t>UPTEL</t>
  </si>
  <si>
    <t>Universidad Privada Telesup S.A.C.</t>
  </si>
  <si>
    <t>UAFR</t>
  </si>
  <si>
    <t>Universidad de Ayacucho Federico Froebel S.A.C.</t>
  </si>
  <si>
    <t>UNAC</t>
  </si>
  <si>
    <t>Universidad Nacional del Callao</t>
  </si>
  <si>
    <t>UPHFR</t>
  </si>
  <si>
    <t>Universidad Privada de Huancayo Franklin Roosevelt S.A.C.</t>
  </si>
  <si>
    <t>UDCH</t>
  </si>
  <si>
    <t>Universidad Particular de Chiclayo</t>
  </si>
  <si>
    <t>UPSB</t>
  </si>
  <si>
    <t>Universidad Peruana Simón Bolívar S.A.C.</t>
  </si>
  <si>
    <t>UCT</t>
  </si>
  <si>
    <t>Universidad Católica de Trujillo Benedicto XVI</t>
  </si>
  <si>
    <t>USDG</t>
  </si>
  <si>
    <t>Universidad Santo Domingo de Guzmán S.A.C.</t>
  </si>
  <si>
    <t>UPSTACI</t>
  </si>
  <si>
    <t>Universidad Peruana Santo Tomás de Aquino de Ciencia e Integración S.A.C.</t>
  </si>
  <si>
    <t>UPLP</t>
  </si>
  <si>
    <t>Universidad Privada Líder Peruana S.A.C.</t>
  </si>
  <si>
    <t>UPCI</t>
  </si>
  <si>
    <t>Universidad Peruana de Ciencias e Informática S.A.C.</t>
  </si>
  <si>
    <t>UPSISE</t>
  </si>
  <si>
    <t>Universidad Privada SISE S.A.C.</t>
  </si>
  <si>
    <t>UPELA</t>
  </si>
  <si>
    <t>Universidad Peruana de las Américas S.A.C.</t>
  </si>
  <si>
    <t>UAMLO</t>
  </si>
  <si>
    <t>Universidad Autónoma Municipal de Los Olivos</t>
  </si>
  <si>
    <t>UNTSJL</t>
  </si>
  <si>
    <t>Universidad Nacional Tecnológica de San Juan de Lurigancho</t>
  </si>
  <si>
    <t>ULDV</t>
  </si>
  <si>
    <t>Universidad Privada Leonardo Da Vinci S.A.C.</t>
  </si>
  <si>
    <t>UNTELS</t>
  </si>
  <si>
    <t>Universidad Nacional Tecnológica de Lima Sur</t>
  </si>
  <si>
    <t>FTPCL</t>
  </si>
  <si>
    <t>Facultad de Teología Pontificia y Civil de Lima</t>
  </si>
  <si>
    <t>UNJBG</t>
  </si>
  <si>
    <t>Universidad Nacional Jorge Basadre Grohmann</t>
  </si>
  <si>
    <t>UNU</t>
  </si>
  <si>
    <t>Universidad Nacional de Ucayali</t>
  </si>
  <si>
    <t>UPIG</t>
  </si>
  <si>
    <t>Universidad Peruana de Integración Global S.A.C.</t>
  </si>
  <si>
    <t>UPIN</t>
  </si>
  <si>
    <t>Universidad Peruana de Investigación y Negocios S.A.C.</t>
  </si>
  <si>
    <t>UORVAL</t>
  </si>
  <si>
    <t>Universidad Peruana de Arte Orval S.A.C.</t>
  </si>
  <si>
    <t>UDL</t>
  </si>
  <si>
    <t>Universidad de Lambayeque S.A.C.</t>
  </si>
  <si>
    <t>ULCB</t>
  </si>
  <si>
    <t>Universidad Le Cordon Bleu S.A.C.</t>
  </si>
  <si>
    <t>UNIFSLB</t>
  </si>
  <si>
    <t>Universidad Nacional Intercultural Fabiola Salazar Leguía de Bagua</t>
  </si>
  <si>
    <t>UPAZ</t>
  </si>
  <si>
    <t>Universidad Politécnica Amazónica S.A.C.</t>
  </si>
  <si>
    <t>UANCV</t>
  </si>
  <si>
    <t>Universidad Andina Néstor Cáceres Velásquez</t>
  </si>
  <si>
    <t>USP</t>
  </si>
  <si>
    <t>Universidad San Pedro</t>
  </si>
  <si>
    <t>UGC</t>
  </si>
  <si>
    <t>Universidad Global del Cusco S.A.C.</t>
  </si>
  <si>
    <t>UCSA</t>
  </si>
  <si>
    <t>Universidad Ciencias de la Salud S.A.C.</t>
  </si>
  <si>
    <t>UPJMB</t>
  </si>
  <si>
    <t>Universidad Privada Juan Mejía Baca S.A.C.</t>
  </si>
  <si>
    <t>UPARL</t>
  </si>
  <si>
    <t>Universidad Privada Arzobispo Loayza S.A.C.</t>
  </si>
  <si>
    <t>UPCEN</t>
  </si>
  <si>
    <t>Universidad Peruana del Centro</t>
  </si>
  <si>
    <t>USAN</t>
  </si>
  <si>
    <t>Universidad San Andrés S.A.C.</t>
  </si>
  <si>
    <t>UPJP2</t>
  </si>
  <si>
    <t>Universidad Privada Juan Pablo II S.A.C.</t>
  </si>
  <si>
    <t>UPAC</t>
  </si>
  <si>
    <t>Universidad Peruana Austral del Cusco S.A.C.</t>
  </si>
  <si>
    <t>UJCM</t>
  </si>
  <si>
    <t>Universidad José Carlos Mariátegui</t>
  </si>
  <si>
    <t>UCP</t>
  </si>
  <si>
    <t>Universidad Científica del Perú</t>
  </si>
  <si>
    <t>USEL</t>
  </si>
  <si>
    <t>Universidad Seminario Evangélico de Lima</t>
  </si>
  <si>
    <t>USBA</t>
  </si>
  <si>
    <t>Universidad Seminario Bíblico Andino</t>
  </si>
  <si>
    <t>Universidad Esan</t>
  </si>
  <si>
    <t>UNTRM</t>
  </si>
  <si>
    <t>Universidad Nacional Toribio Rodríguez de Mendoza de Amazonas</t>
  </si>
  <si>
    <t>UPSC</t>
  </si>
  <si>
    <t>Universidad Privada San Carlos S.A.C.</t>
  </si>
  <si>
    <t>UPO</t>
  </si>
  <si>
    <t>Universidad Peruana del Oriente S.A.C.</t>
  </si>
  <si>
    <t>UIGV</t>
  </si>
  <si>
    <t>Universidad Inca Garcilaso de la Vega Asociación Civil</t>
  </si>
  <si>
    <t>UAI</t>
  </si>
  <si>
    <t>Universidad Autónoma de Ica S.A.C.</t>
  </si>
  <si>
    <t>Universidad Privada Sergio Bernales S.A.</t>
  </si>
  <si>
    <t>UPICA</t>
  </si>
  <si>
    <t>Grupo Educativo Universidad Privada de Ica S.A.C.</t>
  </si>
  <si>
    <t>UPP</t>
  </si>
  <si>
    <t>Universidad Privada de Pucallpa S.A.C.</t>
  </si>
  <si>
    <t>UPAGU</t>
  </si>
  <si>
    <t>Universidad Privada Antonio Guillermo Urrelo S.A.C.</t>
  </si>
  <si>
    <t>UPADS</t>
  </si>
  <si>
    <t>Universidad Privada Autónoma del Sur S.A.C.</t>
  </si>
  <si>
    <t>UPTR</t>
  </si>
  <si>
    <t>Universidad Privada de Trujillo</t>
  </si>
  <si>
    <t>ULC</t>
  </si>
  <si>
    <t>Universidad Latinoamericana CIMA S.A.C.</t>
  </si>
  <si>
    <t>UASF</t>
  </si>
  <si>
    <t>Universidad Autónoma San Francisco S.A.C.</t>
  </si>
  <si>
    <t>UPSP</t>
  </si>
  <si>
    <t>Universidad Privada de la Selva Peruana S.A.C.</t>
  </si>
  <si>
    <t>ULASALLE</t>
  </si>
  <si>
    <t>Universidad La Salle</t>
  </si>
  <si>
    <t>UCSP</t>
  </si>
  <si>
    <t>Universidad Católica San Pablo</t>
  </si>
  <si>
    <t>UTEA</t>
  </si>
  <si>
    <t>Universidad Tecnológica de los Andes</t>
  </si>
  <si>
    <t>USAT</t>
  </si>
  <si>
    <t>Universidad Católica Santo Toribio de Mogrovejo</t>
  </si>
  <si>
    <t>UCSS</t>
  </si>
  <si>
    <t>Universidad Católica Sedes Sapientiae</t>
  </si>
  <si>
    <t>UNJ</t>
  </si>
  <si>
    <t>Universidad Nacional de Jaén</t>
  </si>
  <si>
    <t>AUTONOMA</t>
  </si>
  <si>
    <t>Universidad Autónoma del Perú S.A.C.</t>
  </si>
  <si>
    <t>UMCH</t>
  </si>
  <si>
    <t>Universidad Marcelino Champagnat</t>
  </si>
  <si>
    <t>UPT</t>
  </si>
  <si>
    <t>Universidad Privada de Tacna</t>
  </si>
  <si>
    <t>UARM</t>
  </si>
  <si>
    <t>Universidad Antonio Ruiz de Montoya</t>
  </si>
  <si>
    <t>UPC</t>
  </si>
  <si>
    <t>Universidad Peruana de Ciencias Aplicadas S.A.C.</t>
  </si>
  <si>
    <t>UNAH</t>
  </si>
  <si>
    <t>Universidad Nacional Autónoma de Huanta</t>
  </si>
  <si>
    <t>UNIFE</t>
  </si>
  <si>
    <t>Universidad Femenina del Sagrado Corazón</t>
  </si>
  <si>
    <t>UDEA</t>
  </si>
  <si>
    <t>Universidad para el Desarrollo Andino</t>
  </si>
  <si>
    <t>Universidad Peruana Unión</t>
  </si>
  <si>
    <t>Universidad Nacional José Faustino Sánchez Carrión</t>
  </si>
  <si>
    <t>PUCP</t>
  </si>
  <si>
    <t>Pontificia Universidad Católica del Perú</t>
  </si>
  <si>
    <t>Universidad Nacional Micaela Bastidas de Apurímac</t>
  </si>
  <si>
    <t>Universidad Nacional de Frontera</t>
  </si>
  <si>
    <t>UNI</t>
  </si>
  <si>
    <t>Universidad Nacional de Ingeniería</t>
  </si>
  <si>
    <t>UNIA</t>
  </si>
  <si>
    <t>Universidad Nacional Intercultural de la Amazonía</t>
  </si>
  <si>
    <t>Universidad Nacional de San Antonio Abad del Cusco</t>
  </si>
  <si>
    <t>Universidad Nacional Intercultural de la Selva Central Juan Santos Atahualpa</t>
  </si>
  <si>
    <t>Universidad Nacional Pedro Ruiz Gallo</t>
  </si>
  <si>
    <t>Universidad Nacional de Tumbes</t>
  </si>
  <si>
    <t>Universidad Peruana Los Andes</t>
  </si>
  <si>
    <t>Universidad Nacional de Barranca</t>
  </si>
  <si>
    <t>Universidad Nacional Agraria La Molina</t>
  </si>
  <si>
    <t>Universidad Nacional Ciro Alegría</t>
  </si>
  <si>
    <t>Universidad Nacional de Huancavelica</t>
  </si>
  <si>
    <t>UNAMAD</t>
  </si>
  <si>
    <t>Universidad Nacional Amazónica de Madre de Dios</t>
  </si>
  <si>
    <t>UWIENER</t>
  </si>
  <si>
    <t>Universidad Privada Norbert Wiener S.A.</t>
  </si>
  <si>
    <t>UNAP</t>
  </si>
  <si>
    <t>Universidad Nacional de la Amazonía Peruana</t>
  </si>
  <si>
    <t>Universidad Nacional de Cajamarca</t>
  </si>
  <si>
    <t>Universidad de San Martín de Porres</t>
  </si>
  <si>
    <t>UNAM</t>
  </si>
  <si>
    <t>Universidad Nacional de Moquegua</t>
  </si>
  <si>
    <t>UPCH</t>
  </si>
  <si>
    <t>Universidad Peruana Cayetano Heredia</t>
  </si>
  <si>
    <t>Universidad Nacional Mayor de San Marcos</t>
  </si>
  <si>
    <t>Universidad Nacional Daniel Alcides Carrión</t>
  </si>
  <si>
    <t>Universidad Nacional de San Cristóbal de Huamanga</t>
  </si>
  <si>
    <t>Universidad Nacional José María Arguedas</t>
  </si>
  <si>
    <t>Universidad Nacional Autónoma de Tayacaja Daniel Hernández Morillo</t>
  </si>
  <si>
    <t>UCSUR</t>
  </si>
  <si>
    <t>Universidad Científica del Sur S.A.C.</t>
  </si>
  <si>
    <t>Universidad Tecnológica del Perú S.A.C.</t>
  </si>
  <si>
    <t>USS</t>
  </si>
  <si>
    <t>Universidad Señor de Sipán S.A.C.</t>
  </si>
  <si>
    <t>Universidad Privada del Norte S.A.C.</t>
  </si>
  <si>
    <t>Universidad Privada Antenor Orrego</t>
  </si>
  <si>
    <t>Universidad Nacional Intercultural de Quillabamba</t>
  </si>
  <si>
    <t>UNHEVAL</t>
  </si>
  <si>
    <t>Universidad Nacional Hermilio Valdizán de Huánuco</t>
  </si>
  <si>
    <t>UNP</t>
  </si>
  <si>
    <t>Universidad Nacional de Piura</t>
  </si>
  <si>
    <t>Universidad Nacional de Educación Enrique Guzmán y Valle</t>
  </si>
  <si>
    <t>UDH</t>
  </si>
  <si>
    <t>Universidad de Huánuco</t>
  </si>
  <si>
    <t>UCONTINENTAL</t>
  </si>
  <si>
    <t>Universidad Continental S.A.C.</t>
  </si>
  <si>
    <t>Universidad César Vallejo S.A.C.</t>
  </si>
  <si>
    <t>Universidad Católica de Santa María</t>
  </si>
  <si>
    <t>Universidad Andina del Cusco</t>
  </si>
  <si>
    <t>UPAL</t>
  </si>
  <si>
    <t>Universidad Privada Peruano Alemana S.A.C.</t>
  </si>
  <si>
    <t>UNAS</t>
  </si>
  <si>
    <t>Universidad Nacional Agraria de la Selva</t>
  </si>
  <si>
    <t>Universidad Nacional de San Agustín de Arequipa</t>
  </si>
  <si>
    <t>UPSJB</t>
  </si>
  <si>
    <t>Universidad Privada San Juan Bautista S.A.C.</t>
  </si>
  <si>
    <t>UDEP</t>
  </si>
  <si>
    <t>Universidad de Piura</t>
  </si>
  <si>
    <t>Universidad Nacional del Altiplano</t>
  </si>
  <si>
    <t>UNITRU</t>
  </si>
  <si>
    <t>Universidad Nacional de Trujillo</t>
  </si>
  <si>
    <t>Universidad Nacional Federico Villarreal</t>
  </si>
  <si>
    <t>ULIMA</t>
  </si>
  <si>
    <t>Universidad de Lima</t>
  </si>
  <si>
    <t>UbigeoINEI</t>
  </si>
  <si>
    <t>UbigeoRENIEC</t>
  </si>
  <si>
    <t>Longitud</t>
  </si>
  <si>
    <t>Latitud</t>
  </si>
  <si>
    <t>Direccion</t>
  </si>
  <si>
    <t>Departamento</t>
  </si>
  <si>
    <t>TipoGestion</t>
  </si>
  <si>
    <t>Siglas</t>
  </si>
  <si>
    <t>Nombre</t>
  </si>
  <si>
    <t>IdUniversidad</t>
  </si>
  <si>
    <t>Jirón Junín N° 421, 425, 429, 435, 441</t>
  </si>
  <si>
    <t>Calle Misti 412</t>
  </si>
  <si>
    <t>Yanahuara</t>
  </si>
  <si>
    <t>Avenida Primavera N° 1050</t>
  </si>
  <si>
    <t>Avenida Bolognesi N° 987</t>
  </si>
  <si>
    <t>Tacna</t>
  </si>
  <si>
    <t>Av. Pista Asfaltada, Fundo La Carolina Sección B, Parcela 1</t>
  </si>
  <si>
    <t>Pachacamac</t>
  </si>
  <si>
    <t>SL05</t>
  </si>
  <si>
    <t>Jr. José Gálvez 386</t>
  </si>
  <si>
    <t>Magdalena del Mar</t>
  </si>
  <si>
    <t>Av. Industrial 3484 y Av. El Pacífico N° 297 - 299, Urb. Industrial Panamericana Norte</t>
  </si>
  <si>
    <t>Independencia</t>
  </si>
  <si>
    <t>Av. La Fontana 750</t>
  </si>
  <si>
    <t>Av. La Fontana 550</t>
  </si>
  <si>
    <t>Calle las Granadillas Mz. C Sub Lotes 1-A, 1-B y 1-C, Sector San Luis</t>
  </si>
  <si>
    <t>San Ignacio</t>
  </si>
  <si>
    <t>Jr. General Prado N° 634</t>
  </si>
  <si>
    <t>Huanuco</t>
  </si>
  <si>
    <t>Huánuco</t>
  </si>
  <si>
    <t>Jr. Camaná 566</t>
  </si>
  <si>
    <t>Avenida Emancipación 180</t>
  </si>
  <si>
    <t>Jirón Carabaya 421- 429 - 435</t>
  </si>
  <si>
    <t>Pasaje Llanganuco N° 2061, Sector Y Barrio Picup</t>
  </si>
  <si>
    <t>Huaraz</t>
  </si>
  <si>
    <t>Áncash</t>
  </si>
  <si>
    <t>EFP01L01</t>
  </si>
  <si>
    <t>Zona entre las calles Piura, Grau y Tacna. (Copia Literal)</t>
  </si>
  <si>
    <t>F10L02</t>
  </si>
  <si>
    <t>Av. Tumbes Norte N°104-Zona Urbana de la Ciudad de Tumbes. (Copia Literal)</t>
  </si>
  <si>
    <t>F10L01</t>
  </si>
  <si>
    <t>Av.Nicolás de Piérola Núm. 1608 Sector Fundo La Hermelinda. (Copia Literal)</t>
  </si>
  <si>
    <t>F09L02</t>
  </si>
  <si>
    <t>Calle Aguamarina Núm. 149 151 155 161 y 165 Caserío Mansiche. (Copia Literal)</t>
  </si>
  <si>
    <t>F09L01</t>
  </si>
  <si>
    <t>Centro Poblado Barrio Norte Mz. 39 Lote 4. Centro Poblado Barrio Norte Mz. 39 Lote 3. (Copia Literal)</t>
  </si>
  <si>
    <t>F08L01</t>
  </si>
  <si>
    <t>Jr.1 (C.A. Guillermo Chumpitaz) cdra. 3 N° "301" AA. HH. Villa Progreso Mz. A Lote 5 AA.HH Villa El Progreso. (Copia Literal)</t>
  </si>
  <si>
    <t>Satipo</t>
  </si>
  <si>
    <t>F07L01</t>
  </si>
  <si>
    <t>Mz. E Lote 9, 10, 11 y 12 Urb. Petro Perú. (Copia Literal)</t>
  </si>
  <si>
    <t>Calleria</t>
  </si>
  <si>
    <t>Coronel Portillo</t>
  </si>
  <si>
    <t>Ucayali</t>
  </si>
  <si>
    <t>F06L01</t>
  </si>
  <si>
    <t>Calle Libertad N°735 Sub Lote B-Cercado de Piura. Calle Lima N°730. (Copia Literal)</t>
  </si>
  <si>
    <t>Av. Santa Rosa de Lima N° 1231 - Sección 1-B Urbanización Las Flores. (Copia Literal)</t>
  </si>
  <si>
    <t>Sub Lote 01-A Sector Picup (Copia Literal)</t>
  </si>
  <si>
    <t>Jr. O´ Higgins N° 423-425-427, Jr. Santa Rita 269-279, Jr. Santa Rita N° 237 - Lote 3//Jr. Angamos N° 134 Sub Lote 7-A San Vicente de Cañete. (Copia Literal)</t>
  </si>
  <si>
    <t>San Vicente de Cañete</t>
  </si>
  <si>
    <t>Cañete</t>
  </si>
  <si>
    <t>F02L01</t>
  </si>
  <si>
    <t>Urb. Llano del Panteón Sub Lote B (Copia Literal)</t>
  </si>
  <si>
    <t>Andrés Avelino Cáceres Dorregaray</t>
  </si>
  <si>
    <t>Huamanga</t>
  </si>
  <si>
    <t>Ayacucho</t>
  </si>
  <si>
    <t>F01L02</t>
  </si>
  <si>
    <t>Av. Mariscal Cáceres N°1028 y 1030 Sector Cercado. Av. Mariscal Cáceres N°1068 Interior C (Copia Literal)</t>
  </si>
  <si>
    <t>Av. José Pardo N° 4177 y 4199, Mz. 5A Lote 2 Zona: Asentamiento Humano San Juan. (Copia Literal)</t>
  </si>
  <si>
    <t>Chimbote</t>
  </si>
  <si>
    <t>Programa de Vivienda Zona Semi Urbana II del Núcleo Urbano Buenos Aires Mz. F Lote 2A-2B-3. (Copia Literal)</t>
  </si>
  <si>
    <t>SL03_</t>
  </si>
  <si>
    <t>Av. José Pardo N° 4177 y 4199, Mz. 5A Lote 2 Zona: Asentamiento Humano San Juan</t>
  </si>
  <si>
    <t>Av. José Pardo Mz. 13-14 Lote 5-6 Número 2199 (Copia Literal)</t>
  </si>
  <si>
    <t>SL02_</t>
  </si>
  <si>
    <t>Jr. Tumbes N°247, Jr. Francisco Bolognesi N° 863 (Pasaje interior), Lote 8 Zona Centro Comercial y Financiera de Chimbote.</t>
  </si>
  <si>
    <t>Jr. Tumbes N°247, Jr. Francisco Bolognesi N° 863 (Pasaje interior), Lote 8 Zona Centro Comercial y Financiera de Chimbote. (Copia Literal)</t>
  </si>
  <si>
    <t>SL01_</t>
  </si>
  <si>
    <t>Programa de Vivienda Zona Semi Urbana II del Núcleo Urbano Buenos Aires Mz. F Lotes 2A, 2A Unidad Bloque B, 2B y 3</t>
  </si>
  <si>
    <t>Avenida Juan Pablo Fernandini N° 1140, Jirón Pedro Ruiz N° 251, Avenida Colombia N° 240</t>
  </si>
  <si>
    <t>Pueblo Libre</t>
  </si>
  <si>
    <t>Calle Melitón Carbajal N° 172 Mz. G Lote 9</t>
  </si>
  <si>
    <t>Jirón Caracas N° 2332</t>
  </si>
  <si>
    <t>Jesús María</t>
  </si>
  <si>
    <t>Jirón Río de Janeiro N° 560</t>
  </si>
  <si>
    <t>Avenida Universitaria Norte N° 5175</t>
  </si>
  <si>
    <t>Av. Oscar R. Benavides S/N. Mz. C Lt. 8 Urb. Centro Comercial Av. Colonial</t>
  </si>
  <si>
    <t>Bellavista</t>
  </si>
  <si>
    <t>Prov. Const. del Callao</t>
  </si>
  <si>
    <t>Callao</t>
  </si>
  <si>
    <t>Av. Saenz Peña N° 111</t>
  </si>
  <si>
    <t>Carretera Carhuaz - Chancos</t>
  </si>
  <si>
    <t>Marcara</t>
  </si>
  <si>
    <t>Carhuaz</t>
  </si>
  <si>
    <t>Carretera Huaraz - Caraz</t>
  </si>
  <si>
    <t>Mancos</t>
  </si>
  <si>
    <t>Yungay</t>
  </si>
  <si>
    <t>Carretera Huaraz Caraz</t>
  </si>
  <si>
    <t>Jr. Belgica S/N</t>
  </si>
  <si>
    <t>Pariacoto</t>
  </si>
  <si>
    <t>Jr. Simón Bolivar Mz. 1688 Lote 2/2A</t>
  </si>
  <si>
    <t>Jr. Inés Huaylas S/N Pedregal</t>
  </si>
  <si>
    <t>Av. Agustín Gamarra Mz. 98, Lote 7</t>
  </si>
  <si>
    <t>Av. Universitaria S/N</t>
  </si>
  <si>
    <t>Fundo Terreno Eriazo Zona de Expansión Urbana Lado Sur Este: Av. Central S/N</t>
  </si>
  <si>
    <t>Av. Pacífico N° 508 - Urb. Buenos Aires</t>
  </si>
  <si>
    <t>Km. 139 Antogua Panamericana Sur</t>
  </si>
  <si>
    <t>San Luis</t>
  </si>
  <si>
    <t>Jr. San Agustin N° 124</t>
  </si>
  <si>
    <t>Prolongación Santa Rosa S/N</t>
  </si>
  <si>
    <t>Lunahuana</t>
  </si>
  <si>
    <t>Calle María Angola S/N, Urbanización Santa Rosa de Hualcará</t>
  </si>
  <si>
    <t>Avenida Mariscal Benavides 1370 (Carretera a Imperial)</t>
  </si>
  <si>
    <t>Ubicación Rural Sector Colpa Huacaris</t>
  </si>
  <si>
    <t>Colpa Matara, Kilómetro 3, Salida a Tacabamba</t>
  </si>
  <si>
    <t>Jr. Sánchez Cerro N°2050</t>
  </si>
  <si>
    <t>Jr. Inca Ripac N°297</t>
  </si>
  <si>
    <t>Jr. Sánchez Cerro N°2101-2121</t>
  </si>
  <si>
    <t>Av. Salaverry N°2020</t>
  </si>
  <si>
    <t>Parcela Nº 02 Predio Rústico - Sector Vista Alegre Cajamarca</t>
  </si>
  <si>
    <t>Mz. Nº 240 - Zona Nueva, Zona Industrial Piura</t>
  </si>
  <si>
    <t>Jr. Piura Mz. 1 - I Lote 8 Fracción Tambopata</t>
  </si>
  <si>
    <t>Calle Tacna N°656 Mz. 170 Lote 17. Pueblo Tradicional . Cercado de Chiclayo</t>
  </si>
  <si>
    <t>Chiclayo</t>
  </si>
  <si>
    <t>Calle Ambrosio Vucetich Nº 102 - Zona Parque Industrial, Arequipa</t>
  </si>
  <si>
    <t>Av. Bolivia N° 300-316-320 Y Jr. Washington 1288-1292</t>
  </si>
  <si>
    <t>Av. Arequipa N° 3555 -3565 Urb. Chacarilla de Santa Cruz - San Isidro</t>
  </si>
  <si>
    <t>San Isidro</t>
  </si>
  <si>
    <t>SL08</t>
  </si>
  <si>
    <t>Jr. Canta N° 959,967,971 y Av. Iquitos 930, 938, 946, 954</t>
  </si>
  <si>
    <t>La Victoria</t>
  </si>
  <si>
    <t>SL07</t>
  </si>
  <si>
    <t>Lote-15-22 de la Manzana "J" Urbanización Canto Grande Distrito de San Juan de Lurigancho</t>
  </si>
  <si>
    <t>SL06</t>
  </si>
  <si>
    <t>Lote 20-Urbanización Fundo Huachipa</t>
  </si>
  <si>
    <t>Parcelación rústica y semirústica Fdo. Huachipa Calle Los Cedros Mz. C Lote 17 Urb. La Capitana - Lurigancho</t>
  </si>
  <si>
    <t>Av. Arequipa Nº 1801-1821 esq. con el Jr. Manuel Candamo 222-226-230 - Lince</t>
  </si>
  <si>
    <t>Lince</t>
  </si>
  <si>
    <t>Mz. "D" Lt. 01 - Asociación de comerciantes, micro y medianos empresarios pro parque industrial de Ancón</t>
  </si>
  <si>
    <t>Ancón</t>
  </si>
  <si>
    <t>Lt. Nº6 de la Mz. C y Lt. N° 7 de la Mz. 2 -D. Avenida 28 de Julio N° 1050 - 1052 - 1056 - 1062 - 1068 - Urb. Santa Beatriz - Cercado de Lima</t>
  </si>
  <si>
    <t>Calle Mariscal Llerena N° 101-103-105</t>
  </si>
  <si>
    <t>Av. Mariscal Benavides Cuadra 3 (Ex Fundo Santustio, Denominado La Candelaria)</t>
  </si>
  <si>
    <t>Jr. Gamarra N° 740 Y Jr. Zela Chucuito</t>
  </si>
  <si>
    <t>Av. Juan Pablo II N°300 - 306 (Ex Fundo Aguilar, Av. Prolongación Sta Rosa S/N, Av. Sta. Rosa B4 09, Av. Sta. Rosa Mz. C4 Lt. 02)</t>
  </si>
  <si>
    <t>Av. Bolivar N° 937-941</t>
  </si>
  <si>
    <t>Av. San Carlos Nº 2533-2565</t>
  </si>
  <si>
    <t>Avenida Giráldez N° 542-550</t>
  </si>
  <si>
    <t>Calle Pakamuros esquina con Prolongación Garcilazo de la Vega N° 517</t>
  </si>
  <si>
    <t>Jaén</t>
  </si>
  <si>
    <t>Mz. H, Lt. 9, Urb. Miraflores</t>
  </si>
  <si>
    <t>Ciudad Universitaria Km. 3.5. Carretera A Pimentel</t>
  </si>
  <si>
    <t>Pimentel</t>
  </si>
  <si>
    <t>Av. Juan Pablo Fernandini Nº 1255 / Av. Brasil Nº 1228 - 1230</t>
  </si>
  <si>
    <t>Avenida Mansiche N° 1386</t>
  </si>
  <si>
    <t>Jirón Zepita N° 618-638</t>
  </si>
  <si>
    <t>Carretera Panamericana Km. 555</t>
  </si>
  <si>
    <t>Moche</t>
  </si>
  <si>
    <t>Sector El Valle S/N, Jicamarca</t>
  </si>
  <si>
    <t>San Antonio</t>
  </si>
  <si>
    <t>Huarochirí</t>
  </si>
  <si>
    <t>Av. Huancavelica N° 462</t>
  </si>
  <si>
    <t>Jr. Quillabamba N° 110</t>
  </si>
  <si>
    <t>La Convención</t>
  </si>
  <si>
    <t>Jr. Ayacucho 401</t>
  </si>
  <si>
    <t>Huanta</t>
  </si>
  <si>
    <t>Alameda Andres Vivanco Amorin N° 119</t>
  </si>
  <si>
    <t>Calle Ayacucho 119</t>
  </si>
  <si>
    <t>Jr. Santa Rosa Nº 340</t>
  </si>
  <si>
    <t>El Tambo</t>
  </si>
  <si>
    <t>Av. Confraternidad Internacional Oeste 731</t>
  </si>
  <si>
    <t>Jr. Talara 765, 767. 769</t>
  </si>
  <si>
    <t>Jr. Pedro Conde 261</t>
  </si>
  <si>
    <t>Sub Lote 6-1 Urb. Fundo Azcarrunz Piso 5</t>
  </si>
  <si>
    <t>Sub. Lote 20A con Frente a la Av. Industrial 3728 - 3732 Piso 4, Urb. Industrial Panamericana Norte</t>
  </si>
  <si>
    <t>Av.arequipa 1290 Esquina con Teodoro Cárdenas 171 Piso 4</t>
  </si>
  <si>
    <t>Av. Arequipa 934</t>
  </si>
  <si>
    <t>Av. Nicolás Ayllón 7208 Lote 108-D 109-A Urb. Lotización del Fundo la Estrella, Ate</t>
  </si>
  <si>
    <t>Ate</t>
  </si>
  <si>
    <t>Av. Guzmán Blanco N° 484 / N° 492</t>
  </si>
  <si>
    <t>Av. Inca Garcilazo de la Vega N° 1810, 1820, 1830, 1850, 1860, 1870, 1880 y 1890</t>
  </si>
  <si>
    <t>Predio Santa Anita Sector Huanchaquito</t>
  </si>
  <si>
    <t>Huanchaco</t>
  </si>
  <si>
    <t>Av. España N° 2709-2715-2721-2725-2733 y Ca. EEUU Nº 104</t>
  </si>
  <si>
    <t>Av. España N° 163-169 -Ca. Marcelo Corne 119-125</t>
  </si>
  <si>
    <t>Av. Bolívar S/N Sector 3, Grupo 1 Mz. "A" Sub Lote 3</t>
  </si>
  <si>
    <t>Villa El Salvador</t>
  </si>
  <si>
    <t>Jr. Carlos Bondy 700</t>
  </si>
  <si>
    <t>Predio “Pataconi Pampa y Huariñuño”</t>
  </si>
  <si>
    <t>Ilave</t>
  </si>
  <si>
    <t>El Collao</t>
  </si>
  <si>
    <t>Av. Jorge Basadre S/N</t>
  </si>
  <si>
    <t>Av. Cuzco S/N</t>
  </si>
  <si>
    <t>Av. Pinto S/N</t>
  </si>
  <si>
    <t>Av. Miraflores y Av. Cuzco S/N</t>
  </si>
  <si>
    <t>Carretera Federico Basadre Manzana "S" Lote 1</t>
  </si>
  <si>
    <t>Padre Abad</t>
  </si>
  <si>
    <t>Carretera Federico Basadre Km. 6.200</t>
  </si>
  <si>
    <t>Víctor Malasquez, Mz. C10, Lote 1, Sector C</t>
  </si>
  <si>
    <t>Av. Circunvalación Nº 653, Urb. San Ignacio de Monterrico</t>
  </si>
  <si>
    <t>Jirón Pachacutec Nº 900 cruce con Avenida Talara Nº 578</t>
  </si>
  <si>
    <t>Avenida Salaverry Nº 1810</t>
  </si>
  <si>
    <t>Av. Primavera Nº 207 - Urbanización Chacarilla del Estanque</t>
  </si>
  <si>
    <t>San Borja</t>
  </si>
  <si>
    <t>Cruce de la Calle Tacna y Av. José Leonardo Ortiz</t>
  </si>
  <si>
    <t>Av. Salaverry N° 3180 - 3184</t>
  </si>
  <si>
    <t>Km. 2.5 Carretera Bagua-Copallin</t>
  </si>
  <si>
    <t>Bagua</t>
  </si>
  <si>
    <t>Amazonas</t>
  </si>
  <si>
    <t>Jirón Ancash N° 520</t>
  </si>
  <si>
    <t>Calle Prolongación Libertad N° 1220 - 1228</t>
  </si>
  <si>
    <t>Yurimaguas</t>
  </si>
  <si>
    <t>Alto Amazonas</t>
  </si>
  <si>
    <t>Loreto</t>
  </si>
  <si>
    <t>Jr. Santa Rosa N°047, Gonchillo Bajo</t>
  </si>
  <si>
    <t>Bagua Grande</t>
  </si>
  <si>
    <t>Utcubamba</t>
  </si>
  <si>
    <t>Carretera Tocache- Uchiza Km. 1.1 Sector Pucayacu</t>
  </si>
  <si>
    <t>Tocache</t>
  </si>
  <si>
    <t>San Martín</t>
  </si>
  <si>
    <t>Sector Villa Prado</t>
  </si>
  <si>
    <t>Juanjuí</t>
  </si>
  <si>
    <t>Mariscal Cáceres</t>
  </si>
  <si>
    <t>Jr. Reynaldo Bartra Diaz N° 1140</t>
  </si>
  <si>
    <t>Lamas</t>
  </si>
  <si>
    <t>Jr. Santo Toribio N° 1200</t>
  </si>
  <si>
    <t>Rioja</t>
  </si>
  <si>
    <t>Prolongación 20 de Abril  s/n - cuadra 3 Barrio Calvaria</t>
  </si>
  <si>
    <t>Moyobamba</t>
  </si>
  <si>
    <t>Jr. Tiwinza cdra. 2 Villa Universitaria</t>
  </si>
  <si>
    <t>Tarapoto</t>
  </si>
  <si>
    <t>Sector Ahuashiyacu a 3 Kilómetros de distancia del distrito de la Banda de Shilcayo</t>
  </si>
  <si>
    <t>La Banda de Shilcayo</t>
  </si>
  <si>
    <t>Jr. Orellana N° 575</t>
  </si>
  <si>
    <t>Jr. Amonarca N° 334</t>
  </si>
  <si>
    <t>Morales</t>
  </si>
  <si>
    <t>Jr. Maynas N° 179</t>
  </si>
  <si>
    <t>Av. Garcilazo N° 310</t>
  </si>
  <si>
    <t>Ayaviri</t>
  </si>
  <si>
    <t>Melgar</t>
  </si>
  <si>
    <t>Habilitación Urbana "Señor de los MIlagros"</t>
  </si>
  <si>
    <t>Azángaro</t>
  </si>
  <si>
    <t>Centro Poblado Ilave Sector 2 Mz. B Lote 35 Barrio Bellavista</t>
  </si>
  <si>
    <t>Calle El Carmen Nro.133</t>
  </si>
  <si>
    <t>Av. La Torre Núm. 185, Esq. Jirón Deza N° 135</t>
  </si>
  <si>
    <t>F01L03</t>
  </si>
  <si>
    <t>Jr. Tacna Núm. 783</t>
  </si>
  <si>
    <t>Urbanización Municipal de Taparachi - Av. Circunvalación Oeste con la Carretera Juliaca Puno</t>
  </si>
  <si>
    <t>San Román</t>
  </si>
  <si>
    <t>Jr. Ramón Castilla N° 491</t>
  </si>
  <si>
    <t>F12L01</t>
  </si>
  <si>
    <t>Jr. Sucre S/N</t>
  </si>
  <si>
    <t>Caraz</t>
  </si>
  <si>
    <t>Huaylas</t>
  </si>
  <si>
    <t>F11L01</t>
  </si>
  <si>
    <t>Av. América Norte N° 2415</t>
  </si>
  <si>
    <t>Jr. Pardo N° 591</t>
  </si>
  <si>
    <t>Celendín</t>
  </si>
  <si>
    <t>Av. Panamericana Y Av. José De Lama S/N</t>
  </si>
  <si>
    <t>Av. Cuba 528 - 538</t>
  </si>
  <si>
    <t>Jr. Huánuco Núm. 2512 Zona Barrio Nueve de Octubre Cajamarca</t>
  </si>
  <si>
    <t>Mz. Lote X Lote 6-B Zona Segunda Industrial I1 I2 y Mz. X Lote 6-C Zona Segunda Industrial I1 I2 del Distrito, Provincia y Departamento de Piura</t>
  </si>
  <si>
    <t>F03L02</t>
  </si>
  <si>
    <t>Mz. J Lote 1-2-3 Zona Industrial I Etapa Castilla/ Lote Industrial Mz. J 4-5-16 Zona Industrial- I Etapa Castilla</t>
  </si>
  <si>
    <t>Castilla</t>
  </si>
  <si>
    <t>Calle Ausejo Salas N°340 Distrito de Huacho/ Calle Ausejo Salas Número 362-398 Distrito de Huacho</t>
  </si>
  <si>
    <t>Av. Centenario Núm. 2656 Sub Lote B Sector Palmira Huaraz: Independencia</t>
  </si>
  <si>
    <t>Lugar Habilitación Urbana la Riviera Mz. A Lote 01 Sector Shancayán Huaraz: Independencia</t>
  </si>
  <si>
    <t>Av. Pardo N° 194</t>
  </si>
  <si>
    <t>Av. Futura Vía Expresa Zona Parcela 7 Zona 3, Zona Centro Sur a Chimbote</t>
  </si>
  <si>
    <t>Jr. Francisco Bolognesi N°421-425-429-433-437. Mz. 14 Área Ha. 1781.28 M2 Zona Casco Urbano- Chimbote</t>
  </si>
  <si>
    <t>Calle 1 Mz. B Zona Industrial los Pinos Chimbote/ Calle 01 Mz. B Lote 1-3 Urb.</t>
  </si>
  <si>
    <t>Av. Francisco Bolognesi y Plaza 28 de Julio Chimbote</t>
  </si>
  <si>
    <t>Av. Manantiales N°164 - Cusco</t>
  </si>
  <si>
    <t>Mz. "a" Lote "17" Urb. Cooperativa de Vivienda Magisterial N°174, III Etapa</t>
  </si>
  <si>
    <t>Callejon Loreto N°401 Yanahuara</t>
  </si>
  <si>
    <t>Av. José Quiñones 638- 640 Urb. San Martín</t>
  </si>
  <si>
    <t>Av. Arequipa N°935-955-975-979-983-985-989, Santa Beatriz- Lima</t>
  </si>
  <si>
    <t>Jr. Moquegua 474-478</t>
  </si>
  <si>
    <t>Av. Industrial N° 3701</t>
  </si>
  <si>
    <t>Carrretera Central N° 117 ( Lote 117 y 117 B),Santa Clara,Ate,Provincia y Departamento de Lima</t>
  </si>
  <si>
    <t>Urb. Manuel Prado L-13 Calle Sacsayhuaman</t>
  </si>
  <si>
    <t>Avenida Pachacutec N° 3516</t>
  </si>
  <si>
    <t>Villa María del Triunfo</t>
  </si>
  <si>
    <t>F05L02</t>
  </si>
  <si>
    <t>Avenida General Santa Cruz N° 708-714</t>
  </si>
  <si>
    <t>Calle Rivero N° 526</t>
  </si>
  <si>
    <t>Calle Rufino Albarracín N° 1002</t>
  </si>
  <si>
    <t>Jr. Gonzales Prada N° 1201</t>
  </si>
  <si>
    <t>Sector 2 Manzana A Lote 17 - Pampa Inalambrica</t>
  </si>
  <si>
    <t>Ilo</t>
  </si>
  <si>
    <t>Moquegua</t>
  </si>
  <si>
    <t>Sector Quebrada del Cementerio</t>
  </si>
  <si>
    <t>Mariscal Nieto</t>
  </si>
  <si>
    <t>Av. 25 de Noviembre N° 760</t>
  </si>
  <si>
    <t>Sub Sector 1A-3 - Pampas de San Francisco</t>
  </si>
  <si>
    <t>Sector Sub Sector 1A-3 San Antonio</t>
  </si>
  <si>
    <t>Jr. Martinez de Compagnon N° 933</t>
  </si>
  <si>
    <t>Jr. Leoncio Prado N° 1070</t>
  </si>
  <si>
    <t>Rio Alto Itaya Caserío "luz del Oriente"</t>
  </si>
  <si>
    <t>San Juan Bautista</t>
  </si>
  <si>
    <t>Maynas</t>
  </si>
  <si>
    <t>Av. Abelardo Quiñones S/N° Km. 2.5</t>
  </si>
  <si>
    <t>Av. la Molina Nro. 585 Urb. Santa Felicia</t>
  </si>
  <si>
    <t>Av. Colombia N° 325</t>
  </si>
  <si>
    <t>Jirón Alonso de Molina N° 1652, Urb. Monterrico Chico</t>
  </si>
  <si>
    <t>Av. Víctor Raúl Haya de la Torre N°950 - Sector Buenos Aires</t>
  </si>
  <si>
    <t>Jr. Libertad cuadra 13</t>
  </si>
  <si>
    <t>Calle Higos Urco N° 342-350-356 y Calle Universitaria N° 304</t>
  </si>
  <si>
    <t>Chachapoyas</t>
  </si>
  <si>
    <t>Jr. Ilo Nº 343</t>
  </si>
  <si>
    <t>Jr. Azangaro 365</t>
  </si>
  <si>
    <t>Jr. Lambayeque N°416</t>
  </si>
  <si>
    <t>Jr. Conde de Lemos N° 128</t>
  </si>
  <si>
    <t>Avenida Abelardo Quiñonez N° 2725</t>
  </si>
  <si>
    <t>Centro Poblado Zona Urbana Chincha - Sector I Calle Santo Domingo N° 645 (Mz. a Lote 33)</t>
  </si>
  <si>
    <t>Chincha Alta</t>
  </si>
  <si>
    <t>Chincha</t>
  </si>
  <si>
    <t>Ica</t>
  </si>
  <si>
    <t>Av. Du Petit Thouars N° 248-254-270- 286 Lote 2 y 3 de la Manzana 2 del Fundo Santa Beatriz Cercado</t>
  </si>
  <si>
    <t>SL09</t>
  </si>
  <si>
    <t>Av. Simón Bolívar N° 165 y 253</t>
  </si>
  <si>
    <t>Jr. General Luis Sánchez Cerro N° 1915 - Av. Cayetano Heredia N° 930, Jesús María</t>
  </si>
  <si>
    <t>Av. Brasil N° 1007 y 1021 y 138 de la Av. José de Canterac Cercado</t>
  </si>
  <si>
    <t>Av. Arequipa N° 3610 y 3680 y Calle Paillardelle N° 145 San Isidro</t>
  </si>
  <si>
    <t>Calle Rio Tambo N° 631 y Av. Bolívar N° 1848 - 1850 Fundo Cueva. Pueblo Libre</t>
  </si>
  <si>
    <t>Av. Javier Prado Oeste N° 2281 - 2285 - 2291 y Jirón la Mar (Ex Manuel Ugarte y Moscoso) N° 345 - Magdalena del Mar</t>
  </si>
  <si>
    <t>Jirón Washington N° 1564 Cercado</t>
  </si>
  <si>
    <t>Av. Arequipa 1841</t>
  </si>
  <si>
    <t>Calle Pedro Jorge Chávez Nº 206</t>
  </si>
  <si>
    <t>Hualmay</t>
  </si>
  <si>
    <t>Av. Gerónimo de Cabrera s/n</t>
  </si>
  <si>
    <t>Av. Túpac Amaru N° 1328, 1336, 1340, 1342</t>
  </si>
  <si>
    <t>Sector Pilpa Toma el Puente</t>
  </si>
  <si>
    <t>Calle Gerardo Sotello N° 201</t>
  </si>
  <si>
    <t>Avenida Abelardo Alva Maúrtua Nº 489 - 499</t>
  </si>
  <si>
    <t>Calle Miramar Mz. 1 Lt. 20-A</t>
  </si>
  <si>
    <t>Tupac Amaru Inca</t>
  </si>
  <si>
    <t>Pisco</t>
  </si>
  <si>
    <t>Av. Bolognesi S/N</t>
  </si>
  <si>
    <t>Nasca</t>
  </si>
  <si>
    <t>Fundo Hijaya</t>
  </si>
  <si>
    <t>Chincha Baja</t>
  </si>
  <si>
    <t>Fundo Arrabales Lt. 2 N° 543</t>
  </si>
  <si>
    <t>Subtanjalla</t>
  </si>
  <si>
    <t>Fundo San José</t>
  </si>
  <si>
    <t>Calle Bolívar N° 96, 290 - 294</t>
  </si>
  <si>
    <t>Av. Los Maestros S/N</t>
  </si>
  <si>
    <t>Av. Prolongación Benavides S/N</t>
  </si>
  <si>
    <t>Av. Tupac Amaru 1336</t>
  </si>
  <si>
    <t>Jr. Huascar 697</t>
  </si>
  <si>
    <t>Km. 30</t>
  </si>
  <si>
    <t>Campoverde</t>
  </si>
  <si>
    <t>Mz. 18 Lote 1-B - Jr. Vargas Guerra 322</t>
  </si>
  <si>
    <t>Mz. 18 Lote 2 - Jr. Coronel Portillo N° 760</t>
  </si>
  <si>
    <t>Jr. Coronel Portillo 782-784/ Vargas Guerra 300</t>
  </si>
  <si>
    <t>Jr. Primavera N° 170</t>
  </si>
  <si>
    <t>Jr. Guillermo Urrelo N° 875</t>
  </si>
  <si>
    <t>Jr. Juan Villanueva N° 481, Jr. Juan Villanueva N ° 474</t>
  </si>
  <si>
    <t>Jr. José Sabogal N° 841</t>
  </si>
  <si>
    <t>Jr. José Sabogal N° 913</t>
  </si>
  <si>
    <t>Calle Sebastian Barranca 208 Urbanización Santa Isabel</t>
  </si>
  <si>
    <t>Lote Resultante 1A, Ubicado en la Manzana Z', Urb. Semirústica El Bosque</t>
  </si>
  <si>
    <t>Laredo</t>
  </si>
  <si>
    <t>Av. Gregorio Albarracín 500</t>
  </si>
  <si>
    <t>Avenida Bolivia N° 614-626-630-636-640</t>
  </si>
  <si>
    <t>Breña</t>
  </si>
  <si>
    <t>Av. Bolivia N° 626</t>
  </si>
  <si>
    <t>Prolongación Calle Huascar S/N - Pago de Humaro</t>
  </si>
  <si>
    <t>Tiabaya</t>
  </si>
  <si>
    <t>Jirón Bap Prospero N°632, 634, 636, 638, 640</t>
  </si>
  <si>
    <t>Iquitos</t>
  </si>
  <si>
    <t>Calle San Martín N° 238, 252</t>
  </si>
  <si>
    <t>Calle San Martin N° 230</t>
  </si>
  <si>
    <t>Avenida Alfonso Ugarte N° 517</t>
  </si>
  <si>
    <t>Calle Ripacha 171, Cercado</t>
  </si>
  <si>
    <t>Calle Palacio Viejo 414, Cercado</t>
  </si>
  <si>
    <t>Calle Sucre 601, Vallecito</t>
  </si>
  <si>
    <t>Urb. Campiña Paisajista H-32</t>
  </si>
  <si>
    <t>Urb. Tahuantinsuyo, Calle Puputi N° 224, Fracción 1, Lote N° F-1 y Calle Puputi N° 216, Fraccion 2</t>
  </si>
  <si>
    <t>Av. Collasuyo Mz. C Lt. 7</t>
  </si>
  <si>
    <t>F02L02</t>
  </si>
  <si>
    <t>AV. Grau N° 516</t>
  </si>
  <si>
    <t>Av. Santa Cruz N° 1001-1025</t>
  </si>
  <si>
    <t>Apurímac</t>
  </si>
  <si>
    <t>Jr. Katatay N° 100</t>
  </si>
  <si>
    <t>San Jerónimo</t>
  </si>
  <si>
    <t>Puente Colonial Pachachaca</t>
  </si>
  <si>
    <t>Av. Perú N° 700</t>
  </si>
  <si>
    <t>Av. San Josemaría Escrivá De Balaguer N°. 855</t>
  </si>
  <si>
    <t>Av. Bermúdez N° 617</t>
  </si>
  <si>
    <t>Calle Santa Cruz Mz. 15 Lt. 11, Sector Nuevo Edén, Primera Etapa</t>
  </si>
  <si>
    <t>Nueva Cajamarca</t>
  </si>
  <si>
    <t>Predio denominado Huapalas</t>
  </si>
  <si>
    <t>Chulucanas</t>
  </si>
  <si>
    <t>Morropón</t>
  </si>
  <si>
    <t>F03L04</t>
  </si>
  <si>
    <t>Jr. Amazonas N° 1006 (Antes Sector I, Mz. 10, Lt. 19)</t>
  </si>
  <si>
    <t>F03L03</t>
  </si>
  <si>
    <t>Calle Ica N° 440</t>
  </si>
  <si>
    <t>Intersección de las Esquinas Cuzco 606 -656 y Lima 301 -305</t>
  </si>
  <si>
    <t>Carretera a Aerija, Km. 2</t>
  </si>
  <si>
    <t>Raymondi</t>
  </si>
  <si>
    <t>Atalaya</t>
  </si>
  <si>
    <t>Av. Real N° 807, Santa María</t>
  </si>
  <si>
    <t>Santa María</t>
  </si>
  <si>
    <t>Av. 28 de Julio 114 - 116 (2° Piso)</t>
  </si>
  <si>
    <t>Predio Rural La Rinconada - Proyecto Predios de Vegueta, Altura del Km. 159 de la Carretera Panamericana Norte, Pueblo Joven Primavera</t>
  </si>
  <si>
    <t>Vegueta</t>
  </si>
  <si>
    <t>Av. D del Polo, Mz. C, Lt. 7, Urb. Parcelación Semirústica el Derby de Monterrico (Jr. el Polo N° 641, Monterrico)</t>
  </si>
  <si>
    <t>Lt. 8, Mz. Rr, Frente a la Calle D, Urb. Sol de Oro, Primera Etapa (Signado Como Av. Sol de Oro 7568)</t>
  </si>
  <si>
    <t>Av. Salaverry N° 740</t>
  </si>
  <si>
    <t>Jr. Manuel Gonzáles Prada, Sub Lote 4-B, Mz. Única, Urb. Villa los Angeles</t>
  </si>
  <si>
    <t>Lt. S/N, Mz. U, Urb. Sol de Oro, 1era Etapa (Esq. Calle Constelaciones y Av. Sol de Oro S/N)</t>
  </si>
  <si>
    <t>Ubic. Rur. Yanayacu II Lote 2 U.C. 025990 Sector Yanayacu, Jaén</t>
  </si>
  <si>
    <t>Jr. Cuzco N° 250</t>
  </si>
  <si>
    <t>Sub Lote 02, de la Lotización Industrial Puente Piedra 1ra. Etapa</t>
  </si>
  <si>
    <t>Puente Piedra</t>
  </si>
  <si>
    <t>Carretera Panamericana Sur Km. 16.3, Mz. A, Lote 6</t>
  </si>
  <si>
    <t>Av. Mariscal Castilla 1270</t>
  </si>
  <si>
    <t>Av. Bolognesi N° 1916, Urb. Noe</t>
  </si>
  <si>
    <t>Av. Bolognesi N° 1980</t>
  </si>
  <si>
    <t>Calle Los Tulipanes S/N, Lote B-1-A</t>
  </si>
  <si>
    <t>Pocollay</t>
  </si>
  <si>
    <t>Av. Jorge Basadre Grohmann S/N</t>
  </si>
  <si>
    <t>Av. Jorge Basadre Grohmann N° 235 - Sub Lote C</t>
  </si>
  <si>
    <t>Calle 28 De Agosto N° 275, Sub Lote A</t>
  </si>
  <si>
    <t>Calle Alfredo Cadenas N° 290</t>
  </si>
  <si>
    <t>Av. Paso De Los Andes 970</t>
  </si>
  <si>
    <t>Av. Alameda San Marcos S/N - Sub Lote B Con Frente Al Parque Público, Urb. Parte Del Fundo Villa Denominado Lotización San Juan Bautista De Villa</t>
  </si>
  <si>
    <t>Chorrillos</t>
  </si>
  <si>
    <t>Av. Costanera Nº 1330 Urb. Miramar</t>
  </si>
  <si>
    <t>San Miguel</t>
  </si>
  <si>
    <t>Sub Lote A de la manzana B Calle Rafael Escardó Urbanización Maranga – Séptima Etapa, distrito San Miguel</t>
  </si>
  <si>
    <t>Av. De la Marina Nº 2810</t>
  </si>
  <si>
    <t>Av. Salaverry Nº 2205 Teresa</t>
  </si>
  <si>
    <t>Av. General Salaverry Nº 2211-2215-2217-2221-2225-2231-2235-2241-2245-2255-2261, 2265-2281-2285-2287-2295 Calle Roma Nº 130-140 AVENIDA CÁDIZ Nº 446-448-450, Urbanización Country Club</t>
  </si>
  <si>
    <t>Calle Morales Duarez Nº 214 - 242 Constituido por el Lote 1 de la Manzana A Urb. Valle Hermoso de Monterrico - Zona Oeste</t>
  </si>
  <si>
    <t>Calle Morales Duarez Nº 214 - 242 constituido por el lote 1 de la manzana a urb. Valle Hermoso de Monterrico - Zona Oeste</t>
  </si>
  <si>
    <t>Calle Las Clivias Nº 287, Urb. Pampas De Santa</t>
  </si>
  <si>
    <t>Av. Alonso de Molina Nº 1611 URB. Lima Polo And Hunt Club / Av. Prolongación Primavera Nº 2390 / Jr. José Nicolás Rodrigo Nº 440-490 / Av. Primavera Nº 2482 / Calle Los Ficus Nº 136-191 / Jr. Alonso de Molina Nº 1721-1727. Urb. El Sausalito</t>
  </si>
  <si>
    <t>Av. Carlos CH. Hiraoka s/n Intay, Luricocha, Huanta - Campus Universitario (Parcela "A")</t>
  </si>
  <si>
    <t>Luricocha</t>
  </si>
  <si>
    <t>Jr. Miguel Lazón N°370 Huanta</t>
  </si>
  <si>
    <t>Jr. Razuhuillca Nº 624</t>
  </si>
  <si>
    <t>Avenida Los Frutales Nº 954</t>
  </si>
  <si>
    <t>Avenida Ricardo Fernández Nº 103, Pueblo Nuevo</t>
  </si>
  <si>
    <t>Jirón los Mártires Nro. 340</t>
  </si>
  <si>
    <t>Fundo Chullunquiani Illapuso</t>
  </si>
  <si>
    <t>Acumulación de los Lotes N° 27, 27-A, 28, 28-A, 29, 29-A, 30, 31, 31-A, 32 y de la Ladera San Pascual, de la Lotización del Ex Fundo Ñaña</t>
  </si>
  <si>
    <t>Calle Jualica Nº 134</t>
  </si>
  <si>
    <t>Huancane</t>
  </si>
  <si>
    <t>Huancané</t>
  </si>
  <si>
    <t>Prol. Santa Rosa S/N</t>
  </si>
  <si>
    <t>Pasaje Harlen S/N</t>
  </si>
  <si>
    <t>Oyon</t>
  </si>
  <si>
    <t>Oyón</t>
  </si>
  <si>
    <t>Av. Circunvalación Baja</t>
  </si>
  <si>
    <t>Huari</t>
  </si>
  <si>
    <t>Av. Malecón Miguel Grau N° 477</t>
  </si>
  <si>
    <t>Av. Camino Real N° 1075</t>
  </si>
  <si>
    <t>Av. Javier Prado Este N° 5495</t>
  </si>
  <si>
    <t>Av. Primavera N° 907 - 911</t>
  </si>
  <si>
    <t>Av. Camino Real N° 1037</t>
  </si>
  <si>
    <t>Av. Universitaria Sur N° 1921 - 1923</t>
  </si>
  <si>
    <t>Av. Universitaria N° 888</t>
  </si>
  <si>
    <t>Jr. Daniel Alomia Robles N° 125</t>
  </si>
  <si>
    <t>Av. Universitaria N° 1801</t>
  </si>
  <si>
    <t>Avenida Abancay S/N</t>
  </si>
  <si>
    <t>Haquira</t>
  </si>
  <si>
    <t>Cotabambas</t>
  </si>
  <si>
    <t>F02L05</t>
  </si>
  <si>
    <t>Esquina de la Plaza de Armas S/N</t>
  </si>
  <si>
    <t>Avenida José Carlos Mariátegui S/N</t>
  </si>
  <si>
    <t>Tambobamba</t>
  </si>
  <si>
    <t>Avenida la Cultura S/N Manzana F1 - Lote 02</t>
  </si>
  <si>
    <t>Vilcabamba</t>
  </si>
  <si>
    <t>Grau</t>
  </si>
  <si>
    <t>Calle los Lirios y los Álamos Lote 30 Urbanización Patibamba Baja Abancay</t>
  </si>
  <si>
    <t>Avenida Inca Garcilaso de la Vega y la Panamericana Abancay - Cusco S/N</t>
  </si>
  <si>
    <t>Avenida San Hilarión N° 101</t>
  </si>
  <si>
    <t>Calle Juan Fanning N° 570</t>
  </si>
  <si>
    <t>Av. San Luis N° 1771</t>
  </si>
  <si>
    <t>Calle Los Biólogos N° 245,Urb. San César, Primera Etapa</t>
  </si>
  <si>
    <t>Av. Tupac Amaruc N° 210</t>
  </si>
  <si>
    <t>Rímac</t>
  </si>
  <si>
    <t>Av. Yarinacocha Mz. 155 Lt. 06-A</t>
  </si>
  <si>
    <t>Yarinacocha</t>
  </si>
  <si>
    <t>Carretera San José Km. 0.5</t>
  </si>
  <si>
    <t>Centro Piloto El Castañal</t>
  </si>
  <si>
    <t>Tahuamanu</t>
  </si>
  <si>
    <t>F08L04</t>
  </si>
  <si>
    <t>Centro Piloto Noaya</t>
  </si>
  <si>
    <t>F08L03</t>
  </si>
  <si>
    <t>Centro Piloto Primavera</t>
  </si>
  <si>
    <t>F08L02</t>
  </si>
  <si>
    <t>Centro Piloto Chilina</t>
  </si>
  <si>
    <t>Calle Piura Lote 9 Manzana 2LL</t>
  </si>
  <si>
    <t>Av. Wiracocha N° 601</t>
  </si>
  <si>
    <t>F06L02</t>
  </si>
  <si>
    <t>Lote 8 y 9 de la Manzana A Del Barrio Pocchocota</t>
  </si>
  <si>
    <t>Calle 21 de Junio, Sector Magisterial</t>
  </si>
  <si>
    <t>Avenida Universitaria, Prolongación Bolognesi, Sector Accopampa</t>
  </si>
  <si>
    <t>Santo Tomas</t>
  </si>
  <si>
    <t>Chumbivilcas</t>
  </si>
  <si>
    <t>Jirón Junín S/N Urbanización Hanccocca</t>
  </si>
  <si>
    <t>Marangani</t>
  </si>
  <si>
    <t>Pasaje Cruz Montaña S/N</t>
  </si>
  <si>
    <t>F02L04</t>
  </si>
  <si>
    <t>Predio Rústico La Raya</t>
  </si>
  <si>
    <t>Calle Santa Cruz s/n, Urb. San Felipe</t>
  </si>
  <si>
    <t>Avenida Arequipa Nº 218</t>
  </si>
  <si>
    <t>Calles Bolívar, Piérola y Avenida Túpac Amaru</t>
  </si>
  <si>
    <t>Yanaoca</t>
  </si>
  <si>
    <t>Canas</t>
  </si>
  <si>
    <t>Calle Tigre N° 127</t>
  </si>
  <si>
    <t>Calle Cordova del Tucuman N° 103</t>
  </si>
  <si>
    <t>Calle Santa Catalina Ancha N° 320</t>
  </si>
  <si>
    <t>Avenida el Sol y Calle Mantas Frente a la Plaza de Armas</t>
  </si>
  <si>
    <t>Av. de la Cultura s/n</t>
  </si>
  <si>
    <t>Prolongación Avenida Manco Cápac</t>
  </si>
  <si>
    <t>Calle Arones s/n</t>
  </si>
  <si>
    <t>Avenida de la Cultura Nº 733</t>
  </si>
  <si>
    <t>Avenida José Carlos Mariátegui, cuadra 7, Manzana N° 78</t>
  </si>
  <si>
    <t>Mazamari</t>
  </si>
  <si>
    <t>Carretera Marginal Km. 110.250 Calle Universitaria S/N CC.NN. Arizona Portillo</t>
  </si>
  <si>
    <t>Río Negro</t>
  </si>
  <si>
    <t>Carretera Cetnral Km. 65.700 Calle Juan Santos Atahualpa S/N CC.NN. Bajo Aldea</t>
  </si>
  <si>
    <t>Perene</t>
  </si>
  <si>
    <t>Chanchamayo</t>
  </si>
  <si>
    <t>Carretera Central Km. 65.400 Pasaje N° 1 S/N, CC.NN. Bajo Aldea</t>
  </si>
  <si>
    <t>Jr. Ricardo Palma S/N, Mz."S" Lote N° 18, Aa.Vv. Piedra Lunar</t>
  </si>
  <si>
    <t>Pichanaqui</t>
  </si>
  <si>
    <t>Calle 7 de Junio N° 940 Zona Baja II Sector</t>
  </si>
  <si>
    <t>Calle Hermilio Valdizán S/N (Antes Calle VIñac), Urb. José Abelardo Quiñonez</t>
  </si>
  <si>
    <t>San Ramón</t>
  </si>
  <si>
    <t>Av.Amauta S/N. Urb. Virgen Del Carmen</t>
  </si>
  <si>
    <t>Calle Abraham Valdelomar S/N Sector Campamento Chino</t>
  </si>
  <si>
    <t>Jr.Los Cedros S/N Lote N°29 Mz. "F". Lotización San Ambrosio</t>
  </si>
  <si>
    <t>Av. Perú S/N Sector Pampa del Carmen</t>
  </si>
  <si>
    <t>Jr. Los Cedros N° 141</t>
  </si>
  <si>
    <t>Calle Tacna N° 405. Esquina Av. José L. Ortiz</t>
  </si>
  <si>
    <t>L06</t>
  </si>
  <si>
    <t>Sector Buenos Aires</t>
  </si>
  <si>
    <t>Av. 15 de agosto s/n Barrio Miraflores</t>
  </si>
  <si>
    <t>Cutervo</t>
  </si>
  <si>
    <t>Km. 10 Carretera Pimentel</t>
  </si>
  <si>
    <t>SL12</t>
  </si>
  <si>
    <t>Esquina Calle Sucre con Palmeras</t>
  </si>
  <si>
    <t>José Leonardo Ortiz</t>
  </si>
  <si>
    <t>SL11</t>
  </si>
  <si>
    <t>Predio Rural</t>
  </si>
  <si>
    <t>PP. JJ. San Martín de Porres MZ Q5 Lote 1</t>
  </si>
  <si>
    <t>Av. B. Leguía cuadra 22</t>
  </si>
  <si>
    <t>Pueblo tradicional Mz. 170 Lt. 48</t>
  </si>
  <si>
    <t>Juan Fanning N° 154</t>
  </si>
  <si>
    <t>Calle Atahualpa N° 344</t>
  </si>
  <si>
    <t>Calle Simón Bolívar MZ 59 LT 7A</t>
  </si>
  <si>
    <t>Calle Juan XXIII 391</t>
  </si>
  <si>
    <t>Av. Tumbes N° 863</t>
  </si>
  <si>
    <t>Aahh Puerto Pizarro Avenida Miguel Grau N° 300</t>
  </si>
  <si>
    <t>Avenida Arica N° 361 Calle Tarapacá N° 344</t>
  </si>
  <si>
    <t>Parcela Asignada Como Unidad Catastral 11375 del Predio Rústico Lotes 3,4,5 y 7 Lateral 8 Ex Fundo Fiscal la Cruz-Campus Universitario Lateral "c"</t>
  </si>
  <si>
    <t>Corrales</t>
  </si>
  <si>
    <t>Avenida Universitaria S/N</t>
  </si>
  <si>
    <t>Av. 28 de Julio s/n</t>
  </si>
  <si>
    <t>Chaupimarca</t>
  </si>
  <si>
    <t>Jr. Dos de Mayo N° 792</t>
  </si>
  <si>
    <t>Jr. Hildauro Castro s/n</t>
  </si>
  <si>
    <t>Ascensión</t>
  </si>
  <si>
    <t>Av. Los Pioneros Nº 1028 - Jr. Fray Dionicio Ortiz S/N (Certificado Registral Inmoviliario, ITSE)</t>
  </si>
  <si>
    <t>Sub. Lote AH2-2 de la Mz. 29. en el Jr. Colonos Fundadores</t>
  </si>
  <si>
    <t>Río Tambo</t>
  </si>
  <si>
    <t>Jr. Comandante Carlos Arrieta N° 1012, 1016 Y 1022</t>
  </si>
  <si>
    <t>Jr. Los Jazmines N° 555</t>
  </si>
  <si>
    <t>Av. Cuba Nº 579</t>
  </si>
  <si>
    <t>Av.Ferrocarril N° 732 - 734 - 736 - 738</t>
  </si>
  <si>
    <t>Av. Kenlu Jayro Sifuentes Mz. H Lt. 01- Urbanización Los Anitos</t>
  </si>
  <si>
    <t>Avenida La Molina S/N</t>
  </si>
  <si>
    <t>Avenida La Molina Nº 3755, Sol de La Molina</t>
  </si>
  <si>
    <t>Jr. Ramiro Prialé N° 561</t>
  </si>
  <si>
    <t>Sánchez Carrión</t>
  </si>
  <si>
    <t>Predio con Unidad Catastral N° 31527 - Av. los Sauces</t>
  </si>
  <si>
    <t>Jr. Miguel Grau N° 459 - 469</t>
  </si>
  <si>
    <t>Jr. Ramiro Prialé N° 570</t>
  </si>
  <si>
    <t>Avenida Centenario N° 1200 del Barrio Pueblo Nuevo</t>
  </si>
  <si>
    <t>Avenida Perú N°1185</t>
  </si>
  <si>
    <t>Daniel Hernández</t>
  </si>
  <si>
    <t>Jirón la Mar Nº 755</t>
  </si>
  <si>
    <t>Pampas</t>
  </si>
  <si>
    <t>Avenida Evitamiento Este S/N</t>
  </si>
  <si>
    <t>Avenida Agricultura Nº 319 y 321, del Sector Denominado Paturpampa</t>
  </si>
  <si>
    <t>Carretera Puerto Maldonado - Iñapari Km. 16.5</t>
  </si>
  <si>
    <t>Las Piedras</t>
  </si>
  <si>
    <t>Avenida Jorge Chávez N° 1160</t>
  </si>
  <si>
    <t>Avenida Pacífico N°431-Urbanización Habilitación Industrial Panamericana Norte</t>
  </si>
  <si>
    <t>Av. Arenales 1555</t>
  </si>
  <si>
    <t>Jirón Coronel Pascual Saco Oliveros N° 140 – 160 - Cercado</t>
  </si>
  <si>
    <t>Avenida Du Petit Thouars N° 2021</t>
  </si>
  <si>
    <t>Avenida Arequipa N° 440, Urbanización Santa Beatriz</t>
  </si>
  <si>
    <t>Jirón Eugenio Larrabure y Unanue N° 110, Urbanización Santa Beatriz</t>
  </si>
  <si>
    <t>Calle Manuel Pacaya N° 08</t>
  </si>
  <si>
    <t>Nauta</t>
  </si>
  <si>
    <t>Calle Sucre Mz.-25 Lote-01-A</t>
  </si>
  <si>
    <t>Ramón Castilla</t>
  </si>
  <si>
    <t>Mariscal Ramón Castilla</t>
  </si>
  <si>
    <t>Predio Rústico DEN U.C. N.° 39194</t>
  </si>
  <si>
    <t>Datem del Marañón</t>
  </si>
  <si>
    <t>F04L02</t>
  </si>
  <si>
    <t>Calle California S/N - Ciudad San Lorenzo</t>
  </si>
  <si>
    <t>Calle Julián Álvarez S/N - Contamana</t>
  </si>
  <si>
    <t>Contamana</t>
  </si>
  <si>
    <t>Calle 2 S/N -Lote 1 de la Mz. 48 De La II Etapa - Zona A Requena</t>
  </si>
  <si>
    <t>Requena</t>
  </si>
  <si>
    <t>Calle Francisco Bardales Mz. B - 33 Lote 9 PP.JJ. Yurimaguas II</t>
  </si>
  <si>
    <t>Centro Ganadero Yurimaguas Zona A Y Zona B, Caserío 30 De Agosto - Carretera Yurimaguas Tarapoto Km. 17</t>
  </si>
  <si>
    <t>Zona Monumental -Jirón Alférez West N° 352 (Ex Calle Nanay)</t>
  </si>
  <si>
    <t>SL16</t>
  </si>
  <si>
    <t>Calle Samanez Ocampo 193</t>
  </si>
  <si>
    <t>SL13</t>
  </si>
  <si>
    <t>A.H. Stadium I Etapa - Jirón Moore N° 280 Mz. A Lote 36</t>
  </si>
  <si>
    <t>Almendra, margen derecho del río Nanay</t>
  </si>
  <si>
    <t>Calle 5 de Diciembre y Av. Colonial</t>
  </si>
  <si>
    <t>Punchana</t>
  </si>
  <si>
    <t>Balneario Pampachica - Calle San Marcos N° 185</t>
  </si>
  <si>
    <t>Pasaje Dina Limaco N° 186</t>
  </si>
  <si>
    <t>A.H. Bermúdez II Etapa-Jirón Bermúdez 703</t>
  </si>
  <si>
    <t>Urb. Jirón Sargento Fernando Lores T. 446 Lt. 22</t>
  </si>
  <si>
    <t>A.H. Bartra Díaz - Jirón Sargento Fernando Lores T. 635 Mz. F Lt. 44</t>
  </si>
  <si>
    <t>Calle Los Rosales S/N</t>
  </si>
  <si>
    <t>Asentamiento Humano Daniel Alcides Carrión II Etapa - Avenida Gral. EP. Augusto Freyre García 610</t>
  </si>
  <si>
    <t>Urb. Zona Monumental - Jirón Pevas 510</t>
  </si>
  <si>
    <t>Nuevo San Lorenzo - San Lorenzo S/N</t>
  </si>
  <si>
    <t>Carretera Jaén - San Ignacio, A Altura Km. 24.5</t>
  </si>
  <si>
    <t>F05L03</t>
  </si>
  <si>
    <t>Marieta N° 801</t>
  </si>
  <si>
    <t>Jr. Bolivar 1368</t>
  </si>
  <si>
    <t>Shuitute S/N Chacapampa</t>
  </si>
  <si>
    <t>Caserio Pampagrande S/N</t>
  </si>
  <si>
    <t>Cajabamba</t>
  </si>
  <si>
    <t>La Banda S/N Ex Plaza Pecuaria</t>
  </si>
  <si>
    <t>Bambamarca</t>
  </si>
  <si>
    <t>Hualgayoc</t>
  </si>
  <si>
    <t>Km. 4. Carretera A Cumbemayo</t>
  </si>
  <si>
    <t>Sin Dirección</t>
  </si>
  <si>
    <t>Km. 2 Carretera A Pacasmayo</t>
  </si>
  <si>
    <t>Carretera A Llacanora</t>
  </si>
  <si>
    <t>Los Baños del Inca</t>
  </si>
  <si>
    <t>Km. 4.30 Carretera A Baños Del Inca</t>
  </si>
  <si>
    <t>Km. 08 Carretera A Jesús</t>
  </si>
  <si>
    <t>Jr., El Batán</t>
  </si>
  <si>
    <t>Jr. José Gálvez 111</t>
  </si>
  <si>
    <t>Jr. Amalia Puga 516</t>
  </si>
  <si>
    <t>Jr. Dos De Mayo 362</t>
  </si>
  <si>
    <t>Jr. Dos De Mayo 334</t>
  </si>
  <si>
    <t>Mz. A. G Lot. 14 Urb. Daniel Alcides Carrión</t>
  </si>
  <si>
    <t>José Luis Bustamante Y Rivero</t>
  </si>
  <si>
    <t>Calle La Merced N° 209-211</t>
  </si>
  <si>
    <t>Av. Los Eucaliptos Nº 300-304</t>
  </si>
  <si>
    <t>Av. Micaela Bastidas con la Av. Porvenir</t>
  </si>
  <si>
    <t>Comas</t>
  </si>
  <si>
    <t>SL14</t>
  </si>
  <si>
    <t>Av. Salaverry 1158</t>
  </si>
  <si>
    <t>Av. Nueva Tomas Marsano Nº 242-248</t>
  </si>
  <si>
    <t>Surquillo</t>
  </si>
  <si>
    <t>Jirón Badajoz Nº 264</t>
  </si>
  <si>
    <t>Calle Martin Dulanto Nº 101</t>
  </si>
  <si>
    <t>Av. Salaverry Nº 1144-1158-1164-1170</t>
  </si>
  <si>
    <t>Av. Brasil Nº 1857-1859</t>
  </si>
  <si>
    <t>Av. Javier Prado Oeste Nº 580-586-590</t>
  </si>
  <si>
    <t>Av. Nueva Tomas Marsano Nº 151-155</t>
  </si>
  <si>
    <t>Av. San Luis Nº 1265-1285</t>
  </si>
  <si>
    <t>Alameda Del Corregidor Nº 1517-1531, Urbanización Sirius III Etapa</t>
  </si>
  <si>
    <t>Alameda del Corregidor Nº 1855-1865</t>
  </si>
  <si>
    <t>Jr. Las Calandrias Nº 151–291</t>
  </si>
  <si>
    <t>Lote 08, Mz. E</t>
  </si>
  <si>
    <t>Ichuña</t>
  </si>
  <si>
    <t>General Sánchez Cerro</t>
  </si>
  <si>
    <t>Parcela N° 1 Urb. Ciudad Jardín S/N</t>
  </si>
  <si>
    <t>Pacocha</t>
  </si>
  <si>
    <t>Urb. Ciudad Jardín S/N</t>
  </si>
  <si>
    <t>Av. Circunvalación, Lote 1B, Sub Lote 3, Fundo El Gramadal</t>
  </si>
  <si>
    <t>Av. Armendariz 445, Miraflores</t>
  </si>
  <si>
    <t>Salaverry, General N° 2475</t>
  </si>
  <si>
    <t>Jr. José Antonio N° 310, Lote 10ª, Urb. El Parque De Monterrico</t>
  </si>
  <si>
    <t>Av. Honorio Delgado N° 430, Urb. Ingenieria S.M.P</t>
  </si>
  <si>
    <t>San Martín de Porres</t>
  </si>
  <si>
    <t>Av. Wise Km. 10.5</t>
  </si>
  <si>
    <t>SE04L07</t>
  </si>
  <si>
    <t>Av. la cultura s/n ref. a una cuadra del colegio público Censa</t>
  </si>
  <si>
    <t>Chilca</t>
  </si>
  <si>
    <t>SE03L01</t>
  </si>
  <si>
    <t>Av. Cajatambo s/n referencia con dirección a Quinchas - Raura</t>
  </si>
  <si>
    <t>SE02L01</t>
  </si>
  <si>
    <t>Calle Jose Santos Chocano 2</t>
  </si>
  <si>
    <t>Huaral</t>
  </si>
  <si>
    <t>SE01L02</t>
  </si>
  <si>
    <t>Avenida Panamericana Norte Km. 94-95 Fundo Santa María</t>
  </si>
  <si>
    <t>Chancay</t>
  </si>
  <si>
    <t>SE01L01</t>
  </si>
  <si>
    <t>Av. General Santa Cruz N° 711</t>
  </si>
  <si>
    <t>Av. Wiese Km. 10.5</t>
  </si>
  <si>
    <t>Av. 28 de Julio N° 1942</t>
  </si>
  <si>
    <t>Av. Circunvalación N° 2800</t>
  </si>
  <si>
    <t>Av. Miguel Grau Cuadra 11</t>
  </si>
  <si>
    <t>Av. Miguel Grau N° 1250</t>
  </si>
  <si>
    <t>Av. Miguel Grau N° 755</t>
  </si>
  <si>
    <t>Comunidad Campesina San Pedro - Chamayog (Referencia: Espalda del Estadio Municipal de Yanahuanca)</t>
  </si>
  <si>
    <t>Yanahuanca</t>
  </si>
  <si>
    <t>Daniel Alcides Carrión</t>
  </si>
  <si>
    <t>Av. Circunvalación Mz. 0206 Lt. S/N, Urbanización Pampa del Carmen (La Merced)</t>
  </si>
  <si>
    <t>Lote N° 35 del Predio Rústico Yananyari</t>
  </si>
  <si>
    <t>Asociación Cartagena que colinda con el Instituto Fernando Belaunde Terry</t>
  </si>
  <si>
    <t>Constitución</t>
  </si>
  <si>
    <t>Oxapampa</t>
  </si>
  <si>
    <t>AV. Leandro Andaluz s/n Cuadra 01</t>
  </si>
  <si>
    <t>Villa Rica</t>
  </si>
  <si>
    <t>Valle Oxapampa, Sector Miraflores S/N (Referencia: Carretera Central Kilometro 3.5 - Barrio Miraflores)</t>
  </si>
  <si>
    <t>Terreno Ubicado En Pucayacu (Referencia: salida a San Juan de Milpo)</t>
  </si>
  <si>
    <t>Centro Poblado Paucartambo Mz. Y Lote 22 Barrio Abajo</t>
  </si>
  <si>
    <t>Paucartambo</t>
  </si>
  <si>
    <t>Programa de vivienda Urbanización San Juan Pampa Mz. E Lote 3 Sector Centro Comercial</t>
  </si>
  <si>
    <t>Programa de Vivienda Urbanización San Juan Pampa Mz. Q Lote 1 Sector Centro Comercial</t>
  </si>
  <si>
    <t>Av. Aviación S/N</t>
  </si>
  <si>
    <t>Pichari</t>
  </si>
  <si>
    <t>Av. Brasil Mz. C-E2, Pueblo Pichari Baja (Ex Cecar)</t>
  </si>
  <si>
    <t>Bloque San Juan De La Frontera S/N° Asociación De Vivienda San Juan De La Frontera (Campus Universitario)</t>
  </si>
  <si>
    <t>Bq. Allpachaca N° 47 - 0 Pueblo Chiara</t>
  </si>
  <si>
    <t>Bq. Pacaycasa 00 S/N Int. 0 Pblo. Pacaycasa</t>
  </si>
  <si>
    <t>Av. Abancay S/N, Ayacucho, Huamanga, Ayacucho</t>
  </si>
  <si>
    <t>Jr. Tres Máscaras N° 341</t>
  </si>
  <si>
    <t>Jr. Miller S/N - 6Ta Cuadra</t>
  </si>
  <si>
    <t>Av. 26 de Enero S/N - 1ra Cuadra (Escuela de Educación Física - Ex Pagpa)</t>
  </si>
  <si>
    <t>Av. Independencia S/N - 1ra Cuadra (Escuela de Físico Matemática)</t>
  </si>
  <si>
    <t>Jr. Magnolias N° 387 Ó Mz. "R" Lt. 20. Urbanización Mariscal Cáceres</t>
  </si>
  <si>
    <t>Av. Independencia N° 8 (Ciudad Universitaria)</t>
  </si>
  <si>
    <t>Jr. Juan Francisco Ramos N° 380</t>
  </si>
  <si>
    <t>Jr. Universitaria N° 117 - 119 - 121</t>
  </si>
  <si>
    <t>Av. 28 de Julio N° 1103</t>
  </si>
  <si>
    <t>Talavera</t>
  </si>
  <si>
    <t>Av. José María Arguedas S/N</t>
  </si>
  <si>
    <t>Lt. E. 4-B- Challhuas, Anexo Rundo</t>
  </si>
  <si>
    <t>Entre El Jr. Bolognesi y El Jr. Lima</t>
  </si>
  <si>
    <t>Av. Universitaria Mz. A Lt. 12,13,14</t>
  </si>
  <si>
    <t>Jr. Bolognesi N° 416 - 418</t>
  </si>
  <si>
    <t>Via A Rundo S/N</t>
  </si>
  <si>
    <t>Avenida República de Panamá N°3968-3972, MZ. B-2-A, Lote 5, Urbanización Limatambo</t>
  </si>
  <si>
    <t>Avenida República de Panamá Nº 3956 – 3944 – 3940 Esquina con la Calle los Halcones Nº 520 – 570, Urbanización Limatambo</t>
  </si>
  <si>
    <t>Av. Arequipa 1290 Esquina con Teodoro Cárdenas 171 Piso 4, Distrito de Cercado de Lima</t>
  </si>
  <si>
    <t>Av. Nicolás Ayllón 7208 Lote 108 D 109 a Urb. Lotización del Fundo la Estrella, Distrito de Ate</t>
  </si>
  <si>
    <t>Av. Alfredo Mendiola Lote 1 Mz. A Urb. Puertas de Infantas, Distrito de los Olivos</t>
  </si>
  <si>
    <t>Avenida Paseo de la República N°5514 - 5544, Esquina con Avenida Ricardo Palma N°382 y Jirón Manuel Bonilla N°241</t>
  </si>
  <si>
    <t>Calle Cantuarias 385</t>
  </si>
  <si>
    <t>Carretera Panamericana Sur Km. 19</t>
  </si>
  <si>
    <t>Carretera Panamericana Sur Km. 19 Lote B</t>
  </si>
  <si>
    <t>Predio Rural UNAJ-02 y UNAJ-04 Sector Ayabacas</t>
  </si>
  <si>
    <t>Jirón Manco Inca S/N</t>
  </si>
  <si>
    <t>Bloque G, MZ. B, Lote 14, Zonz Industrial Taparachi</t>
  </si>
  <si>
    <t>F10L01_</t>
  </si>
  <si>
    <t>Av. Centenario C.P./Parc. A. Núm. 3915 y 3919 Fundo Predio rústico Las Casitas</t>
  </si>
  <si>
    <t>Av. Capitán FAP José Abelardo Quiñones Gonzales con Cruze de la Calle Prolongación Grau núm. 1472, 1478, 1484</t>
  </si>
  <si>
    <t>Av. Billinghurst Núm. 800 Sub Lote 1B, Zona Pago Collana</t>
  </si>
  <si>
    <t>Avenida Circunvalación Núm. 449</t>
  </si>
  <si>
    <t>Av. Nicolás de Piérola (Antes Carretera Panamericana Norte) 1221- 1223-1225-1227- 1229-1231- 1235</t>
  </si>
  <si>
    <t>Av. Prolongación Union Lote 2-Ab-1-2-3</t>
  </si>
  <si>
    <t>Sub Lote 2-A-1 Sector San José Sub Lote Eueb 5 Ica</t>
  </si>
  <si>
    <t>Proyecto Habilitación Urbana Paseo del Mar Mz. C9, Lote 2</t>
  </si>
  <si>
    <t>Av. Sánchez Cerro Sub Lote 234-239, A y B, Zona Industrial, Piura</t>
  </si>
  <si>
    <t>Lote zona intersección de la Vía Evitamiento y calle El Progreso Chiclayo</t>
  </si>
  <si>
    <t>Av. Parra o Washington Núm. 217-219</t>
  </si>
  <si>
    <t>Av. Alfonso Ugarte 201, 203 - Av. Andrés Martínez 101 - 103 y 105</t>
  </si>
  <si>
    <t>Avenida Tacna y Arica Núm.158, 160, 162, 165 y 166, Urb. María Isabel.</t>
  </si>
  <si>
    <t>Sub Lote 13 B de la manzana G Av. El Sol, Urb. Canto Grande - Primera Etapa San Juan de Lurigancho</t>
  </si>
  <si>
    <t>SL15</t>
  </si>
  <si>
    <t>Jirón Manuel Nicolás Corpancho Nº 358-360 Cercado</t>
  </si>
  <si>
    <t>Av. Arequipa N° 772- 790 y jiron Cap. Pablo Bermudez Nº 128-130-134-136</t>
  </si>
  <si>
    <t>Parque Hernán Velarde 091-093 Urbanización Santa Beatriz</t>
  </si>
  <si>
    <t>Unidad Inmobiliaria Nº 1 con frente a la pista Lima Chosica (Carretera Central) Lote 96-E Ate</t>
  </si>
  <si>
    <t>Lote 14 de la Mz. G con frente a la calle Uno Urbanización Parcelación Semirustica Canto Grande-San Juan de Lurigancho</t>
  </si>
  <si>
    <t>Lote 3 (Remanente) de la Mz. A, Urb. Pre Urbana tipo Huerta</t>
  </si>
  <si>
    <t>Av. General Salaverry N° 2445 2449 2451</t>
  </si>
  <si>
    <t>Avenida Infantas Manzana A-E lote 20 urbanización Santa Luisa - Segunda Etapa Los Olivos</t>
  </si>
  <si>
    <t>Jirón Acobamba 104-110-118-124 Cercado</t>
  </si>
  <si>
    <t>Edificio Pacífico Washington calle Natalio Sánchez Cercado</t>
  </si>
  <si>
    <t>Av. Petit Thouars manzana 3B Lote 9 urbanización Fundo Santa Beatriz Cercado</t>
  </si>
  <si>
    <t>Jirón Hernán Velarde Nº 289 - 293 esquina con la avenida Arequipa Nº 265 - 279 Cercado</t>
  </si>
  <si>
    <t>Av.Abel Bergasse Du Petit Thouars 114 y 116 Urb. Santa Beatriz</t>
  </si>
  <si>
    <t>Parcela A Fundo San Andrés Quinta Etapa</t>
  </si>
  <si>
    <t>Victor Larco Herrera</t>
  </si>
  <si>
    <t>Calle San Valentín N° 126 – 128, Lote 4 Urb. San Andrés 3 etapa</t>
  </si>
  <si>
    <t>Calle San Valentín N° 151 Urb. San Andrés</t>
  </si>
  <si>
    <t>Av. Los Cocos Mz. M, Lote 2, Urbanización Club Grau Piura / Mz. M, Lote 3, Urbanización Club Grau Piura.</t>
  </si>
  <si>
    <t>Mz. A Habilitación Urbana Institucional Lote 05-06-07</t>
  </si>
  <si>
    <t>Veintiseis de Octubre</t>
  </si>
  <si>
    <t>Mz. D Lote 7A, Urbanización Club Grau de Piura / Mz. D Lote 8 y 9, Urbanización Club Grau Piura</t>
  </si>
  <si>
    <t>Av. General Salaverry N° 2525-2529-2535, Urb. Country Club San Isidro</t>
  </si>
  <si>
    <t>Av. Pedro Miotta N° 103, Sub Lote B, Urbanización San Juan de Miraflores</t>
  </si>
  <si>
    <t>San Juan de Miraflores</t>
  </si>
  <si>
    <t>Calle Cristobal Colon N° 677, Zona Cercado de Chiclayo</t>
  </si>
  <si>
    <t>Av. Luis Gonzales N°1004 Calle Lora Y Cordero N° 505 Y 519</t>
  </si>
  <si>
    <t>Sector la garita de Pimentel</t>
  </si>
  <si>
    <t>Pueblo Tradicional Cercado de Chiclayo Calle Elías Aguirre Nº 927 (Mz. 130 Lote 25A).</t>
  </si>
  <si>
    <t>Predio Ubicado en el Sector la Garita con U.c.10465 del Distrito de Pimentel - Ubic. Rur. Predio Ubicado en el Sector la Garita de Pimentel Sector la Garita Pimentel Km. 5 Carretera Pimentel.</t>
  </si>
  <si>
    <t>Av. Pedro Miotta Nº 130 Sub Lote A</t>
  </si>
  <si>
    <t>F02L08</t>
  </si>
  <si>
    <t>Av. Nicolás de Ayllón Sub Lote 5</t>
  </si>
  <si>
    <t>F02L07</t>
  </si>
  <si>
    <t>Av. Guardia Peruana N° 890, Urb. La Campiña</t>
  </si>
  <si>
    <t>F02L06</t>
  </si>
  <si>
    <t>Av. Retablo N° 580 - Urb. Retablo - Segunda Etapa</t>
  </si>
  <si>
    <t>Lt. 19 y 37 Mz. F - Urb. Canto Grande Parcelación Semirústica</t>
  </si>
  <si>
    <t>Av. Tingo María N° 1122 MZ. C-2 LT. 11 - 13 - 15 Urb. Chacra Ríos Sur y Jr. Antenor Orrego 1831, 1863 y 1871</t>
  </si>
  <si>
    <t>Av. Alfredo Mendiola N° 6062 Mnz. C Lt. 11A Lot. Industrial Molitalia</t>
  </si>
  <si>
    <t>Ba San Antonio Av. Via De Evitamiento (N) Cdra. 15</t>
  </si>
  <si>
    <t>Calle 31 Mz. A Lote 01 1-3 Piso - Urb. San Isidro 2da Etapa</t>
  </si>
  <si>
    <t>Av. Ejercito 920 - 940 Urbanización El Molino</t>
  </si>
  <si>
    <t>Sector Norte Parcela 3</t>
  </si>
  <si>
    <t>Predio La Isla o La Chacarilla, Sector: Chacarilla, Unidad Catastral 15623</t>
  </si>
  <si>
    <t>Avenida América Sur 3145 Monserrate</t>
  </si>
  <si>
    <t>Anexo Purupampa N°LT. 36</t>
  </si>
  <si>
    <t>Panao</t>
  </si>
  <si>
    <t>Pachitea</t>
  </si>
  <si>
    <t>SE06L01</t>
  </si>
  <si>
    <t>PQ. Plaza de Armas S/N</t>
  </si>
  <si>
    <t>Pachas</t>
  </si>
  <si>
    <t>Dos de Mayo</t>
  </si>
  <si>
    <t>SE05L01</t>
  </si>
  <si>
    <t>PQ. Tambogan LT. 53 S/N</t>
  </si>
  <si>
    <t>Churubamba</t>
  </si>
  <si>
    <t>SE04L01</t>
  </si>
  <si>
    <t>BQ. Pampa Cruz</t>
  </si>
  <si>
    <t>Jacas Grande</t>
  </si>
  <si>
    <t>Huamalíes</t>
  </si>
  <si>
    <t>SE03L02</t>
  </si>
  <si>
    <t>JR. Inca Garcilazo de la Vega - M1</t>
  </si>
  <si>
    <t>Chavín de Pariarca</t>
  </si>
  <si>
    <t>JR. Chavinillo S/N</t>
  </si>
  <si>
    <t>Chavinillo</t>
  </si>
  <si>
    <t>Yarowilca</t>
  </si>
  <si>
    <t>SE02L02</t>
  </si>
  <si>
    <t>Obas</t>
  </si>
  <si>
    <t>Jr. 28 de Julio</t>
  </si>
  <si>
    <t>Cholon</t>
  </si>
  <si>
    <t>Marañón</t>
  </si>
  <si>
    <t>Prolongación Av. 28 de Julio - La Gran Vía</t>
  </si>
  <si>
    <t>Huacrachuco</t>
  </si>
  <si>
    <t>--</t>
  </si>
  <si>
    <t>F15L03</t>
  </si>
  <si>
    <t>Jr. Progreso Nº 174</t>
  </si>
  <si>
    <t>F15L02</t>
  </si>
  <si>
    <t>Carretera Federico Basadre Km. 5.8</t>
  </si>
  <si>
    <t>F15L01</t>
  </si>
  <si>
    <t>F14L03</t>
  </si>
  <si>
    <t>Jr. Manuel Segura Nº 271</t>
  </si>
  <si>
    <t>F14L02</t>
  </si>
  <si>
    <t>Av. Brasil Nº 217</t>
  </si>
  <si>
    <t>F14L01</t>
  </si>
  <si>
    <t>F13L02</t>
  </si>
  <si>
    <t>Av. Auvernia Y Psj. Los Mangos N°11</t>
  </si>
  <si>
    <t>F13L01</t>
  </si>
  <si>
    <t>Jr. Pichus Nº 957</t>
  </si>
  <si>
    <t>Jr. Huánuco S/N</t>
  </si>
  <si>
    <t>F10L03</t>
  </si>
  <si>
    <t>Dos Aguas</t>
  </si>
  <si>
    <t>Jr. Huampal S/N</t>
  </si>
  <si>
    <t>Codo del Pozuzo</t>
  </si>
  <si>
    <t>Puerto Inca</t>
  </si>
  <si>
    <t>Comunidad Campesina Urupampa</t>
  </si>
  <si>
    <t>F07L02</t>
  </si>
  <si>
    <t>Prolongación Av. 28 De Julio - La Gran Vía</t>
  </si>
  <si>
    <t>Av. Las Américas Nº 250</t>
  </si>
  <si>
    <t>José Crespo y Castillo</t>
  </si>
  <si>
    <t>Leoncio Prado</t>
  </si>
  <si>
    <t>Bq. Pampa Alegre - Fundo S/N</t>
  </si>
  <si>
    <t>Baños</t>
  </si>
  <si>
    <t>Lauricocha</t>
  </si>
  <si>
    <t>Jr. Leoncio Prado Mz. K-I Lote Nº 01</t>
  </si>
  <si>
    <t>Jesús</t>
  </si>
  <si>
    <t>Jr. Centenario Cuarta Cuadra S/N</t>
  </si>
  <si>
    <t>Monzón</t>
  </si>
  <si>
    <t>F04L04</t>
  </si>
  <si>
    <t>Jr. Huánuco S/N Cruz Pampa</t>
  </si>
  <si>
    <t>Calle El Silencio S/N</t>
  </si>
  <si>
    <t>Jr. San Martín Mz. B Lote Nº 17</t>
  </si>
  <si>
    <t>Llata</t>
  </si>
  <si>
    <t>Jr. Esteban Roque S/N</t>
  </si>
  <si>
    <t>Canchabamba</t>
  </si>
  <si>
    <t>Huacaybamba</t>
  </si>
  <si>
    <t>Calle Tacna A-04</t>
  </si>
  <si>
    <t>La Unión</t>
  </si>
  <si>
    <t>Jr. Bolívar S/N</t>
  </si>
  <si>
    <t>Huacar</t>
  </si>
  <si>
    <t>Ambo</t>
  </si>
  <si>
    <t>Jr. Belaúnde Terry S/N</t>
  </si>
  <si>
    <t>Av. Ingeniería Nº 714 - Cayhuayna Alta</t>
  </si>
  <si>
    <t>Pillco Marca</t>
  </si>
  <si>
    <t>(Huerto Olerícola) Carretera Central - Cayhuayna</t>
  </si>
  <si>
    <t>Av. Universitaria 601-607- Cayhuayna</t>
  </si>
  <si>
    <t>Sector San Alberto</t>
  </si>
  <si>
    <t>Margen Derecha Del Rio Tishgo A 950 Metros En El Desvío De La Carretera Central</t>
  </si>
  <si>
    <t>Paccha</t>
  </si>
  <si>
    <t>Yauli</t>
  </si>
  <si>
    <t>Sector La Esperanza "Vivero Forestal La Esperanza"</t>
  </si>
  <si>
    <t>Av. Ramón Castilla N° 1529 Lado Norte</t>
  </si>
  <si>
    <t>Av. Ramón Castilla N° 1520 y N° 1529 Lado Norte</t>
  </si>
  <si>
    <t>Sin Dirección Referencia*</t>
  </si>
  <si>
    <t>Pampa Hermosa</t>
  </si>
  <si>
    <t>Calle 06 No. 280, Mz. G-1</t>
  </si>
  <si>
    <t>Av. Alameda La Marginal S/N</t>
  </si>
  <si>
    <t>Av. Alameda Marginal Sur N° 946</t>
  </si>
  <si>
    <t>Prolongación Av. Túpac Amaru N° 3085</t>
  </si>
  <si>
    <t>Carretera Jauja - Tarma</t>
  </si>
  <si>
    <t>Pomacancha</t>
  </si>
  <si>
    <t>Jauja</t>
  </si>
  <si>
    <t>Lote 2 al Lote 8: Calle Camino Real N° 516</t>
  </si>
  <si>
    <t>El Mantaro</t>
  </si>
  <si>
    <t>Lote 1: Carretera Central N° 2205</t>
  </si>
  <si>
    <t>Omacoto-Amocasta</t>
  </si>
  <si>
    <t>Sicaya</t>
  </si>
  <si>
    <t>Av. Mariscal Castilla – Fundo El Porvenir</t>
  </si>
  <si>
    <t>Jr. Miller No. 154</t>
  </si>
  <si>
    <t>Calle Real N° 125</t>
  </si>
  <si>
    <t>Calle Real No. 147-149-151</t>
  </si>
  <si>
    <t>Calle Real N° 160</t>
  </si>
  <si>
    <t>Jr. Parra Del Riego N° 2245</t>
  </si>
  <si>
    <t>Av. Grau N° 1365</t>
  </si>
  <si>
    <t>Av. Mariscal Castilla N° 3909 - 4089</t>
  </si>
  <si>
    <t>Av. Centenario s/n Huancabamba</t>
  </si>
  <si>
    <t>Huancabamba</t>
  </si>
  <si>
    <t>Av. A-514- Talara Alta</t>
  </si>
  <si>
    <t>Pariñas</t>
  </si>
  <si>
    <t>Talara</t>
  </si>
  <si>
    <t>Av. Luis Antonio Euiguren N° S/N- Sechura</t>
  </si>
  <si>
    <t>Sechura</t>
  </si>
  <si>
    <t>Av. San Ramón Castilla S/N-</t>
  </si>
  <si>
    <t>Jr. Los Cárcamos N° 362 - La Punta</t>
  </si>
  <si>
    <t>Paita</t>
  </si>
  <si>
    <t>Carretera Sullana a Tambogrande Km. 6</t>
  </si>
  <si>
    <t>Urb. Miraflores s/n</t>
  </si>
  <si>
    <t>Jirón, Callao 247</t>
  </si>
  <si>
    <t>Esquina Tacna con Apurimac. S/N</t>
  </si>
  <si>
    <t>Esquina Av. Luis Montero y Av. Andrés Avelino Cáceres</t>
  </si>
  <si>
    <t>Carretera Caserío Miraflores S/N</t>
  </si>
  <si>
    <t>Avenida Pio Sarobe N° 198</t>
  </si>
  <si>
    <t>Calle los Agrícolas N° 280</t>
  </si>
  <si>
    <t>Predio denominado Huancucro, AcobambaTarma-Junín</t>
  </si>
  <si>
    <t>Ubic. Rur. Sector Huancucro, AcobambaTarma-Junín</t>
  </si>
  <si>
    <t>Jirón Malecón Gálvez N° 2202</t>
  </si>
  <si>
    <t>Jr. Huaraz N° 431</t>
  </si>
  <si>
    <t>Calle Bolivar N° 401 Y Calle Chiclayo N° 187</t>
  </si>
  <si>
    <t>Calle Lora Y Cordero N° 689</t>
  </si>
  <si>
    <t>Calle Blondell N° 22</t>
  </si>
  <si>
    <t>Av. Oscar Benavides N° 4225, Primer Piso, Oficina 102</t>
  </si>
  <si>
    <t>Jr. Juan Mendizabal N° 1198 Y Jr. Juan Castilla N° 366</t>
  </si>
  <si>
    <t>F06L04</t>
  </si>
  <si>
    <t>Av. Universitaria N° 2731</t>
  </si>
  <si>
    <t>F06L03</t>
  </si>
  <si>
    <t>Jr. Domingo Casanova N° 148</t>
  </si>
  <si>
    <t>Av. Simón Bolivar N° 222-224</t>
  </si>
  <si>
    <t>Jr. Libertad N° 354</t>
  </si>
  <si>
    <t>Jr. Abraham Valdelomar N° 133</t>
  </si>
  <si>
    <t>Jr. Julio Pirola N° 122</t>
  </si>
  <si>
    <t>Av. 13 De Noviembre N° 786-788</t>
  </si>
  <si>
    <t>Av. Unión Sub Lote 2</t>
  </si>
  <si>
    <t>Castillo Grande</t>
  </si>
  <si>
    <t>Jirón San Alejandro N° 472, Sub Lote N° 3A de la Mz. 35 y Sub Lote N° 3B de la Mz. 35, Avenida Ucayali</t>
  </si>
  <si>
    <t>Rupa-Rupa</t>
  </si>
  <si>
    <t>Jirón San Alejandro N° 380</t>
  </si>
  <si>
    <t>Jirón Dos de Mayo N° 617 - 627 - 629 - 631 - 634 - 635</t>
  </si>
  <si>
    <t>Carretera Huánuco-Tingo María km 8 - La Esperanza</t>
  </si>
  <si>
    <t>Amarilis</t>
  </si>
  <si>
    <t>Jr. Hermilio Valdizán N° 871</t>
  </si>
  <si>
    <t>Av. Javier Perez de Cuellar N° 725 Lote 1</t>
  </si>
  <si>
    <t>Calle C N° 201, Parque Industrial</t>
  </si>
  <si>
    <t>Lt. 1 Mz. J Urb. Industrial</t>
  </si>
  <si>
    <t>Calle Junín 355</t>
  </si>
  <si>
    <t>Predio Illari, Sector Accoyoc, con Uc 158685</t>
  </si>
  <si>
    <t>Jr. Juan Espinoza Medrano N° 358 (Q-13)</t>
  </si>
  <si>
    <t>Lt. 13 Mz. B Urb. Manuel Prado</t>
  </si>
  <si>
    <t>Calle Alfonso Ugarte 607</t>
  </si>
  <si>
    <t>La Canseco II / Sector: Valle Chili</t>
  </si>
  <si>
    <t>Av. San Carlos N° 1980</t>
  </si>
  <si>
    <t>Av. Argentina 1793 - 1795 Seccion 09 - Urbanización la Chalaca - Callao</t>
  </si>
  <si>
    <t>Jr. Francisco Maguiña Condor - Marian - Independencia - Huaraz (Itse) Jr. Francisco Maguiña Condor S/N Marian - Independencia - Huaraz</t>
  </si>
  <si>
    <t>Av. Independencia N° 1488 - Sector Palmira</t>
  </si>
  <si>
    <t>Av. Carretera Baños Termales S/N Sector Uchuglla Barrio Calvario – Moyobamba</t>
  </si>
  <si>
    <t>F07L04</t>
  </si>
  <si>
    <t>Jr. José de San Martín N° 511 - 513 - 515</t>
  </si>
  <si>
    <t>F07L03</t>
  </si>
  <si>
    <t>JR. Dos de Mayo N° 400 Barrio Zaragoza</t>
  </si>
  <si>
    <t>Jr. 25 de Mayo Nº 158 - Barrio Lluyllucucha</t>
  </si>
  <si>
    <t>Carretera Panamericana Norte Km. 695</t>
  </si>
  <si>
    <t>Chepen</t>
  </si>
  <si>
    <t>Chepén</t>
  </si>
  <si>
    <t>Calle San Andrés N° 6165</t>
  </si>
  <si>
    <t>F05L04</t>
  </si>
  <si>
    <t>Av. Nicolas Ayllon Lote 120-73, Sub Lote B</t>
  </si>
  <si>
    <t>Av. El Parque Nº 640. Mz. Unidad 1-E Urb. Canto Grande</t>
  </si>
  <si>
    <t>Av. Alfredo Mendiola N° 6232, Urb. Lotización Industrial Molitalia</t>
  </si>
  <si>
    <t>Jr. Bolognesi N° 485-489, Zona Casco Urbano</t>
  </si>
  <si>
    <t>Av. Central Mz. H - Lt. E. 1 Urb. Buenos Aires</t>
  </si>
  <si>
    <t>JR. Martínez de Compagñón Cuadra N° 1020</t>
  </si>
  <si>
    <t>Carretera Marginal Norte Fernando B. Terry Km. 8.5 Sector Maronilla Mishquiyacu</t>
  </si>
  <si>
    <t>Cacatachi</t>
  </si>
  <si>
    <t>Carretera Pimentel Km. 3.5</t>
  </si>
  <si>
    <t>Av. Prol. Chulucanas Mz. S T, S/N</t>
  </si>
  <si>
    <t>Predio A - B Ubic. Rur Predio Los Tallos</t>
  </si>
  <si>
    <t>Av. Víctor Larco 1751, Urb. California</t>
  </si>
  <si>
    <t>Av. Larco N° 392</t>
  </si>
  <si>
    <t>Av. Víctor Larco Herrera N° 1771, Urb. California</t>
  </si>
  <si>
    <t>Av. Larco Núm. 1770, Urb. 5ta Etapa San Andrés</t>
  </si>
  <si>
    <t>Calle 1 Oeste N° 29-31, Urbanización Córpac</t>
  </si>
  <si>
    <t>Calle Ernesto Novoa N° 410</t>
  </si>
  <si>
    <t>Módulo II del Lote de Investigación Sector B - Irrigación Majes</t>
  </si>
  <si>
    <t>Majes</t>
  </si>
  <si>
    <t>Caylloma</t>
  </si>
  <si>
    <t>Calle Cayetano Arenas N° 152 - Parque Industrial Mz. O, Lote 5</t>
  </si>
  <si>
    <t>Huasacache S/N - Hunter</t>
  </si>
  <si>
    <t>Jacobo Hunter</t>
  </si>
  <si>
    <t>Calle Samuel Velarde N° 320 - Umacollo</t>
  </si>
  <si>
    <t>Urbanización San José S/N</t>
  </si>
  <si>
    <t>Esquina Av. Dos de Mayo y Av. Ernesto Rivera Mz. A. 1-H Lote 9-10</t>
  </si>
  <si>
    <t>Vïa Sambaray S/N</t>
  </si>
  <si>
    <t>Urbanización Bancopata Mz. A A Lote 1, 16 y 17</t>
  </si>
  <si>
    <t>Santiago</t>
  </si>
  <si>
    <t>Prolongación Av. De la Cultura S/N</t>
  </si>
  <si>
    <t>Av. El Sol N° 356</t>
  </si>
  <si>
    <t>Urbanización Ingeniería Larapa Grande A-5</t>
  </si>
  <si>
    <t>Av. Alejandro Iglesias N° 296</t>
  </si>
  <si>
    <t>Carretera Central Km. 1.21</t>
  </si>
  <si>
    <t>Lotes 02, 03, 04, 05, 06 y 07 de la Manzana C, Zona Industrial de Mollendo</t>
  </si>
  <si>
    <t>Mollendo</t>
  </si>
  <si>
    <t>Islay</t>
  </si>
  <si>
    <t>F03L05</t>
  </si>
  <si>
    <t>Bahía De Catarindo</t>
  </si>
  <si>
    <t>Urbanización Cesar Vallejo</t>
  </si>
  <si>
    <t>Malecón Raty, Estación Cultural Mollendo S/N</t>
  </si>
  <si>
    <t>Urbanización Miramar,Manzana B, Lote 8 Francisco Mostajo, Distrito De Mollendo, Provincia De Islay,Departamento De Arequipa.</t>
  </si>
  <si>
    <t>Calle N° 104, S/N, Manzana C-2, Lote 1, Sector 1, Modulo A De La Ciudad Majes</t>
  </si>
  <si>
    <t>Sector 1 B, Proyecto Majes</t>
  </si>
  <si>
    <t>Zona Especializada Sección B y Módulo I-U.n.s.a.</t>
  </si>
  <si>
    <t>Campamento de Carlos W. "Shutton"</t>
  </si>
  <si>
    <t>Calle Samuel Pastor N° 802</t>
  </si>
  <si>
    <t>Samuel Pastor</t>
  </si>
  <si>
    <t>Camaná</t>
  </si>
  <si>
    <t>Vía De Evitamiento S/N</t>
  </si>
  <si>
    <t>Fundo la Esperanza S/N</t>
  </si>
  <si>
    <t>Calle Corrientes C-11, Urb. Cooperativa Universitaria</t>
  </si>
  <si>
    <t>SL21</t>
  </si>
  <si>
    <t>Avenida N° 3, Mz. A1, B1 Y C1, A.H. Víctor Andrés Belaunde</t>
  </si>
  <si>
    <t>Cerro Colorado</t>
  </si>
  <si>
    <t>SL20</t>
  </si>
  <si>
    <t>Esquina Avenida Arequipa Con Carretera A Socabaya S/N</t>
  </si>
  <si>
    <t>Characato</t>
  </si>
  <si>
    <t>SL19</t>
  </si>
  <si>
    <t>Calle Pedro Diez Canseco, Mz. X, L-1, P.J. San Juan De Dios</t>
  </si>
  <si>
    <t>SL18</t>
  </si>
  <si>
    <t>Avenida N° 4 (Carretera A Chivay), Mz. C-1, L-13, A.H. 1° De Junio</t>
  </si>
  <si>
    <t>Cayma</t>
  </si>
  <si>
    <t>SL17</t>
  </si>
  <si>
    <t>Calle Universidad N° 117, Mz. K, L-12, Urbanización La Victoria</t>
  </si>
  <si>
    <t>Calle N° 3, Mz. I, L-3, Parque Industrial De Rio Seco</t>
  </si>
  <si>
    <t>Calle Francisco Velasco N° 125-127, Mz. E, L-5, Parque Industrial Arequipa</t>
  </si>
  <si>
    <t>P.J. José Carlos Mariátegui, Mz. Q, L-2</t>
  </si>
  <si>
    <t>Paucarpata</t>
  </si>
  <si>
    <t>Avenida Libertad, Mz. O, L-26, P.J. Rio Seco</t>
  </si>
  <si>
    <t>Fundo Estación El Colca-Sumbay</t>
  </si>
  <si>
    <t>Esquina Santa Catalina N° 314 Con Zela N° 218</t>
  </si>
  <si>
    <t>Moral N° 316</t>
  </si>
  <si>
    <t>Santa Catalina N° 117</t>
  </si>
  <si>
    <t>San Agustín N° 115</t>
  </si>
  <si>
    <t>Santa Catalina N° 101</t>
  </si>
  <si>
    <t>San Agustín N° 106 -108</t>
  </si>
  <si>
    <t>Álvarez Thomas N° 200</t>
  </si>
  <si>
    <t>Avenida Daniel Alcides Carrión S/N</t>
  </si>
  <si>
    <t>Avenida Venezuela S/N</t>
  </si>
  <si>
    <t>Avenida Independencia- Avenida Venezuela S/N</t>
  </si>
  <si>
    <t>Jr. Albilla N° 108 Y Av. Luis Massaro N°425- Chincha Alta</t>
  </si>
  <si>
    <t>Ubic. Rur. Yanquiza</t>
  </si>
  <si>
    <t>F01L04</t>
  </si>
  <si>
    <t>Inmueble Urbano, Sector Yanquiza/Predio Normita Sub Lote N° 1 y N° 2</t>
  </si>
  <si>
    <t>Ubic. Rur. Sector Pampas de Villacurí / Predio Paracas Verde C.P./Parc. Salas - Guadalupe y Ubic. Rur. Predio Don Eduardo Sector Pampa de Villacuri Salas - Guadalupe</t>
  </si>
  <si>
    <t>Salas</t>
  </si>
  <si>
    <t>Carretera Panamericana Sur N° 103, 113 y 123 (Ex Km. 300)</t>
  </si>
  <si>
    <t>Av. San Luis N° 1934, Esquina con Jr. Tiziano N°491-493 Urbanización San Borja Tercera Etapa - San Borja</t>
  </si>
  <si>
    <t>Av. Carlos Izaguirre 216-230</t>
  </si>
  <si>
    <t>Av. San Luis N° 1923-1925-1941-1943-1945, Jirón Salvador Dalí N° 130-132-136-142-156-164-176-182-184, Urbanización San Borja - San Borja</t>
  </si>
  <si>
    <t>Avenida José Antonio Lavalle N° 302-304-320-322-386-390-412 y Jirón Los Keros N° 280</t>
  </si>
  <si>
    <t>Jirón Aldebarán Nº 160</t>
  </si>
  <si>
    <t>Calle Mártir José Olaya Nº 162</t>
  </si>
  <si>
    <t>Av. El Golf N° 1112</t>
  </si>
  <si>
    <t>Calle Manuel Mezones Muro 190</t>
  </si>
  <si>
    <t>Avenida Ramón Mugica Nº 131, Urb. San Eduardo</t>
  </si>
  <si>
    <t>Av. Panamericana Sur Km. 10.5</t>
  </si>
  <si>
    <t>S01L03</t>
  </si>
  <si>
    <t>Av.Arequipa 5198</t>
  </si>
  <si>
    <t>S01L02</t>
  </si>
  <si>
    <t>Aveninda Alfredo Benavides Nº 5440</t>
  </si>
  <si>
    <t>S01L01</t>
  </si>
  <si>
    <t>Carretera Puno Cusco Km. 1164 Del Sector San Martin La Raya Del Centro Poblado De Kunurana Alto</t>
  </si>
  <si>
    <t>Santa Rosa</t>
  </si>
  <si>
    <t>Carretera Puno Cusco Km. 1201 Del Sector Chuquibambilla / Sector San Juan De Chuquibambilla</t>
  </si>
  <si>
    <t>Umachiri</t>
  </si>
  <si>
    <t>Jr. Conde de Lemos N° 219</t>
  </si>
  <si>
    <t>Av. Piscicultura N° 370/ Av. Piscicultura N° 370 Barrio Santa Barbara</t>
  </si>
  <si>
    <t>Chucuito</t>
  </si>
  <si>
    <t>Caserío Camacani Del Centro Poblado De Camacani</t>
  </si>
  <si>
    <t>Plateria</t>
  </si>
  <si>
    <t>Calle Arequipa N° 413</t>
  </si>
  <si>
    <t>Julcan</t>
  </si>
  <si>
    <t>Julcán</t>
  </si>
  <si>
    <t>Jr. Alfredo Eglinton S/N Mz. H Lote 01 Colegio Emblematico Faustino Maldonado</t>
  </si>
  <si>
    <t>F25L01</t>
  </si>
  <si>
    <t>Jr. Santa Asunción N° 414-Local Del Instituto De Capacitación Globalizada</t>
  </si>
  <si>
    <t>F21L01</t>
  </si>
  <si>
    <t>F20L01</t>
  </si>
  <si>
    <t>Av. Arenales N° 956 Jesús María</t>
  </si>
  <si>
    <t>F19L01</t>
  </si>
  <si>
    <t>Calle Mohr N° 227 Colegio Químico</t>
  </si>
  <si>
    <t>F18L01</t>
  </si>
  <si>
    <t>Institución Educativa Politécnica</t>
  </si>
  <si>
    <t>Cascas</t>
  </si>
  <si>
    <t>Gran Chimú</t>
  </si>
  <si>
    <t>F17L01</t>
  </si>
  <si>
    <t>Jr. Pedro Pascasio Noriega N° 061</t>
  </si>
  <si>
    <t>Auditorio de la Cámara de Comercio y Turismo San Martín-Jr. Manco Cápac N° 196</t>
  </si>
  <si>
    <t>Calle Lima N° 536</t>
  </si>
  <si>
    <t>Psje. Manco Cápac S/N Institución Educativa Casa Grande</t>
  </si>
  <si>
    <t>Casa Grande</t>
  </si>
  <si>
    <t>Ascope</t>
  </si>
  <si>
    <t>Av. Maestro S/N Institución Educativa Josefina Gutiérrez</t>
  </si>
  <si>
    <t>Chocope</t>
  </si>
  <si>
    <t>Calle Mariscal Gamarra N° 03</t>
  </si>
  <si>
    <t>Jr. El Triunfo N° 398 Barrio Laguna</t>
  </si>
  <si>
    <t>Calle Tacna N° 065</t>
  </si>
  <si>
    <t>Av. Atahualpa N° 1050</t>
  </si>
  <si>
    <t>Av. Virú Cuadra 6</t>
  </si>
  <si>
    <t>Viru</t>
  </si>
  <si>
    <t>Virú</t>
  </si>
  <si>
    <t>Predio La Pera Cementerio Viejo Sector Coyosgon</t>
  </si>
  <si>
    <t>Santiago de Chuco</t>
  </si>
  <si>
    <t>Calle Libertad Institución Educativa Juan Alvarado</t>
  </si>
  <si>
    <t>Otuzco</t>
  </si>
  <si>
    <t>Jirón Cáceres N° 604 - 613</t>
  </si>
  <si>
    <t>Auditorio Del Hospital Leoncio Prado De Huamachuco</t>
  </si>
  <si>
    <t>Vía De Evitamiento S/N Km. 880 Sector Ojo De Pescado</t>
  </si>
  <si>
    <t>Calle Ayacucho N° 280 - 282</t>
  </si>
  <si>
    <t>Guadalupe</t>
  </si>
  <si>
    <t>Pacasmayo</t>
  </si>
  <si>
    <t>F01L05</t>
  </si>
  <si>
    <t>Calle Ancash N° 156</t>
  </si>
  <si>
    <t>San Pedro de Lloc</t>
  </si>
  <si>
    <t>Asentamiento Humano Cafetal III</t>
  </si>
  <si>
    <t>Predio El Rodríguez Invernas Lote 12 y 12A</t>
  </si>
  <si>
    <t>Calle San Martín N° 13</t>
  </si>
  <si>
    <t>Mz. 01 Lote 18 Habilitación Urbana Moche-Sector a del Casco Urbano</t>
  </si>
  <si>
    <t>Calle Salaverry N° 535-545-555, Calle Pedro Muñiz N° 550 y Calle Nápoles N° 300</t>
  </si>
  <si>
    <t>Fundo San Andrés-Av. Juan Pablo II S/N</t>
  </si>
  <si>
    <t>Jr.Chepen - Av.Atarjea - Urb.Villa Hermosa</t>
  </si>
  <si>
    <t>Calle San Marcos Nº 351</t>
  </si>
  <si>
    <t>Jr. Iquique Nº 127-129</t>
  </si>
  <si>
    <t>Av.Colonial N° 450, 458 Y 478 / Av. Guillermo Dansey N° 651-671-675-685, 689, 695 Y 699</t>
  </si>
  <si>
    <t>Jr.Yungay N° 206</t>
  </si>
  <si>
    <t>Calle Francia N°720-726 / Calle Roma 370-374 / Calle Roma 356-360</t>
  </si>
  <si>
    <t>Pasaje Federico Paez N° 136 Urbanización Los Aromos</t>
  </si>
  <si>
    <t>Jr. Prolongación Camaná 1014</t>
  </si>
  <si>
    <t>Av. Nicolas de Pierola N° 262 / Cañete 710</t>
  </si>
  <si>
    <t>Av. Nicolas de Pierola N° 347-351-355 / Jr. Moquegua 651-653</t>
  </si>
  <si>
    <t>Av. Los Constructores (Ex. Las Palmas) N° 139,179 Y 199 Urb. Mayorazgo II Etapa</t>
  </si>
  <si>
    <t>Av. Javier Prado Este Cuadra 46 S/N</t>
  </si>
  <si>
    <t>SedePrincipal</t>
  </si>
  <si>
    <t>CodigoLocal</t>
  </si>
  <si>
    <t>NombreUniversidad</t>
  </si>
  <si>
    <t>IdLocal</t>
  </si>
  <si>
    <t>Sobre el mv1:  el MV es de carácter institucional y está aprobado por autoridad competente.  el reglamento o instrumento debe estar acorde a lo dispuesto por ley n° 27806 - ley de transparencia y acceso a la información pública, ley n° 30220 – ley universitaria, y en concordancia a lo establecido en su estatuto o reglamento general.  el reglamento o instrumento debe regular la protección de datos personales y de la seguridad de la información, así como de los procesos y los mecanismos para la gestión, presentación y publicación de la información.  los procesos y mecanismos establecidos para la presentación de la información deben ser interoperables con el sistema de información universitaria de SUNEDU, a través de interfases en los sistemas de información o estructuras para la importación de la información desde sus portales web. sobre el mv2:  la evidencia debe sustentar la aplicación de los criterios especificados en el mv1 de este indicador, según lo establecido en el estatuto, reglamento u otra normativa interna de la universidad. además, debe sustentar el cumplimiento de las funciones del personal del área en concordancia a los mv9, mv10, mv11 y mv12 del indicador 3 (según corresponda).  se debe presentar los resultados del proceso de selección del personal responsable de atender los requerimientos de información de carácter institucional, aprobado por autoridad competente, el cual debe ser concordante con el indicador 3. esto de acuerdo con el perfil establecido en la normativa de la universidad.  además, se presenta los instrumentos utilizados para la selección. sobre el mv3:  el portal web institucional es de dominio propio de la universidad.  el portal web institucional: (I) contiene la información exigida en la ley universitaria y normativa aplicable de forma permanente y actualizada. - el estatuto, el texto único de procedimientos administrativos (tupa), el plan estratégico institucional y el reglamento de la universidad. - las actas aprobadas en las sesiones de consejo de facultad, de consejo universitario y de asamblea universitaria (según corresponda). - los estados financieros de la universidad (en el caso de las universidades privadas), el presupuesto institucional modificado (en el caso de las universidades públicas), la actualización de la ejecución presupuestal y balances, de corresponder. - relación y número de becas y créditos educativos disponibles y otorgados en el año en curso (este último, solo para universidades con licencia denegada). - inversiones, reinversiones, donaciones, obras de infraestructura, recursos de diversa fuente, entre otros. - proyectos de investigación y los gastos que genere (solo para universidades con licencia denegada). - relación de pagos exigidos a los alumnos por toda índole, según corresponda. - número de alumnos por facultades y programas de estudio (se solicita la información publicada para universidades con licencia denegada y, para universidades nuevas, tras su primer proceso de admisión). - conformación del cuerpo docente, indicando clase, categoría y hoja de vida (guarda correspondencia con el indicador 19). - el número de postulantes, ingresantes, matriculados y egresados por año y carrera. (se solicita la información publicada solo para universidades con licencia denegada y, para universidades nuevas, tras su primer proceso de admisión). (II) si la sede o filial de la universidad se ubica en un distrito, provincia o región donde se ha reconocido una lengua originaria como predominante, la información pública debe encontrarse también en dicha lengua. se considerarán los datos provistos por el ministerio de cultura para la evaluación o la organización administrativa competente. (III) tiene opciones de acceso para personas con algún tipo de discapacidad, que pueda limitar su acceso a la información. para ello, el portal web institucional debe seguir las siguientes pautas35: - la información y los componentes de la interfaz de usuario deben presentarse a los usuarios de la manera en que puedan percibirlos. considerando para ello usar textos alternativos, descripción en audio y video (lenguaje de señas, subtítulos), diseños adaptables, sencillos y distinguibles (usos de colores para mejor distinción del contenido) - los componentes de la interfaz de usuario y la navegación deben ser operables. para ello, se considera que el portal web institucional sea operable a través del teclado u otro método, que proporcione tiempo suficiente a los usuarios para leer y utilizar el contenido, evitar que el diseño y contenido pueda causar algún tipo de reacción adversa, y que proporcione formas para ayudar en la navegación y búsqueda de contenido. - la información y el manejo de la interfaz de usuario deben ser comprensibles. para ello se considera que el portal web institucional tenga el texto legible y comprensible, además de poder usar diferentes idiomas, el contenido sea previsible (que al usar una función no se produzca un cambio sustancial en la página), y con entrada de datos asistidos donde se identifiquen errores en elementos de un formulario. - el contenido debe ser lo suficientemente robusto como para confiarse en su interpretación por parte de una amplia variedad de agentes de usuario, incluidas las tecnologías asistidas. (IV) la información debe ser interoperable con el sistema de información universitaria de SUNEDU.  la información publicada en el portal web institucional debe ser de fácil acceso y actualizada permanentemente.  al momento de la presentación de la sli, la información está actualizada y corresponde al último periodo académico previo a la presentación de la sli (en el caso de las universidades con licencia denegada), y es consistente con lo declarado por la universidad. asimismo, la universidad deberá mantener el portal actualizado con los cambios en los MV de los indicadores relacionados, que se den durante el proceso de licenciamiento.</t>
  </si>
  <si>
    <t>Garantizar la transparencia de la información relevante a fin de reducir la asimetría informativa y generar confianza en la comunidad universitaria</t>
  </si>
  <si>
    <t>El portal web institucional (I) contiene la información exigida en la ley universitaria y normativa aplicable de forma permanente y actualizada, (II) incorpora información en lengua originaria (en caso corresponda) (III) tiene opciones de acceso para personas con algún tipo de discapacidad, que pueda limitar su acceso a la información. (IV) debe ser interoperable con el sistema de información universitaria de SUNEDU.</t>
  </si>
  <si>
    <t>MV3</t>
  </si>
  <si>
    <t>Marco normativo de transparencia e información pública</t>
  </si>
  <si>
    <t>La universidad cuenta con un marco normativo que orienta y promueve la transparencia y acceso a la información pública con observancia de las normas de protección de datos personales y de la seguridad de la información. asimismo, cuenta con procesos y mecanismos para la gestión, presentación y publicación de la información.</t>
  </si>
  <si>
    <t>VI.1 Transparencia</t>
  </si>
  <si>
    <t>Transparencia</t>
  </si>
  <si>
    <t>VI: transparencia</t>
  </si>
  <si>
    <t>29_3</t>
  </si>
  <si>
    <t>MLUN</t>
  </si>
  <si>
    <t>Evidencias del cumplimiento de la normativa correspondiente al ejercicio de las funciones del área y de la selección del personal responsable de atender los requerimientos de información de carácter institucional. se complementará la evaluación con los medios de verificación del indicador 3 en lo que corresponda.</t>
  </si>
  <si>
    <t>MV2</t>
  </si>
  <si>
    <t>29_2</t>
  </si>
  <si>
    <t>Reglamento o instrumento normativo que regula la transparencia y acceso a la información pública, así como los procesos y mecanismos para la gestión, presentación y publicación de la misma, los cuales deben ser interoperables con el sistema de información universitaria de SUNEDU.</t>
  </si>
  <si>
    <t>MV1</t>
  </si>
  <si>
    <t>29_1</t>
  </si>
  <si>
    <t> el documento ha sido emitido y aprobado por la autoridad competente.  la política evidencia estar fundamentada en un estudio de diagnóstico, de modo que las actividades y metas planteadas son diseñadas acorde a la población estudiantil proyectada a la que se dirige. además, debe guardar correspondencia con el modelo educativo de la universidad y con el reglamento de bienestar universitario.  el presupuesto debe incluir las partidas específicas que corresponden a la implementación de bienestar universitario en la universidad, desagregado mensual por sede/filial (si corresponde) y servicios y/o programas de bienestar universitario, definidos en el mv1 del presente indicador.  de corresponder, se debe precisar cómo se realiza su implementación según sede y filial. para ello, se desarrolla: a) cómo es la coordinación/articulación entre sede y filiales/locales, con un proceso o flujo claramente definido; b) metas e indicadores diferencias por filial, de acuerdo con la realidad de cada cual.</t>
  </si>
  <si>
    <t>Garantizar la disponibilidad de servicios y programas de bienestar universitario a fin de que los estudiantes cuenten con condiciones para su desarrollo integral durante su proceso formativo universitario.</t>
  </si>
  <si>
    <t>Política(s) de bienestar con planificación para el desarrollo progresivo de cada servicio y programa, aprobado por autoridad competente. esta última puede ser comprendida en los medios de verificación del indicador 3 en lo que corresponda. el periodo de aplicación de la planificación es de un (1) año académico. contiene, como mínimo, los siguientes componentes: (I) objetivos generales y específicos, (II) descripción de actividades, indicadores y metas objetivas, (III) cronograma mensual. la temporalidad es consistente con los instrumentos de planificación institucional. (IV) presupuesto (v) fuentes de financiamiento, (VI) responsables de su implementación.</t>
  </si>
  <si>
    <t>Normativa de servicios de bienestar universitario</t>
  </si>
  <si>
    <t>La universidad cuenta con documentos normativos y de gestión de alcance institucional que organizan el desarrollo, acceso y la continuidad de los servicios y programas de bienestar universitario para todos sus estudiantes (de todos los niveles, programas académicos y locales). estos instrumentos están articulados entre sí y con su normativa interna.</t>
  </si>
  <si>
    <t>V.3 Bienestar universitario</t>
  </si>
  <si>
    <t>Bienestar universiria</t>
  </si>
  <si>
    <t>V: responsabilidad social universitaria y bienestar universitario</t>
  </si>
  <si>
    <t>V</t>
  </si>
  <si>
    <t>28_2</t>
  </si>
  <si>
    <t> el documento ha sido emitido y aprobado por la autoridad competente.  el(los) reglamento(s) deben establecer los objetivos de cada programa o servicio, criterios y procedimientos de acceso, y criterios y procedimientos de permanencia.  para los siguientes servicios y programas la universidad debe asegurar las siguientes condiciones: - programa de becas: deben cubrir parcial o totalmente los derechos de enseñanza y ser asignadas aplicando criterios y procedimientos de evaluación y otorgamiento. estos criterios y procedimientos se encuentran regulados. el rendimiento académico se puede entender desde una perspectiva de un proceso formativo integral; por lo que se puede incluir becas por rendimiento artístico destacado o por otro tipo de actividades que sean parte de cómo la universidad entiende el proceso formativo. - servicio de salud: debe garantizar los primeros auxilios y actividades preventivas y promocionales de la salud en cada local de la universidad y durante todo el horario de funcionamiento. el servicio debe ser brindado por un profesional licenciado y colegiado en ciencias de la salud. se regula que el uso y disposición de un espacio adecuado para realizar su labor y contar con el mismo horario de atención que el local de la universidad. se planifica que los implementos del servicio deben ser similares en los locales y proporcional al número de estudiantes que estima tener. - servicio psicopedagógico: debe ser brindado por un profesional licenciado y colegiado en psicología24 con disponibilidad diaria en cada local. se regula mecanismos para la nivelación de estudiantes a lo largo de su carrera. se establece disposiciones para que los recursos humanos y financieros guarden correspondencia con la población que planifica atender. - programa de prevención e intervención en casos de acoso sexual: incluye un protocolo de atención y sanción del acoso y hostigamiento sexual. el protocolo es consistente con los “lineamientos para la elaboración de productos normativos internos para la prevención e intervención en casos de hostigamiento sexual en la comunidad universitaria”, documento aprobado por resolución viceministerial nº 294-2019-MINEDU. - programa de alimentación saludable: debe ser brindado por un profesional licenciado en nutrición25. se establece disposiciones para que los recursos humanos y financieros guarden correspondencia con la población que planifica atender. - programa de inserción laboral y seguimiento al egresado: se regula el uso de una plataforma de bolsa de trabajo, la cual asegura ofertas de trabajo para los estudiantes de todos sus programas académicos, niveles de estudio, en todas las filiales y sede (si corresponde). asimismo, regula el órgano encargado, el cual desarrolla un plan y mecanismos de apoyo a la inserción laboral. - programas deportivos de formación-recreación: se regula el área encargada, así como los criterios y requisitos para seleccionar a los profesionales encargados de brindar los deportes. se norma sobre el uso de los espacios y el desarrollo de las prácticas. se establece cómo este tipo de programas forma parte de la formación integral de los estudiantes y es coherente con el modelo educativo. se encuentra articulada con política nacional del deporte26 - programa deportivo de alta competencia (prodac): se regula con no menos de tres (3) disciplinas deportivas, en sus distintas categorías. se regula su funcionamiento, que incluye becas, tutoría, derechos y deberes de los alumnos participantes en el prodac, entre otros, de acuerdo con la ley 30476, ley que regula los programas deportivos de alta competencia en las universidades. - programas de actividades artísticas y culturales: se regula el área encargada, así como los criterios y requisitos para seleccionar a los profesionales encargados de brindar los servicios artísticos y culturales. se norma sobre el uso de los espacios y el desarrollo de las prácticas. se establece cómo este tipo de programas forma parte de la formación integral de los estudiantes y es coherente con el modelo educativo. se articula con la política nacional de cultura al 203027 o norma que la sustituya. - programa de atención a la diversidad: debe contener, como mínimo, mecanismos y procedimientos para la difusión, programación y desarrollo de actividades y estrategias para atender temas de discapacidad y diversidad cultural. o para la atención de personas con discapacidad regula lo siguiente (acorde a la ley 29973, ley general de la persona con discapacidad28): a) de corresponder, la inclusión de asignaturas sobre accesibilidad y el principio de diseño universal en los campos del diseño y la construcción, las edificaciones, el transporte, las telecomunicaciones y las tecnologías de la información. además, incluyen asignaturas sobre discapacidad en los campos de la educación, el derecho, la medicina, la sicología, la administración, la arquitectura, la ingeniería, la economía, la contabilidad y el trabajo social29; b) el procedimiento de ajustes razonables para los procesos de evaluación y admisión de las personas con discapacidad, en el marco del 5% de vacantes ofrecidas para las mismas.30; c) los sistemas de información o de aprendizaje virtual cuentan con mecanismos de acceso que facilitan el uso de los servicios especializados para los distintos tipos de discapacidad31.; d) los espacios de la universidad se adecuan a las normas técnicas de accesibilidad para las personas con discapacidad32, de acuerdo a criterios de ajustes razonables o de diseño universal o se cuenta con un plan para la implementación progresiva de ello; e) las bibliotecas cuentan con instalaciones y materiales accesibles para la persona con discapacidad física, mental e intelectual, incluido el sistema braille y el libro hablado, así como con elementos técnicos que permitan el acceso de estas personas a la información general33. o para la atención a la diversidad cultural: regula mecanismos para la incorporación, permanencia y egreso oportuno de personas provenientes de distintos bagajes culturales; establece estrategias de reconocimiento positivo de la diversidad, así como para hacer frente a cualquier tipo de discriminación. - programa de acceso, permanencia y acompañamiento (servicio social). regula, de acuerdo con el modelo de universidad, los servicios de comedores universitarios, transporte universitario, vivienda universitaria, programas de ayuda o subvención de los estudiantes con asistencia social34. establece el área responsable de la gestión de los mismos.  el reglamento debe ser consistente con las leyes y marco normativo nacional vinculado a cada programa o servicio.</t>
  </si>
  <si>
    <t>Reglamento(s) o instrumento(s) normativo(s) afines que regule(n) objetivos, desarrollo y el acceso de los servicios y programas de bienestar universitario. puede ser incorporada en la normativa general de la universidad. la universidad garantiza el acceso a los siguientes programas y servicios de bienestar: 1. programa de becas por situación económica, rendimiento académico y rendimiento deportivo 2. servicio de salud 3. servicio psicopedagógico 4. programa de prevención e intervención en casos de acoso sexual 5. programa de alimentación saludable 6. programa de inserción laboral y seguimiento al egresado. 7. programa deportivo de formación-recreación 8. programa deportivo de alta competencia (prodac) 9. programa de actividades artísticas y culturales. 10. programa de atención a la diversidad. 11. programa de acceso, permanencia y acompañamiento (servicio social).</t>
  </si>
  <si>
    <t>28_1</t>
  </si>
  <si>
    <t> el documento que sustente el presupuesto destinado debe estar emitido y firmado por la autoridad competente.  incluye las partidas presupuestales que corresponden a la implementación y mantenimiento de RSU en la universidad, con detalle por sede / filial si corresponde, descripción de las áreas responsables de dichas partidas y detalle de los montos asignados por cada partida.  no debe considerar el gasto correspondiente al personal del área.  esta información debe guardar correspondencia con el plan de desarrollo de la RSU, pei institucional y poi anual, presupuesto institucional y formato de licenciamiento 01.</t>
  </si>
  <si>
    <t>Garantizar que se formen profesionales de alta calidad de manera integral y con pleno sentido de responsabilidad social de acuerdo con las necesidades del país.</t>
  </si>
  <si>
    <t>En el caso de universidades públicas se garantiza que se destina el 2% del presupuesto institucional anual, a la responsabilidad social universitaria; y en el caso de las universidades privadas se garantiza que se destina a esta materia el 2% de los ingresos.</t>
  </si>
  <si>
    <t>MV5</t>
  </si>
  <si>
    <t>Normativa institucional de RSU</t>
  </si>
  <si>
    <t>La universidad cuenta con documentos normativos y de gestión de alcance institucional que definen, orientan y promueven el desarrollo de la RSU. estos documentos están articulados entre sí, con la normativa nacional vigente y con el modelo educativo de la universidad.</t>
  </si>
  <si>
    <t>V.2 Desarrollo de la responsabilidad social universitaria (RSU)</t>
  </si>
  <si>
    <t>27_5</t>
  </si>
  <si>
    <t> el marco normativo es de alcance institucional y debe estar emitido y aprobado por autoridad competente. debe contener como mínimo: (I) definición del tipo de servicio social que ofrece la universidad: I) enfocado en promover la accesibilidad y adaptabilidad al servicio educativo y al bienestar social de los estudiantes; y/o, II) centrado en la acción solidaria de diseños e implementados desde un enfoque de gestión ética de los impactos; (II) la caracterización de la población que planea atender; (III) estrategias para el diseño e implementación del servicio social; (IV) mecanismos para la evaluación del impacto esperado y resultados obtenidos; (v) definir la forma de financiamiento del servicio social; (VI) de ser el caso, contar con procesos de evaluación para el otorgamiento de los beneficios y criterios de evaluación; (VII) impacto que se espera alcanzar; y, (VIII) regulación de los mecanismos, procedimientos y criterios descritos en el reglamento.  el marco normativo debe guardar correspondencia con los demás documentos institucionales.</t>
  </si>
  <si>
    <t>Marco normativo para el servicio social universitario, parte integrante de la RSU, con normas claras de cómo los alumnos acceden a los procesos de evaluación y otorgamiento.</t>
  </si>
  <si>
    <t>MV4</t>
  </si>
  <si>
    <t>27_4</t>
  </si>
  <si>
    <t> el marco normativo es de alcance institucional y debe estar emitido y probado por autoridad competente. debe contener como mínimo: (I) proyectos o áreas de RSU a desarrollar (II) mecanismos de incentivo para el desarrollo la RSU (III) procedimientos de monitoreo de la implementación de la RSU (IV) beneficiarios (v) participantes de la comunidad universitaria (VI) estrategias para fomentar la participación (VII) impacto que se espera alcanzar  el marco normativo debe guardar correspondencia con el plan de desarrollo de la RSU, el pei institucional, poi anual, presupuesto institucional y demás documentos institucionales.</t>
  </si>
  <si>
    <t>Marco normativo para la RSU (ejecución, reconocimiento, monitoreo, beneficiarios, impacto, etc.).</t>
  </si>
  <si>
    <t>27_3</t>
  </si>
  <si>
    <t> debe estar emitido y aprobado por la autoridad competente.  el plan incluye actividades académicas, de investigación y de proyección social por parte de toda la comunidad educativa como contribución con la comunidad y entorno en el que se ubica la universidad. debe abarcar un plazo mínimo de tres (3) años.  debe contar como mínimo con: (I) objetivo (II) resultados, estrategias, metas e indicadores (que permitan hacer evaluación y seguimiento) (III) responsables de la ejecución del plan (IV) cronograma con detalle mensual (v) fuentes de financiamiento (VI) presupuesto que se asignará, con sustento sobre la proyección realizada. (VII) se debe precisar cómo se realiza su implementación, en caso corresponda, según sede y filial. para ello, se desarrolla: a) cómo es la coordinación/articulación entre sede y filiales/locales, con un proceso o flujo claramente definido; b) metas e indicadores diferencias por filial, de acuerdo con la realidad de cada cual.</t>
  </si>
  <si>
    <t>Plan de desarrollo de RSU con fuentes de financiamiento, responsables de ejecución, metas y plazos.</t>
  </si>
  <si>
    <t>27_2</t>
  </si>
  <si>
    <t> la política contiene la manera en la que la universidad comprende la responsabilidad social universitaria y su aproximación institucional respecto al impacto que pretende generar en la sociedad y en el medio ambiente a través de sus funciones académicas, de investigación y de servicios de extensión, participación y proyección social.  debe haber consistencia o alineación a dos niveles: - primero, la política general de RSU está alineada con lo planteado, sobre esta materia, en el modelo educativo, la ley universitaria (artículo 124) y las políticas nacionales de educación ambiental. - segundo, la política está alineada con los reglamentos e instrumentos de gestión específicos para el desarrollo de la RSU.</t>
  </si>
  <si>
    <t>Documento aprobado por la autoridad competente que defina la política general de RSU, enmarcada en la ley universitaria y el modelo educativo de la universidad.</t>
  </si>
  <si>
    <t>27_1</t>
  </si>
  <si>
    <t> los MV deben estar emitidos y aprobados por autoridad competente.  el organigrama específico de la instancia/órgano/unidad debe sintetizar gráficamente y definida su estructura organizacional interna. para ello, se presenta las diferentes unidades y puestos que la componen; así como sus relaciones jerárquicas y conexiones.  los MV deben demostrar: - la articulación de la instancia a cargo del desarrollo de la RSU y bienestar universitario dentro de la estructura orgánica institucional (organigrama institucional) y la estructura orgánica interna este(os) órganos (organigrama específico del órgano) - las funciones específicas del órgano a cargo de la RSU y bienestar universitario. - los perfiles de todos los puestos para el funcionamiento del órgano.  en el caso la universidad tenga filial(es), los documentos demuestran cómo se articula, organiza o coordina el funcionamiento del órgano de RSU en las sedes y filiales.  todos estos documentos consignados en el indicador 3 deben ser consistentes entre sí.  el currículo vitae documentado debe sustentar que la persona a cargo de la instancia cumple con el perfil del puesto.  el contrato laboral (o documento afín) debe sustentar el vínculo laboral de la persona a cargo por, al menos, un semestre académico.  si es necesario, la universidad debe presentar el mof o documento afín específico del órgano a cargo de RSU con el fin de sustentar el cumplimiento de los puntos descritos en el punto 3.</t>
  </si>
  <si>
    <t>Garantizar que la RSU y el bienestar universitario cuenten con una estructura orgánica que asegure su implementación y sostenibilidad a nivel institucional.</t>
  </si>
  <si>
    <t>Este indicador se evaluará con los medios de verificación solicitados en el indicador 3 respecto al personal a cargo del órgano.</t>
  </si>
  <si>
    <t>Órgano de RSU y bienestar universitario</t>
  </si>
  <si>
    <t>La universidad cuenta con un órgano responsable de la gestión de la responsabilidad social universitaria y del bienestar universitario a nivel institucional, y con personal a cargo que cumple con los requisitos establecidos en su normativa interna.</t>
  </si>
  <si>
    <t>V.1 Estructura orgánica para responsabilidad social universitaria y para bienestar universitario</t>
  </si>
  <si>
    <t>26_1</t>
  </si>
  <si>
    <t> el plan debe estar aprobado por la autoridad competente.  el plan debe sustentar la estrategia de la universidad para incorporar docentes con calificación RENACYT y tener como fin el demostrar cómo la universidad fortalecerá progresivamente ese cuerpo de docentes investigadores.  el plan debe estar alineado con el plan de desarrollo de la investigación y con la normativa interna sobre investigación.  el plan debe estar alineado con los documentos institucionales, tales como el modelo educativo de la universidad, pei, poi anual, poi multianual, y presupuesto, según corresponda.  respecto a los componentes del plan: - las metas y resultados son medibles - el cronograma específico es tanto por semestre y por año de los procesos de selección y contratación de docentes investigadores, - presupuesto total y desagregado de la plana de docentes investigadores, detallado por línea o grupo de investigación y local (especificando la cantidad de docentes, remuneración por hora, etc.), de acuerdo con el tipo de gestión de la institución. en el caso de las universidades públicas, se deberá tomar en cuenta la normativa vigente en el marco de la implementación progresiva del artículo 86 de la ley universitaria, previa coordinación con el MINEDU. - número de docentes investigadores por categoría, grado académico y, si corresponde por sede y filial, que se incorporará  se detalla los supuestos y sustentos respectivos para las proyecciones</t>
  </si>
  <si>
    <t>Garantizar que la generación de conocimiento e innovación, a través de la investigación, se realice por docentes calificados</t>
  </si>
  <si>
    <t>Plan progresivo de incorporación de docentes investigadores con calificación RENACYT que tiene como mínimo un periodo de implementación de tres (3) años. este plan debe contar como mínimo con: (I) objetivos, (II) metas y resultados que se quieran alcanzar (II) cronograma específico, (II) presupuesto total y desagregado, (III) número de docentes a incorporar según nivel y categoría RENACYT, y (IV) responsables de la ejecución del plan. de corresponder, se debe especificar la implementación a nivel de sede y filial.</t>
  </si>
  <si>
    <t>Docentes investigadores con categoría RENACYT (≥5%)</t>
  </si>
  <si>
    <t>La universidad cuenta con un cuerpo de docentes calificados y con experiencia para el desarrollo de la investigación, con categoría RENACYT, y son quienes lideran las líneas y grupos de investigación de la universidad. estos representan al menos el 5% del total de docentes. esto fortalecido de forma institucional a través de la implementación de instrumentos normativos y de gestión. en caso la universidad tenga más de una sede o filial, el indicador aplica a cada una de estas.</t>
  </si>
  <si>
    <t>IV.3 Docentes investigadores</t>
  </si>
  <si>
    <t>Investigacion</t>
  </si>
  <si>
    <t>IV: propuesta en investigación</t>
  </si>
  <si>
    <t>25_4</t>
  </si>
  <si>
    <t> se debe presentar el currículum vitae documentado de todos los docentes con calificación RENACYT y los docentes que tienen actividades de investigación (sin calificación RENACYT). este MV debe sustentar, en correspondencia con el formato de licenciamiento 06, la calificación y experiencia en investigación de los docentes que tienen actividades de investigación (sin calificación RENACYT).  se debe presentar el contrato laboral o documento afín de los docentes con calificación RENACYT, y de los docentes que tienen actividades de investigación y no son RENACYT. los contratos deben tener una duración mínima de un semestre académico completo y deben guardar correspondencia con el formato de licenciamiento 06.  la evidencia debe sustentar la aplicación de los criterios y procedimientos especificados en el mv2, según lo establecido.  se debe presentar los resultados del proceso de selección aprobado por la autoridad competente. se presentan los instrumentos de evaluación aplicados u otra información relevante del proceso.  en caso corresponda, la evidencia debe indicar sede y filial donde se llevaron a cabo los procesos.  los resultados del proceso de selección docente deben guardar correspondencia con los docentes declarados en el formato de licenciamiento 06. para el caso de universidades públicas, debe guardar también correspondencia con la información del airhsp y con la normativa vigente dispuesta por el MINEDU en el marco de la implementación progresiva del artículo 86 de la ley universitaria.</t>
  </si>
  <si>
    <t>Documentos que evidencien la implementación del proceso de selección de docentes investigadores, debiendo incluir el curriculum vitae. en caso corresponda, la evidencia debe especificar sede y filial.</t>
  </si>
  <si>
    <t>25_3</t>
  </si>
  <si>
    <t> el marco normativo debe estar aprobado por autoridad competente y ser de alcance institucional. asimismo, deberán contener, como mínimo: - descripción de cada uno de los procesos de selección y evaluación de los docentes investigadores especificando, en caso corresponda, la categoría del docente investigador (diferenciar entre los que realizan actividades y aquellos que se encuentran en formación). los procesos deben ser consistentes con los presentados en el componente 3.5. docentes. - la especificación de los criterios de evaluación de desempeño y la calificación para cada proceso. - especificación de los criterios y causales para la separación del docente investigador. - anexo de los instrumentos de evaluación para cada uno de los procesos, los cuales deben ser coherentes con los procesos a los que correspondan.  debe contener la instancia o perfil de personas a cargo de los procesos que regula.  todos los procedimientos deben estar definidos y delimitados.  de ser el caso, se debe diferenciar criterios y procedimientos para docentes que realizan actividades de investigación (con y sin categoría RENACYT) y aquellos que se encuentran en formación (que no son RENACYT).  los incentivos deben verse reflejados en su presupuesto.</t>
  </si>
  <si>
    <t>Marco normativo de incorpore los procesos de selección, evaluación de desempeño, reconocimientos, incentivos y promoción de los docentes investigadores. se orienta a promover que los investigadores sean gestores del conocimiento, cuenten con publicaciones, y que participen en fondos concursables y pasantías de investigación.</t>
  </si>
  <si>
    <t>25_2</t>
  </si>
  <si>
    <t> el formato de licenciamiento 06 debe estar firmado por el representante legal de la universidad.  el formato de licenciamiento debe indicar quiénes son los docentes de la universidad con calificación RENACYT, cuál es su clasificación RENACYT (grupo y nivel), y el número de horas dedicadas a la investigación en la universidad.  el formato de licenciamiento también debe indicar si la universidad cuenta con otros docentes que realizan actividades vinculadas a la investigación, quiénes son y el número de horas dedicadas a actividades de investigación. estos docentes son aquellos que no tienen calificación, clasificación y registro RENACYT, pero realizan, en la universidad, actividades que contribuyen al desarrollo de la investigación y a su formación en este campo, tales como participación en proyectos de investigación, participación en grupos de investigación, participación en la elaboración de publicaciones, entre otros.  se debe verificar, en el documento de líneas y grupos de investigación, el nombre de los líderes de cada línea y grupo de investigación que propone la universidad, los cuales deben estar registrados en el formato de licenciamiento 06. todos estos deben ser docentes con calificación RENACYT que cumplan con todos los criterios establecidos a continuación. sobre los criterios de consideración en el cálculo de 5% de docentes RENACYT:  para que un docente sea considerado en el cálculo del 5% de docentes con calificación RENACYT debe cumplir todos los siguientes criterios: (I) tener calificación, clasificación y registro en el registro nacional científico, tecnológico y de innovación tecnológica del CONCYTEC; y pertenecer a los niveles I o II del grupo maría rostworowski; o I, II, III o IV del grupo carlos monge medrano (o a la clasificación que la sustituya). si el registro RENACYT no está actualizado al momento de la presentación de la solicitud, se tomará en cuenta la información provista en el formato de licenciamiento 06 sobre la clasificación de los docentes RENACYT, de acuerdo con los criterios establecidos en la resolución de presidencia n° 215-2018-CONCYTEC-p y otras normativas vigentes vinculadas. (II) tener asignado con la universidad, como mínimo, 10 (diez) o más horas lectivas o no lectivas. (III) dedicar al menos el 20% de sus horas asignadas al desarrollo de investigación23, cualquiera sea su categoría docente. el líder de las líneas de investigación debe dedicar al menos el 50% de sus horas asignadas al desarrollo de investigación, cualquier sea su categoría docente. (IV) entre otros criterios que establezca su normativa interna.  el porcentaje de docentes con clasificación RENACYT en la universidad se calcula como la ratio entre (I) los docentes investigadores registrados en RENACYT que cumplen todas las consideraciones descritas en el punto anterior y (II) el total de docentes declarados en el formato de licenciamiento 06 cuya dedicación horaria es de diez (10) o más horas. este ratio se multiplica por 100 para hallar el porcentaje correspondiente.  en caso la universidad tenga filial(es), el indicador debe cumplirse en cada una de estas.</t>
  </si>
  <si>
    <t>Se evaluará con el mv1 del indicador 19 (formato de licenciamiento 06) que lista los docentes investigadores con categoría RENACYT por programa, sede y filial. se evidencia que representan como mínimo, el 5% del total de docentes de la universidad. de ser el caso, el 5% aplica por sede o por filial.</t>
  </si>
  <si>
    <t>25_1</t>
  </si>
  <si>
    <t> el documento debe estar emitido y aprobado por la autoridad competente.  las líneas y grupos de investigación deben ser lideradas por docentes con calificación RENACYT.  los grupos de investigación deben tener como uno de sus objetivos contar con la participación de investigadores en formación y estudiantes.  las líneas y grupos de investigación definidos deben guardar correspondencia con los documentos institucionales referidos a investigación, la planificación presentada y los recursos con los que dispone para su implementación.  para evidenciarse la aplicación de la guía práctica para la identificación, categorización, priorización y evaluación de líneas de investigación, se presenta la ficha de identificación del área y líneas de investigación, del apartado 6.1 de dicha guía. o el del documento que haga de sus veces.</t>
  </si>
  <si>
    <t>Garantizar que las universidades realicen y promuevan la investigación científica, tecnológica y humanista.</t>
  </si>
  <si>
    <t>Documento de líneas de investigación y grupos de investigación que se proponen desarrollar, evidenciando que estas cuentan co n líderes RENACYT. como mínimo, debe haber líneas de investigación para cada campo específico (según el clasificador de carreras de inei) en el que se ubiquen los programas académicos de la universidad. incluye: (I) listado y definición de las líneas de investigación y grupos de investigación que se proponen desarrollar, en base a la disponibilidad de investigadores, equipamiento e infraestructura de investigación y pertinencia (II) objetivos y justificación de cada línea de investigación, (III) nombres de los líderes de las líneas y de los grupos de investigación, (IV) sustentación de la articulación de las líneas y grupos de investigación con los programas académicos de la universidad, (v) de corresponder, sede o filial donde se desarrollan cada línea y grupo de investigación debe evidenciarse el proceso de identificación, priorización y aprobación de las líneas de investigación, de acuerdo con la guía práctica para la identificación, categorización, priorización y evaluación de líneas de investigación-resolución de presidencia n°115-2019-CONCYTEC-p.</t>
  </si>
  <si>
    <t>Normativa de investigación con calidad e integridad</t>
  </si>
  <si>
    <t>La universidad cuenta con documentos normativos que definen, orientan y promueven el desarrollo de la investigación bajo principios de calidad e integridad científica. asimismo, cuenta con instrumentos de gestión que permiten hacer seguimiento a los resultados y también a la disponibilidad de los recursos necesarios para tal fin. estos documentos están articulados entre sí, con la normativa nacional vigente y la institucional, con el modelo educativo de la universidad y con la normativa del CONCYTEC.</t>
  </si>
  <si>
    <t>IV.2 Desarrollo de la investigación</t>
  </si>
  <si>
    <t>24_4</t>
  </si>
  <si>
    <t> el plan debe estar emitido y aprobado por autoridad competente.  el plan de desarrollo de la investigación debe: - ser pertinente al enfoque que quiere desarrollar la universidad en investigación y al modelo de universidad a la que aspira. por tanto, el plan debe estar alineado con los documentos normativos (política de investigación) y de gestión de la investigación (documento de líneas y grupos de investigación), y con documentos y normativa institucional como el modelo educativo y los objetivos institucionales de la universidad. - tener como parte de sus estrategias centrales el desarrollo permanente y progresivo de sus líneas y grupos de investigación, y de los docentes investigadores que las lideran en caso la universidad entre en funcionamiento. además, estrategias de alianzas y relacionamiento con entidades externas, nacionales o internacionales, de acuerdo al enfoque y modelo educativo. - sustentar, de forma consistente, que la universidad contará con los recursos materiales, económicos y de infraestructura que serán necesarios, así como responsables para su implementación. para esto, el plan debe estar alineado con documentos de gestión institucional (pei, poi, y presupuesto) y con los MV referidos a los laboratorios y equipamiento, docentes y presupuesto con el que cuenta o plantea contar. - especificar las estrategias a través de las cuáles se desarrollará la responsabilidad social universitaria a través de la investigación.</t>
  </si>
  <si>
    <t>Documento que detalle la planificación para el desarrollo de la investigación. contiene como mínimo: (I) objetivos generales y específicos (II) metas, actividades, e indicadores. (III) cronograma detallado de ejecución mensual, por el periodo de un año. (IV) responsables de ejecución para el logro de objetivos. (v) presupuesto (VI) descripción de las fuentes de financiamiento (indicado si son internas o externas) (VII) descripción detallada de los niveles implementación del plan (investigación centralizada o por programa), incluyendo sedes y filiales, si corresponde.</t>
  </si>
  <si>
    <t>24_3</t>
  </si>
  <si>
    <t> el reglamento(s) o instrumentos normativos deben estar emitidos y aprobados por autoridad competente y ser de alcance institucional.  todos los procedimientos deben estar definidos y delimitados.  se deben establecer las diferencias de estos procedimientos, en los casos que corresponda, según niveles de enseñanza y actores involucrados (por ejemplo, estudiantes, docentes investigadores RENACYT, docentes que realizan actividades de investigación y no son RENACYT, entre otros).  deben identificarse los instrumentos que se utilizarán para el desarrollo de los procedimientos definidos, demostrando su coherencia con los mismos.  el reglamento (s) o instrumentos normativos que regulen la integridad científica deben alinearse al código nacional de la integridad científica o normativa vigente vinculada y contener, como mínimo: - políticas, lineamientos y medidas de resguardo de la integridad de personas, animales, plantas, medio ambiente o información involucrados en la investigación, según corresponda; - una guía de buenas prácticas en la actividad científica - medidas para asegurar su observancia (por ejemplo, conformación de comités de ética); - definición de faltas y actos considerados como mala conducta científica; - consecuencias (sanciones) y procedimientos claros y específicos que se sigue ante conductas que atenten contra la integridad científica, siendo consistentes con la gravedad de la falta cometida; - instancia a cargo de la implementación de este reglamento (comité de ética en la investigación); procedimientos para su conformación; perfiles, requisitos y funciones de los integrantes; y periodo de sesión y de designación. el comité debe estar conformado por especialistas en investigación.  el reglamento (s) o instrumento normativo que regule la propiedad intelectual debe alinearse al código nacional de la integridad científica (o el que lo sustituya) y contener, como mínimo: - regulación de la protección de la propiedad intelectual, mecanismos de control y sanciones anti-plagio; definiendo cuando se estaría incurriendo en un caso de plagio, de acuerdo con la normativa vigente. - regulación para el registro de derechos de autor, patentes y marcas de los proyectos de investigación de la universidad; - mecanismos y procedimientos tanto de prevención como de sanción frente al incumplimiento de la normativa; - mecanismos y procedimientos específicos para detectar plagio, incluyendo el proceso de revisión; - instancia encargada de su cumplimiento, procedimientos para conformación de esta instancia, perfiles, requisitos, funciones y periodos de sesión y de designación.  la regulación de la universidad referida a la propiedad intelectual e integridad científica debe establecer el proceso de revisión para los proyectos de investigación que desarrollan docentes y estudiantes en cada una de las etapas que defina. asimismo, debe responder a la naturaleza del tipo de investigación que realiza la universidad y su oferta educativa (programas académicos). debe remitir evidencias de su cumplimiento y estrategias para su sostenibilidad en el tiempo.  el reglamento (s) que regulan los procedimientos para la realización y fomento de la investigación deben considerar para cada uno de sus procesos y contener, como mínimo: - las bases que desarrollen los mecanismos con procedimientos definidos para la postulación al desarrollo de proyectos de investigación; - definición de los fondos de investigación con los que dispone, para docentes y estudiantes, así como los procedimientos para su adjudicación y mecanismos de monitoreo que aseguren su debido uso; - desarrollar los mecanismos de monitoreo y evaluación que aplicará la universidad para los proyectos de investigación, haciendo seguimiento de su ejecución y siendo consistente con su normativa referente a integridad científica y propiedad intelectual; - tipificar faltas y sanciones en caso de incumplimiento a su normativa, cronograma y/o bases en cada etapa del desarrollo de la investigación; - procedimientos para el fomento de sus productos de investigación, considerando el apoyo institucional y los procedimientos definidos para la publicación y difusión de su investigación; - la definición de los procesos de selección, criterios de evaluación de desempeño, así como los actores que lo realizan. además, debe disponer de procesos definidos e imparciales para el reconocimiento, incentivos y promoción de los docentes investigadores.  los instrumentos normativos que regulen, a nivel institucional, los procedimientos para la realización y fomento de la investigación deben ser coherentes y consistentes entre sí, estando debidamente articulados con la normativa institucional.</t>
  </si>
  <si>
    <t>Reglamento(s) o instrumentos normativos afines que regulen, a nivel institucional, los procedimientos para la realización y fomento de la investigación, el rol del docente investigador, así como la integridad científica y los derechos de propiedad intelectual. como mínimo: (I) postulación para el desarrollo de proyectos de investigación. (II) adjudicación y monitoreo de fondos de investigación. (III) monitoreo y evaluación de proyectos de investigación (incluyendo según resultados). (IV) procedimientos para publicaciones y difusión de la investigación. (v) procesos de selección, evaluación de desempeño, reconocimientos, incentivos y promoción de los docentes investigadores.</t>
  </si>
  <si>
    <t>24_2</t>
  </si>
  <si>
    <t> la política general de investigación debe estar emitida y aprobada por la autoridad competente. establece los objetivos prioritarios para orientar los instrumentos de planificación que permitan su implementación.  debe haber consistencia o alineación a tres niveles: - con la política nacional para el desarrollo de la ciencia, tecnología e innovación tecnológica – cti de CONCYTEC, siendo consistente con sus principios, objetivos estratégicos y lineamientos; así como políticas nacionales, sectoriales y regionales. - con lo planteado, sobre esta materia, en los objetivos institucionales, modelo educativo y propuesta curricular. - con los reglamentos (por ejemplo, reglamentos de integridad científica, propiedad intelectual, realización y fomento de la investigación) e instrumentos de gestión que operacionalizan el desarrollo de la investigación (por ejemplo, plan de desarrollo de la investigación).</t>
  </si>
  <si>
    <t>Política general de investigación de alcance institucional. esta debe incluir, como mínimo: (I) definición, enfoque y tipo de investigación que propone desarrollar. (II) objetivos generales para el desarrollo de la investigación. (III) definición del perfil de sus docentes investigadores. (IV) actores de la comunidad involucrados en investigación. (v) fondos y estrategias para el apoyo a los investigadores, participación en eventos y congresos de investigación, pasantías de investigación, iniciación científica, fomento de publicaciones, profesores visitantes, becas de posgrado, apoyo a tesis de investigación, entre otros, de acuerdo al enfoque de investigación de la universidad.</t>
  </si>
  <si>
    <t>24_1</t>
  </si>
  <si>
    <t> los MV presentados deben estar emitidos y aprobados por la autoridad competente.  el organigrama específico del órgano de investigación debe sintetizar gráficamente su estructura organizacional interna. esto implica que se presenta las diferentes unidades y puestos que la componen, así como sus relaciones jerárquicas y conexiones.  debe demostrarse la articulación del órgano a cargo del desarrollo de la investigación dentro de la estructura orgánica institucional, de acuerdo con la normativa o instrumento de gestión. en estos, deben precisar las funciones específicas del órgano a cargo del desarrollo de la investigación, así como los perfiles de todos los puestos para el funcionamiento del órgano.  en caso de las universidades públicas, este órgano es el vicerrectorado de investigación con las funciones establecidas en la ley universitaria.  en el caso la universidad tenga filial(es), los documentos evidencian la articulación, organización y/o coordinación para el funcionamiento del órgano de investigación en la sede y/o filiales.  los MV presentados deben demostrar la articulación y vinculación del comité de ética (o de integridad científica) y de propiedad intelectual con el órgano a cargo del desarrollo de la investigación.  el listado del personal incluye el nombre completo y cargos de todo el personal responsable de la gestión de la investigación y de la implementación de las políticas y planes para el desarrollo de esta actividad. asimismo, los currículum vitae (documentado) sustentan que todo el personal cumple con los requisitos y el perfil del puesto, según lo establecido en los instrumentos de gestión y normativa interna de la universidad, así como en la ley universitaria.  el personal responsable de las instancias del órgano de investigación (por ejemplo, órganos de línea, unidades, etc.) deben tener experiencia en investigación o gestión de la investigación. debe además evidenciarse que cuentan con disponibilidad de tiempo para el ejercicio de sus funciones.  para universidades públicas y privadas, la persona a cargo del órgano de investigación (por ejemplo, vicerrector de investigación) debe tener grado de doctor.  el contrato laboral (o documento afín) de la persona a cargo de la gestión del órgano de investigación debe sustentar el vínculo laboral por, al menos, un semestre académico completo.</t>
  </si>
  <si>
    <t>Garantizar que los docentes investigadores cuenten con una estructura orgánica que brinde soporte adecuado al desarrollo de la investigación.</t>
  </si>
  <si>
    <t>Listado y currículo vitae documentado de todo el personal responsable de la gestión del órgano de investigación, del diseño y ejecución de la política general de investigación, y del plan de desarrollo de la investigación. para la evaluación del cumplimiento de este indicador, se utilizarán también los medios de verificación solicitados en el indicador 3 en lo que corresponda.</t>
  </si>
  <si>
    <t>Órgano de investigación con responsable doctor</t>
  </si>
  <si>
    <t>La universidad cuenta con un órgano responsable de la gestión de la investigación articulado en su estructura orgánica institucional. además, la persona a cargo de la gestión del órgano tiene grado de doctor; mientras que el resto del personal responsable cumple con los requisitos establecidos en la ley universitaria y en su normativa interna. tanto la estructura como el número de personal es pertinente con la política de investigación, así como con el número de docentes investigadores.</t>
  </si>
  <si>
    <t>IV.1 Estructura orgánica de gestión de la investigación</t>
  </si>
  <si>
    <t>23_1</t>
  </si>
  <si>
    <t> la evidencia debe sustentar la aplicación de los criterios especificados en el mv2 para el proceso de selección del personal no docente, según lo establecido en el reglamento de la universidad.  los resultados del proceso deben estar aprobados por autoridad competente y guardar correspondencia con el formato de licenciamiento 07.  en el caso de las universidades públicas, los resultados deben guardar también correspondencia con la información del airhsp.  en caso corresponda, la evidencia debe indicar sede y filial donde se llevaron a cabo los procesos.</t>
  </si>
  <si>
    <t>Garantizar que los programas académicos propuestos, para iniciar actividades académicas, cuenten con personal no docente que den soporte administrativo para el desarrollo de su propuesta curricular.</t>
  </si>
  <si>
    <t>Documentos que evidencien que se ha cumplido con el proceso de selección y con la normativa correspondiente para la selección del personal no docente.</t>
  </si>
  <si>
    <t>Evaluación y desarrollo de personal no docente</t>
  </si>
  <si>
    <t>La universidad cuenta regula e implementa procesos de evaluación y fortalecimiento para el personal no docente, con selección, reconocimiento y promoción; lo que incluye un plan de desarrollo profesional.</t>
  </si>
  <si>
    <t>III.6 Personal no docente</t>
  </si>
  <si>
    <t>Propuesta academica</t>
  </si>
  <si>
    <t>III: la oferta académica, recursos educativos y docencia</t>
  </si>
  <si>
    <t>22_3</t>
  </si>
  <si>
    <t> el reglamento o documentos normativos deben ser de carácter institucional y deben estar aprobados por autoridad competente, además de ser concordantes con la normativa institucional.  debe incluir la descripción de procedimientos y criterios de evaluación para la selección, evaluación de desempeño, y promoción del personal no docente.  en el caso de las universidades públicas, dichos documentos deberán cumplir con las disposiciones de servir.</t>
  </si>
  <si>
    <t>Marco normativo de procesos de selección, evaluación de desempeño, reconocimientos y promoción del personal no docente, de acuerdo a su tipo de gestión.</t>
  </si>
  <si>
    <t>22_2</t>
  </si>
  <si>
    <t> el plan debe estar aprobado por autoridad competente.  debe contener como mínimo: (I) diagnóstico, (II) los objetivos de las capacitaciones, (III) actividades a desarrollar, (IV) cronograma, (v) presupuesto, (VI) metas proyectadas y/o población beneficiaria y (VII) responsables de su ejecución. debe incluir acciones de seguimiento y evaluación del cumplimiento de las actividades.  el plan debe considerar como mínimo el periodo de un año.  en caso corresponda, se debe precisar cómo se garantiza su implementación a nivel de sede y filial.</t>
  </si>
  <si>
    <t>Plan de capacitación y desarrollo profesional para el personal no docente de acuerdo a sus funciones.</t>
  </si>
  <si>
    <t>22_1</t>
  </si>
  <si>
    <t> el documento es de carácter institucional, se encuentra vigente y está aprobado por autoridad competente.  el documento debe delimitar todas las funciones y perfiles de puestos del personal no docente de la universidad que da soporte a los programas académicos.</t>
  </si>
  <si>
    <t>Mof o documento afín donde se indique el perfil del puesto del personal no docente que da soporte a los programas académicos. de haberlo presentado como MV en el indicador 3 se utilizarán dichos medios para la evaluación.</t>
  </si>
  <si>
    <t>Personal no docente calificado de soporte</t>
  </si>
  <si>
    <t>La universidad cuenta con personal no docente calificado y a cargo de dar soporte para el inicio de las actividades académicas de todos los programas.</t>
  </si>
  <si>
    <t>21_3</t>
  </si>
  <si>
    <t> el formato debe estar firmado por el representante de la universidad.  la información de los cv debe guardar concordancia con los perfiles y puestos establecidos en los documentos institucionales como el rof, mof o documento afín presentado por la universidad, de acuerdo con el tipo de gestión.  mínimamente, se presenta información sobre el personal no docente responsable vinculado a las áreas que permitan el cumplimiento de las CBC y de las unidades encargadas de dar soporte a los programas académicos.</t>
  </si>
  <si>
    <t>Curriculum vitae documentado del personal no docente a cargo de dar soporte a los programas académicos.</t>
  </si>
  <si>
    <t>21_2</t>
  </si>
  <si>
    <t>Formato de licenciamiento 07 que contiene la lista de personal no docente (evidenciándose que se cubre para las actividades de todos los programas) y, si corresponde, por sede y filial. el formato debe estar firmado por el representante de la universidad.</t>
  </si>
  <si>
    <t>21_1</t>
  </si>
  <si>
    <t>Sobre el mv1:  el reglamento o documentos normativos deben ser de carácter institucional y deben estar aprobados por autoridad competente.  debe incluir, como mínimo, la siguiente información: - descripción de cada uno de los procesos de contratación, ingreso y evaluación de la carrera docente que desarrolla la universidad, especificando diferencias, en caso corresponda, según la categoría del docente. estos procesos son: ingreso, nombramiento, promoción y ratificación (en el caso de los docentes nombrados); contratación y renovación (en el caso de los docentes contratados). - especificación de criterios de evaluación (formación académica, desarrollo de investigación, resultados de encuestas, entre otros) y calificación para cada uno de estos procesos. - especificación de criterios de separación de la carrera docente. - instancia y perfil de personas a cargo de estos procesos. - anexos con los instrumentos de evaluación de cada proceso (por ejemplo, fichas de evaluación)  la evaluación de desempeño debe incluir la calificación de los estudiantes y evaluación de pares o encargados de la gestión docente (de acuerdo con la organización académica de cada institución).  en caso se utilice el mecanismo de invitación, se norma el procedimiento de forma que se garantice la transparencia y pertinencia con el perfil que se requiere para los programas. sobre el mv2:  la evidencia debe sustentar la aplicación de los criterios especificados en el mv1 para el proceso de selección docente, según lo establecido en el reglamento de la universidad.  se debe presentar los resultados del proceso de selección docente aprobado por autoridad competente. además, se presenta los instrumentos de evaluación aplicados.  en caso corresponda, la evidencia debe indicar sede y filial donde se llevaron a cabo los procesos.  los resultados del proceso de selección docente deben guardar correspondencia con el formato de licenciamiento 06.  para el caso de universidades públicas, debe guardar también correspondencia con la información del airhsp. sobre el mv3:  el plan debe estar aprobado por la autoridad competente.  el plan debe sustentar la estrategia de la universidad para contratación e incorporación docentes ordinarios por el periodo de cinco (5) años. debe tener como fin demostrar cómo la universidad fortalecerá y desarrollará progresivamente la carrera docente.  el plan debe tener como mínimo: I) objetivos, (II) estrategias, (III) metas y resultados medibles que se quieran alcanzar, (IV) cronograma específico por semestre y por año de los procesos de selección y contratación docente, (v) presupuesto total y desagregado proyectado de plana docente detallado por programa, modalidad y local (especificando la cantidad de docentes, remuneración por hora, entre otros); sustentado los supuestos de la proyección), (VI) número de docentes contratados y ordinarios por categoría, grado académico y, si corresponde por sede y filial, que se incorporará, (VII) responsables de su implementación.  se debe verificar la correspondencia o alineación del plan con instrumentos de gestión institucional: pei, poi anual, poi multianual, y presupuesto, según corresponda. el crecimiento del número de docentes contratados y nombrados es en función al presupuesto, a la proyección de estudiantes, a las necesidades académicas y todo ello en el marco de los instrumentos de planificación institucionales.  es consistente con lo establecido en el indicador 13 y 19. sobre el mv4:  debe estar aprobado por autoridad competente.  la política de desarrollo profesional del cuerpo docente dentro de la institución y/o programa, debe estar orientado a la realización de los fines de la universidad y comprometidos con su desarrollo institucional, a través de procesos y procedimientos de promoción meritocrática de docentes en las distintas categorías, así como el acceso a puestos de gestión, bonificaciones y reconocimientos, que permitan producir mejoras en los aspectos académicos, investigativos, administrativos y de proyección social del docente. sobre el mv5:  el o los documentos pueden ser instrumentos normativos o de gestión.  debe estar aprobado por autoridad competente.  el o los documentos deben describir los mecanismos o estrategias para asegurar que todos los docentes de la universidad tengan posibilidad de acceso a los programas de desarrollo académico. ello también en caso de que la universidad tenga filial(es).  el o los documentos deben contar con estrategias de capacitación para docentes en el modelo educativo y el uso de mecanismos asociados (plataforma de aprendizaje virtual, elaboración de materiales, entre otros) acorde a la modalidad (presencial, semipresencial o a distancia) y tipo de programa que dicta (intercultural o para población adulta).  los programas de investigación deben guardar correspondencia con el plan de desarrollo de la investigación solicitado en el indicador 24. el o los documentos debe guardar correspondencia con los instrumentos de gestión institucional: pei, poi anual, poi multianual, y presupuesto, según corresponda.</t>
  </si>
  <si>
    <t>Garantizar un cuerpo docente permanente orientado a la realización de los fines de la universidad y comprometidos con su desarrollo institucional; es decir, que estén disponibles permanente para darle continuidad a las acciones orientadas a la reflexión sobre el proceso de enseñanza-aprendizaje, investigación y responsabilidad social. además, promover el desarrollo de la carrera académica y profesional del docente universitario, rigiéndose por la excelencia, meritocracia, y la mejora permanente. finalmente, garantizar que los docentes que vaya incorporando la universidad para el desarrollo de sus programas sean seleccionados a partir de estándares basados en la meritocracia.</t>
  </si>
  <si>
    <t>Documento donde se detalle cada uno de los programas de desarrollo académico para los docentes (programas de movilidad e intercambio, de actualización, participación en congresos, pasantías, investigación, entre otros) . se incluye mínimamente: (I) los objetivos de cada programa, (II) descripción y justificación del programa, (III) criterios de selección, de corresponder, para el acceso a los programas (IV) presupuesto por programa y (v) fuentes de financiamiento, (VI) responsables, (VII) precisión de sede y filial donde se desarrollarán, en caso corresponda.</t>
  </si>
  <si>
    <t>Recursos humanos y económicos para oferta académica (≥5 años)</t>
  </si>
  <si>
    <t>La universidad regula e implementa procesos de evaluación y fortalecimiento de la carrera docente, de acuerdo a criterios meritocráticos y una lógica de resultados, con fines de ingreso, nombramiento, promoción, renovación de contratos, ratificación y separación; lo que incluye un plan de desarrollo académico para los docentes. todos estos procesos se desarrollan de acuerdo con la ley universitaria y la normativa de la universidad. los procesos tienen una orientación hacia la promoción del desarrollo profesional del cuerpo docente.</t>
  </si>
  <si>
    <t>III.5 Docentes</t>
  </si>
  <si>
    <t>20_5</t>
  </si>
  <si>
    <t>Política de desarrollo profesional del cuerpo docente dentro de la institución y/o el programa. mínimamente se orientan a la promoción, acceso a puestos de gestión, bonificaciones y reconocimientos.</t>
  </si>
  <si>
    <t>20_4</t>
  </si>
  <si>
    <t>Plan progresivo de contratación y ordinarización docente, aprobado por la autoridad competente, que tiene como mínimo un periodo de implementación a culminarse en cinco (5) años. indica como mínimo: (I) objetivos (II) metas o resultados que se quieran alcanzar (II) cronograma específico, (II) presupuesto total y desagregado, (III) número de docentes contratados y ordinarios por categoría, grado académico y, si corresponde por sede y filial, que se incorporará, (IV) responsables, (v) justificación del número de docentes planteados.</t>
  </si>
  <si>
    <t>20_3</t>
  </si>
  <si>
    <t>Documentos que evidencien que se ha cumplido con el proceso de selección y con la normativa correspondiente para la selección de los docentes.</t>
  </si>
  <si>
    <t>20_2</t>
  </si>
  <si>
    <t>Reglamentos u otros documentos normativos que regulen la gestión docente. se regula los procesos vinculados a los docentes contratados, extraordinarios y ordinarios (nombramiento, promociones y ratificaciones), en caso corresponda. estos medios de verificación deben adjuntar, en anexos, los instrumentos de evaluación de cada proceso. la selección debe garantizar transparencia, meritocracia y sobre todo que se realice en función de lo solicitado por el diseño curricular. se cuenta con mecanismos para evaluar desempeño que se transformen acciones preventivas y/ o correctivas.</t>
  </si>
  <si>
    <t>20_1</t>
  </si>
  <si>
    <t>Sobre el mv1 y mv2:  el formato de licenciamiento 06 debe estar firmado por el representante legal de la universidad.  el formato de licenciamiento debe contener el listado de todos los docentes de la universidad para los dos (2) primeros años de funcionamiento. se evidencia que cada curso de esos dos primeros años contará con un docente.  se debe llenar de forma completa, sin dejar celdas en blanco, el régimen de dedicación, categoría, filial o sede en la que dicta cada docente, su grado académico, distribución de horas lectivas y no lectivas, detalle de las actividades no lectivas, y facultades en las que dicta.  se debe especificar los docentes con calificación RENACYT de la universidad (ver criterios de evaluación de indicador 25).  la información del formato con respecto al régimen de dedicación de los docentes (tiempo completo, tiempo parcial y dedicación exclusiva) y las horas semanales fijadas para sus distintas actividades debe ser consistente.  la información del formato con respecto a grados y títulos, régimen de dedicación, carga lectiva y vínculo laboral con la universidad debe ser contrastada con las bases de datos institucionales de la SUNEDU y del estado (por ejemplo, aplicativo informático para el registro centralizado de planillas y de datos de los recursos humanos del sector público-airhsp); así como con el mv2 (contrato laboral o resoluciones), según corresponda.  en el caso de una universidad con licenciada denegada, se dispone de los docentes necesarios para dictar todos los cursos de los programas que fueron listados en la resolución y que cuentan con estudiantes; independientemente de si los programas forman parte del presente procedimiento de licenciamiento. los docentes que dicten solamente en los programas no considerados en el presente procedimiento, no serán contabilizados en el cálculo del 25% de docentes a tiempo completo. sobre el cálculo del 25% de docentes a tiempo completo:  el docente a tiempo completo es aquel que tiene una permanencia mínima de 40 (cuarenta) horas semanales en la universidad con al menos una hora de dedicación al dictado de clase semanal en el horario fijado por la universidad, independientemente de su categoría docente. así, el docente a tiempo completo articula o complementa el dictado de clases con labores de investigación, gestión académico-administrativa, asesoría académica, proyección social, o ejercicio de cargo de gobierno.  este porcentaje (25%) no incluye a las autoridades de gobierno ni directivos (rectores, vicerrectores, decanos, directores de escuela, etc.) que no acrediten estar dictando, por lo menos, un (1) curso.  este porcentaje (25%) no incluye a docentes que no garanticen una permanencia en la universidad de, al menos, 16 semanas o más (según corresponda), lo cual representa la duración completa de un semestre académico. esta información puede ser contrastada con el contrato o resolución de nombramiento del docente, y con el calendario académico del programa.  este porcentaje (25%) no incluye a docentes a tiempo completo que tengan el mismo régimen de dedicación en otra institución.  en los casos que se identifique que los docentes a tiempo completo tienen carga horaria (menor de 40 horas semanales) en otra universidad, que pueda afectar su disponibilidad efectiva y tiempo de dedicación, se debe solicitar—a la universidad que presenta su solicitud de licenciamiento institucional—evidencias que sustenten la no afectación y sostenibilidad en de la dedicación de sus docentes a tiempo completo.  en el caso que un docente sea declarado a tiempo completo ya sea en la sede y en una o más de sus filiales, o en dos (2) o más filiales distintas, se debe acreditar (con la documentación presentada en el mv2) que el docente no solo tiene horas de dictado, sino que tiene carga horaria en otras actividades, como la investigación, para ser considerado en el cálculo del 25% de docentes a tiempo completo en la sede y en cada una de las filiales en las que enseña.  el 25% aplica para cada sede y filial (de corresponder). sobre el mv2:  se debe presentar el currículum vitae (cv) de todos los docentes de la universidad, por cada programa, declarados en el formato de licenciamiento 06. la información entre ambos medios de verificación debe ser consistente.  el cv de todos los docentes debe estar documentado (copia simple) y proporcionar información y evidencia de su experiencia profesional y de docencia, así como detalle de grados y títulos obtenidos. debe contener contratos, resoluciones de nombramiento o contratación, según corresponda, de los docentes a tiempo completo de la universidad y/o a dedicación exclusiva, tomando en cuenta para los dos primeros años de funcionamiento. la información sobre grados académicos de los docentes se debe verificar con la información de la dirección de grados y títulos de la SUNEDU.</t>
  </si>
  <si>
    <t>Listado de todos los docentes de todos los programas tomando en cuenta los dos primeros años de funcionamiento, al que debe anexarse el curriculum vitae de cada uno. además, contratos, resoluciones de nombramiento o contratación, según corresponda, de los docentes a tiempo completo de la universidad y/o a dedicación exclusiva, tomando en cuenta para los dos primeros años de funcionamiento.</t>
  </si>
  <si>
    <t>Presupuesto institucional según plan estratégico (≥5 años)</t>
  </si>
  <si>
    <t>Todos los docentes de la universidad cumplen con los requisitos para el ejercicio de la docencia, estipulados en la ley universitaria. de ellos, un 25%, como mínimo, tiene como régimen de dedicación el de tiempo completo o dedicación exclusiva, quienes son preferentemente doctores y ejercen labores de docencia, investigación, gestión universitaria, asesoría académica, o proyección social. en caso corresponda, este porcentaje debe cumplirse en cada sede y filial de la universidad. se evidencia que se cuenta con docentes para los cursos de todos los programas correspondientes a los dos primeros años.</t>
  </si>
  <si>
    <t>19_2</t>
  </si>
  <si>
    <t>Formato de licenciamiento 06 que contiene toda la plana docente de la universidad para los dos primeros años de funcionamiento, precisando su régimen de dedicación, categoría, programa, sede y filial a la que pertenecen, distribución horaria de dedicación a las diversas actividades según corresponda, entre otros. el formato debe estar firmado por el representante de la universidad. se debe evidenciar que se cuenta con la plana docente para brindar los cursos de los dos primeros años de los programas y que el 25% de estos son a tiempo completo. en caso corresponda, este porcentaje debe cumplirse en cada sede y filial de la universidad. en ningún caso, podrá ser tiempo completo de otra institución ni deben contar con un tipo de carga (académica, administrativa, de investigación) en otra universidad que pueda afectar su disponibilidad efectiva y tiempo de dedicación.</t>
  </si>
  <si>
    <t>19_1</t>
  </si>
  <si>
    <t> debe estar aprobados por la autoridad competente.  el documento debe establecer el nombre de la instancia a cargo, sus funciones, y el perfil o competencias de la persona a cargo.</t>
  </si>
  <si>
    <t>Garantizar que la infraestructura tecnológica aporte eficiencia a los procesos académicos y permita su monitoreo para garantizar la mejora continua.</t>
  </si>
  <si>
    <t>Documento que acredite la existencia de una oficina o área encargada del monitoreo y soporte de (I) la plataforma y del (II) desarrollo procesos semipresenciales en los programas académicos.</t>
  </si>
  <si>
    <t>MV6</t>
  </si>
  <si>
    <t>Estrategia de caracterización de estudiantes y egresados</t>
  </si>
  <si>
    <t>En caso la universidad solicite ofrecer modalidad semipresencial para el desarrollo de sus programas académicos, debe contar con una plataforma de interacción orientada al aprendizaje autónomo con las siguientes funciones mínimas: a) uso de diversos instrumentos de participación individual y grupal para el logro del aprendizaje. b) uso de diversos instrumentos para la evaluación del logro de las competencias profesionales y capacidades académicas que se van adquiriendo a través de las asignaturas del currículo. c) integración con la plataforma académica y administrativa de la universidad. d) monitoreo de actividades y de toda la interacción. e) ancho de banda adecuado que garantice la accesibilidad y disponibilidad.</t>
  </si>
  <si>
    <t>III.4 Infraestructura tecnológica</t>
  </si>
  <si>
    <t>18_6</t>
  </si>
  <si>
    <t> el informe debe estar elaborado y suscrito por un experto.  el informe debe sustentar que se cuenta con el ancho de banda necesario, pertinente según la ubicación geográfica, el cual garantice la accesibilidad y disponibilidad del total de estudiantes proyectado.  el informe debe sustentar que el ancho de banda se complementa con el soporte tecnológico necesario (características de servidores, equipos, software) para garantizar la accesibilidad, seguridad, estabilidad, funcionalidad y disponibilidad del total de estudiantes proyectado.</t>
  </si>
  <si>
    <t>Informe elaborado por un experto que garantice que se cuenta con el ancho de banda necesario para garantizar la accesibilidad y disponibilidad del total de estudiantes proyectado.</t>
  </si>
  <si>
    <t>18_5</t>
  </si>
  <si>
    <t> la duración de los contratos no será menor a un (1) año.  contratos de arrendamiento o licencia de uso de la plataforma, precisan la razón social y RUC de la universidad.  los documentos están firmados por los responsables legales de las partes involucradas.</t>
  </si>
  <si>
    <t>Contratos de arrendamiento o licencia de implementación de la plataforma, en caso aplique, de por lo menos un (01) año.</t>
  </si>
  <si>
    <t>18_4</t>
  </si>
  <si>
    <t> el uso de esta plataforma, para programas académicos con oferta semipresencial o a distancia, debe guardar correspondencia con lo establecido en el modelo educativo de la universidad y en los planes de estudio correspondientes.  se debe verificar, a través del usuario y contraseña proporcionados, que la plataforma tenga las siguientes funciones: - uso de diversos instrumentos de participación individual y grupal para el logro del aprendizaje (intercambio de archivos entre alumno y docente, desarrollo foros, desarrollo de chat en vivo, acceso a material didáctico). - uso de diversos instrumentos para la evaluación del logro de las competencias profesionales y capacidades académicas que se van adquiriendo a través de las asignaturas del currículo (desarrollo de evaluaciones en línea, desarrollo de encuestas en línea, emisión de reportes sobre el cumplimiento de las actividades –por ejemplo, progreso del estudiante, cumplimiento de actividades asignadas, entre otras). - monitoreo de actividades y de toda la interacción. - la plataforma debe estar integrada a la plataforma académica y administrativa de la universidad, en tanto que pueda ser interoperables entre sí. - la plataforma debe contar con video o guía para su uso de acuerdo con el perfil del usuario.  de ser el caso, el acceso a la plataforma debe estar garantizado en la sede y filial(es) de la universidad, lo cual podrá ser verificado en cualquier etapa del proceso.</t>
  </si>
  <si>
    <t>Usuario y contraseña de todos los perfiles (administrador, estudiante, docente, egresado) que tiene el sistema</t>
  </si>
  <si>
    <t>18_3</t>
  </si>
  <si>
    <t> el documento debe estar aprobado por autoridad competente.  el documento deberá describir los procedimientos y cronología del monitoreo de las actividades en la plataforma virtual. estos deben guardar correspondencia con el modelo educativo de la universidad, los planes de estudio de los programas de la modalidad semipresencial o a distancia y las sumillas, de corresponder.  se detalla actores que participan en el procedimiento, quienes son responsables en las distintas etapas del mismo y cuáles son las funciones que les corresponde respecto al procedimiento.</t>
  </si>
  <si>
    <t>Documento de gestión académica en donde se especifiquen los procedimientos y cronología del monitoreo de las actividades en la plataforma semipresencial.</t>
  </si>
  <si>
    <t>18_2</t>
  </si>
  <si>
    <t> el manual debe estar aprobado por la autoridad competente y estar disponible para su uso de manera transparente y accesible.  el manual de usuario deberá contar con un control de versiones y describir las siguientes funciones mínimas de la plataforma de interacción: - uso de diversos instrumentos de participación individual y grupal para el logro del aprendizaje (intercambio de archivos entre alumno y docente, desarrollo de foros, desarrollo de chat en vivo y acceso a material didáctico). - uso de instrumentos para la evaluación del logro de las competencias profesionales y capacidades académicas que se van adquiriendo a través de las asignaturas del currículo (desarrollo de evaluaciones en línea, desarrollo de encuestas en línea, emisión de reportes sobre el cumplimiento de las actividades, entre otras).  se evidencia que los manuales de los sistemas de la universidad contribuyen a su operatividad y funcionamiento, demostrando que la universidad los emplea como parte de su gestión. dicho funcionamiento es consistente con los mv2 y mv3.</t>
  </si>
  <si>
    <t>Manual de usuario que contenga la indicación del link de la plataforma de interacción</t>
  </si>
  <si>
    <t>18_1</t>
  </si>
  <si>
    <t> el documento debe estar aprobado por autoridad competente.  el plan debe contener, como mínimo: (I) detalle de las actividades a desarrollar, según los requerimientos de RENATI y ALICIA. (II) está articulado con otros documentos de planificación de la universidad. (III) cronograma de implementación con un año de duración en la que se consigna hitos y metas por meses. (IV) presupuesto. (v) responsable(s) de la implementación.  el repositorio académico digital que se implementará deberá estar acorde al crecimiento proyectado.  las universidades con licencia denegada que hayan cumplido el indicador vinculado al repositorio institucional, se encuentran en la obligación de mantenerlo, pudiendo establecer en el plan una estrategia de mejora o ampliación del mismo o de incorporación de los nuevos documentos académicos.</t>
  </si>
  <si>
    <t>Plan de implementación del repositorio académico integral. este debe incluir: (I) detalle de actividades a desarrollar, (II) cronograma (con un año de duración) (III) presupuesto, (IV) responsables</t>
  </si>
  <si>
    <t>Estrategia de comunicación sobre características del programa</t>
  </si>
  <si>
    <t>La universidad cuenta con un plan para desarrollar un repositorio académico digital, según los requerimientos de RENATI y ALICIA, en el que se alojan sus documentos de investigación como tesis, trabajos de investigación, publicaciones, entre otros.</t>
  </si>
  <si>
    <t>17_1</t>
  </si>
  <si>
    <t> el documento debe estar aprobado por autoridad competente.  el plan debe contener, como mínimo: (I) detalle de las actividades a desarrollar, en el cual se describa los sistemas a implementar, sus respectivas funcionalidades, coherentes con la normativa de la universidad, los procesos de gestión académica y administrativa, y otros documentos de planificación de la universidad. (II) cronograma de implementación con un año de duración en la que se consigna hitos y metas por meses. (III) presupuesto. (IV) responsable(s) de la implementación.  las plataformas o sistemas integrados de información a implementar deben permitir como mínimo las siguientes funciones: (I) gestión académica: para uso administrativo - información profesional y académica del docente, actualizada por semestre académico: datos generales, categoría, régimen de dedicación, tiempo destinado a distintas labores como de docencia, investigación, entre otros. - evaluación docente. - información de historial académico de los estudiantes (percentil en el que se encuentra, promedio ponderado acumulado, promedio por semestre, semestre en el que se encuentra, total de créditos y cursos aprobados y por aprobar, entre otros) - registro de postulantes por programa académico y por semestre. - registro de estudiantes matriculados por curso, por programa académico y por semestre. - gestión de horarios: disponibilidad de clases por curso, por programa académico y por semestre. - registro de trámites académicos. - generación de reportes. para estudiantes: - cursos y docentes disponibles para matrícula por programa y periodo académico (según pre requisitos). - horario del estudiante. - información de historial académico (percentil en el que se encuentra, promedio ponderado acumulado, promedio por semestre, semestre en el que se encuentra, total de créditos y cursos aprobados y por aprobar, entre otros) para docentes: - registro y reportes de actividades a realizar por semestre. - reporte de programación de horarios de clases. - registro y reporte de notas por evaluación, por curso y por semestre, así como los respectivos pesos de cada evaluación, - reportes de cantidad y relación de estudiantes matriculados por curso. - registro de asistencia del docente, (II) gestión administrativa - pagos virtuales: facilita el pago de los servicios que ofrece la universidad (matrículas, pensiones, constancias, cursos extracurriculares y multas, entre otros) a través de un banco, de su plataforma informática o de una pasarela de pagos sin necesidad de asistir a la universidad. para ello, la universidad podrá suscribir convenios con instituciones financieras. - generación de reportes y control sobre la gestión administrativa/financiera. - registro de trámites administrativos de estudiantes, egresados y docentes: - información económica y financiera:  para universidades privadas: registro de operaciones contables (ingresos, gastos, activos, pasivos, entre otros) con el detalle de cuáles son los procesos académicos y cuáles son los de gestión administrativa. estado de situación financiera. estado de resultados. información histórica y proyectada.  para universidades públicas: la gestión administrativa de registro de ingresos, egresos y gastos por conceptos educativos se realiza mediante el sistema integrado de administración financiera (siaf) y el sistema integrado de gestión administrativa (siga-MEF). (III) gestión de acervo bibliográfico: - para el usuario  información sobre el préstamo según tipo de usuario y material bibliográfico.  disponibilidad de préstamo de libros por usuario.  acceso a bases de datos externas para actividades de investigación formativa y no formativa.  reserva de libros y salas de estudio.  información bibliográfica de cada material adquirido por la universidad (título, autor, año de publicación, editorial, código del libro); y uso de etiquetas temáticas en el material bibliográfico que permita una mejor búsqueda. - para uso administrativo:  registro del acervo bibliográfico.  seguimiento de préstamo y devolución de material bibliográfico.  penalidad por falta de devolución o destiempo en la devolución del material prestado  generación de reportes y control.  los sistemas establecidos en el plan deben estar acorde al crecimiento proyectado de estudiantes, docentes y personal no docente.  los sistemas que se implementarán son interoperables entre sí.  los sistemas que implementarán deben operar de igual forma tanto en las sedes como en las filiales.</t>
  </si>
  <si>
    <t>Plan de implementación de los sistemas integrados de información. este debe incluir: (I) detalle de actividades a desarrollar, (II) cronograma (con un año de duración) (III) presupuesto, (IV) responsables</t>
  </si>
  <si>
    <t>Servicio de tutoría y salud mental para estudiantes semipresenciales</t>
  </si>
  <si>
    <t>La universidad cuenta con un plan para desarrollar sistemas integrados de información para: a) gestión académica (registro y monitoreo de actividades académicas). b) gestión administrativa (registro y monitoreo de trámites asociados a lo académico). c) gestión de acervo bibliográfico (registro y monitoreo de uso de bibliografía por todos los canales puestos a disposición de la comunidad universitaria).</t>
  </si>
  <si>
    <t>16_1</t>
  </si>
  <si>
    <t> el plan debe estar aprobado por autoridad competente.  el plan debe proyectarse cumpliendo con toda la normativa nacional vigente relacionada a seguridad en edificaciones. este debe incluir: - detalle de actividades a desarrollar, - cronograma (considerando hitos y metas por meses y años), - presupuesto anual, en concordancia con el presupuesto institucional (componente 2.2). - responsables - impacto de la adecuación e implementación en la infraestructura existente del local.  debe guardar correspondencia con los instrumentos de gestión institucional (pei, poi multianual, poi anual, presupuesto institucional).  en el caso de universidades públicas, deberá presentar la programación multianual de inversiones (pmi), en el que se incluyen los pips e ioarrs que involucren la incorporación, adecuación o mejoramiento de equipamiento, con el cronograma de ejecución para verificar su cumplimiento.</t>
  </si>
  <si>
    <t>Garantizar que la infraestructura física es idónea para el desarrollo de las actividades de la comunidad académica y se realice en virtud de la propuesta curricular de los programas académicos</t>
  </si>
  <si>
    <t>De corresponder, plan de implementación progresiva de los laboratorios y talleres a ser aplicados a partir del tercer año de los programas académicos, aprobado por la autoridad competente. dicho plan debe proyectarse cumpliendo con toda la normativa relacionada a seguridad en edificaciones. este debe incluir: (I) detalle de actividades a desarrollar, (II) cronograma (considerando hitos y metas por meses y años), (III) presupuesto, (IV) responsables (v) impacto de la adecuación e implementación en la infraestructura existente del local.</t>
  </si>
  <si>
    <t>MV8</t>
  </si>
  <si>
    <t>Locales con condiciones adecuadas para componente presencial</t>
  </si>
  <si>
    <t>Todos los locales de la universidad (conducentes a grado académico y donde se brinden servicios complementarios) cuentan con capacidad adecuada al espacio físico, cumplen las condiciones de seguridad y de uso, tienen compatibilidad de uso, y son aptas para atender la demanda de los programas académicos. estos locales cuentan con ambientes destinados al desarrollo de sus funciones (formación y docencia, investigación, servicios complementarios), como aulas, laboratorios y talleres equipados, ambientes para docentes, áreas de actividades deportivas, sociales, de recreación, áreas verdes, espacios libres, entre otros. asimismo, la universidad cuenta con instrumentos normativos y de gestión que aseguren el mantenimiento sostenido de su infraestructura, equipamiento y mobiliario.</t>
  </si>
  <si>
    <t>III.3 Infraestructura física</t>
  </si>
  <si>
    <t>15_8</t>
  </si>
  <si>
    <t> son concordantes con el formato de licenciamiento 05.1.  los protocolos de seguridad para el funcionamiento de los laboratorios y talleres están suscritos por la autoridad competente.  la universidad presenta protocolos que cuenten con estándares de seguridad para todos los laboratorios y talleres declarados.  los protocolos pueden agruparse por programas o por especialidad (tipo de laboratorio y taller).  los protocolos contienen como mínimo: el proceso de identificación de riesgos; procedimientos de trabajo seguro; procedimientos en caso de accidentes; seguridad en el manejo de productos químicos, biológicos o radiológicos, según corresponda; signos y etiquetas; señales y seguridad y equipos de protección personal; actividades de supervisión.  los protocolos de seguridad son consistentes con los procesos desarrollados y acciones efectivas para la mitigación de peligros y riesgos. estos son diseñados en concordancia con el iperc de la institución.</t>
  </si>
  <si>
    <t>Protocolos de seguridad de los laboratorios y talleres que detallan el proceso de identificación y valoración de peligros y riesgos de acuerdo con las actividades específicas que albergan cada uno.</t>
  </si>
  <si>
    <t>MV7</t>
  </si>
  <si>
    <t>15_7</t>
  </si>
  <si>
    <t> el informe debe evidenciar y garantizar que la universidad dispone a la fecha de la presentación de su solicitud de licenciamiento, con los ambientes, equipamiento y mobiliario pertinente para el desarrollo de, por lo menos, los dos (2) primeros años de operatividad de los programas conducentes a grado académico declarados.  el informe debe estar firmado por un arquitecto o ingeniero colegiado. este debe incluir: a) respecto a laboratorios y talleres: - agrupamiento de talleres y laboratorios por tipología o especialidad, de ser el caso. al respecto, según la tipología podrán clasificarse en cómputo, enseñanza, o investigación (nota (5) del formato de licenciamiento 5.1). respecto a la especialidad, esta será determinada por la universidad con base en la naturaleza, o rama de estudio que se imparte en los ambientes de laboratorios y talleres, que muchas de las veces obedecen a la organización de sus propias facultades; por ejemplo: ciencias de la salud, sistemas e informática, laboratorios de ing. civil (que contiene p.e. hidráulica, resistencia de materiales, topografía, entre otros). - sustento de la pertinencia de la infraestructura de cada taller y laboratorio con relación a los programas académicos vinculados. - la universidad debe contar con laboratorio(s) de informática o espacio(s) equivalente(s) que permita(n) el acceso a tecnologías de la información y a bases de datos electrónicos con los que cuenta la universidad. - sustento de la pertinencia del equipamiento y mobiliario con relación a los programas académicos vinculados. - el equipamiento de los laboratorios debe encontrarse en un estado que le permita cumplir su finalidad. - sustento de la capacidad de atención de cada taller y laboratorio con relación a los programas académicos vinculados en base al contenido práctico de sus planes de estudio. la información proporcionada en el informe debe guardar correspondencia con el aforo y giro del certificado itse de detalle y el uso al que se refiere debe ser compatible con la licencia municipal. - para el caso de las universidades con licencia denegada, los indicadores de infraestructura que tuvieron un resultado favorable durante el procedimiento de licenciamiento, serán cotejados con la información presentada por la universidad, a fin de verificar que aquellos indicadores con resultado favorable se hayan mantenido. dicha obligación se mantiene para aquellos programas que cuenten con alumnos independientemente de si se presentan al proceso actual de licenciamiento.  en caso el programa sea presentado al proceso y cuenta con alumnos, también se asegura que cuenten con la infraestructura necesaria para que los alumnos puedan desarrollar lo establecido en los planes de estudio. en ese caso, se cuenta con los ambientes, equipamiento y mobiliario pertinente para, mínimamente, los dos siguientes años respecto al nivel en el que se encuentran los estudiantes matriculados en el plan de estudios. b) respecto a las aulas: - incluir (I) el listado de aulas con las que dispone la universidad, (II) área y aforo, (III) equipamiento y (IV) el cronograma de disponibilidad para atender la demanda de todos los programas académicos. - los ambientes cuentan con acceso a internet. - el informe debe guardar correspondencia con el formato de licenciamiento 7.  se verifica la existencia de la infraestructura y equipamiento de las aulas, laboratorios y talleres para los dos primeros años. estos deben guardar correspondencia con lo declarado en el propio informe, así como con el formato de licenciamiento 05. además, estos espacios deben estar implementados para su uso y cumplir con la normativa de seguridad.  se verifica el derecho de uso sobre el equipamiento de los talleres y laboratorios.</t>
  </si>
  <si>
    <t>Informe descriptivo de las aulas, laboratorios y talleres de la universidad. el cual debe incluir: (I) agrupamiento de talleres y laboratorios por tipología. (II) sustento de la pertinencia de la infraestructura de cada taller y laboratorio con relación a los programas académicos vinculados. (III) sustento de la pertinencia del equipamiento y mobiliario con relación a los programas académicos vinculados. (IV) sustento de la capacidad de atención de cada taller y laboratorio con relación a los programas académicos vinculados. (v) sustento del aforo de cada aula, laboratorio y taller de acuerdo al tipo de enseñanza de los programas académicos.</t>
  </si>
  <si>
    <t>15_6</t>
  </si>
  <si>
    <t> debe estar aprobada por autoridad competente.  debe incluir información sobre cómo se gestionan los recursos para el mantenimiento de la universidad, área a cargo y responsables. incluir la modalidad de seguimiento de actividades, indicadores y criterios de priorización.  para equipos que contribuyan a la continuidad de servicios básicos, presentar el estudio técnico de confiabilidad.  deberá precisar el área a cargo, de acuerdo con lo señalado en el rof y organigrama institucional o documentos equivalentes.  deberá precisar el perfil de los responsables, de acuerdo con el mof o mpp, o documento sucedáneo.  deberá describir el proceso que lleva a cabo en la gestión de requerimientos y adquisiciones mediante flujogramas, diagramas, entre otros.</t>
  </si>
  <si>
    <t>Política, reglamento u documento afín de carácter institucional que regule la gestión sostenida del mantenimiento de la infraestructura, equipamiento y mobiliario de la universidad. debe incluir información sobre cómo se gestionan los recursos para el mantenimiento de la universidad, área a cargo y responsables.</t>
  </si>
  <si>
    <t>15_5</t>
  </si>
  <si>
    <t> el plan debe estar aprobado por autoridad competente.  el plan debe proponer acciones que tengan el objetivo de preservar, neutralizar daños y deterioros, así como prologar la vida útil del equipamiento, mobiliario e infraestructura de la universidad, para garantizar sus condiciones de calidad, funcionamiento y comodidad para la comunidad universitaria. este debe detallar: - incluye identificación precisa del equipamiento. - actividades correspondientes al mantenimiento preventivo y correctivo de la infraestructura, equipamiento y mobiliario. - presupuesto institucional (que incluya a todos los locales, en caso corresponda) - cronograma - fuentes de financiamiento - responsables de la ejecución y del seguimiento o monitoreo.  debe guardar correspondencia los instrumentos de gestión institucional (pei, poi multianual, poi anual, presupuesto institucional, entre otros).  para el caso de universidades públicas, se deberá precisar si la intervención para el mantenimiento se realizará bajo la modalidad de proyecto de inversión pública (pip), o bajo la modalidad de inversiones de optimización, de ampliación marginal, de rehabilitación y de reposición (ioarr), de acuerdo con la normativa vigente. asimismo, deberá precisar el estado actual (físico y financiero) de las intervenciones, en caso de encontrarse en desarrollo al momento de la presentación de la solicitud.</t>
  </si>
  <si>
    <t>Plan anual institucional de mantenimiento de la infraestructura, equipamiento y mobiliario de todos los locales conducentes a grado académico (por sede y filial, si corresponde), aprobado por la autoridad competente. el plan debe detallar: (I) actividades correspondientes al mantenimiento preventivo y correctivo (II) presupuesto institucional (III) cronograma mensual (IV) fuentes de financiamiento (v) responsables</t>
  </si>
  <si>
    <t>15_4</t>
  </si>
  <si>
    <t> el plan debe ser de carácter institucional y estar aprobado por autoridad competente.  debe contener, como mínimo: - procedimientos y estándares para garantizar la seguridad de la comunidad universitaria durante el uso de las instalaciones. asimismo, debe incorporar la presentación de los planos de señalización, evacuación y mapas de riesgo del local. - descripción de la gestión integral para el manejo de residuos sólidos y líquidos peligrosos, y residuos de aparatos eléctricos y electrónicos (raee) de acuerdo con la normativa nacional vigente. - descripción de la gestión para la identificación y valoración de riesgos producto del desarrollo de las actividades académicas que el o los locales albergan. - lineamientos para la conformación de comités de seguridad biológica, química y radiológica, según corresponda, especificando el perfil de las personas que los integran. - lineamientos para la conformación del comité de seguridad y salud en el trabajo. - funciones asignadas al comité de seguridad biológica, química y radiológica, y plan anual de actividades. - lineamientos para el manejo de la seguridad y vigilancia en cada uno de los locales (conducentes a grado académico y donde se brinden servicios complementarios). estos lineamientos deben detallar como mínimo el modo de funcionamiento, unidad orgánica a la que pertenece, tipo de vigilancia que se propone. se debe verificar la correspondencia entre estos lineamientos y el presupuesto institucional destinado a seguridad y vigilancia de los locales.  el plan debe considerar la gestión de riesgos para todos los laboratorios y ambientes de la universidad consignados en los formato de licenciamiento 05, formato de licenciamiento 05.1 y con el mv6.  el plan de seguridad debe estar adaptado a las características arquitectónicas y funcionales de cada ambiente. del mismo modo, debe ser consistente con la determinación de controles, acciones y/o actividades contempladas para la gestión del riesgo, los cuales deben garantizar la mitigación de peligros mediante la disminución de la probabilidad de ocurrencia o recurrencia, así como de la reducción de la severidad de estos.  en caso corresponda, el plan debe garantizar la seguridad del desarrollo de las actividades académicas durante los procesos de adecuación de infraestructura futura y de implementación de equipamiento y mobiliario (de acuerdo con la norma g.050-rne, d.l. n° 1426 y d.s. 029-2019-vivienda o norma que lo sustituya), en concordancia con el mv8.  incluir el presupuesto anual destinado a la implementación del plan de seguridad (adquisición de dispositivos, capacitaciones, entre otros), así como se detalla el área responsable de su ejecución.</t>
  </si>
  <si>
    <t>Plan de seguridad institucional que describa la gestión que realiza la universidad para garantizar la seguridad de los ocupantes de cada local. el plan debe contener, como mínimo: (I) procedimientos y estándares para garantizar la seguridad de la comunidad universitaria durante su uso actual. (II) gestión integral para el manejo de residuos sólidos y líquidos peligrosos, y raee. (III) gestión para la identificación y valoración de riesgo producto del desarrollo de las actividades académicas que el local alberga. (IV) lineamientos para el manejo de la seguridad y vigilancia en cada uno de los locales (conducentes a grado académico y donde se brinden servicios complementarios).</t>
  </si>
  <si>
    <t>15_3</t>
  </si>
  <si>
    <t> los formatos de licenciamiento deben estar firmados por el representante legal de la universidad  este debe especificar el número total y denominación de las siguientes unidades de infraestructura con las que cuenta en cada uno de sus locales: aulas, laboratorios, talleres, ambientes para docentes, bibliotecas, ambientes para servicios complementarios (tópico de salud, biblioteca, auditorio, entre otros).  en el formato de licenciamiento 05 deberán especificarse también la cantidad de ambientes complementarios.  los servicios complementarios pueden ser tercerizados y/o prestados en otros locales no conducentes a grado y/o título, salvo en este último punto, el tópico. ello debe ser consistente con el indicador 28.</t>
  </si>
  <si>
    <t>Formato de licenciamiento 05 donde se especifica la totalidad de las siguientes unidades de infraestructura con las que cuenta en cada uno de sus locales: aulas, laboratorios, talleres, ambientes para docentes, bibliotecas y ambientes destinados a servicios complementarios. formato de licenciamiento 05.1 donde se especifica cada laboratorio y taller según cada programa de estudios. los formatos debes estar firmados por el representante de la universidad. debe describirse: (I) denominación de cada ambiente, (II) ubicación, área y aforo, (III) equipamiento, mobiliario y softwares de los que disponen en cada laboratorio y taller declarado. formato 05.2. (IV) cronograma u horario de atención de cada ambiente, indicando el programa de ser el caso o si es de uso compartido (v) descripción de estos ambientes y las actividades que se realizan</t>
  </si>
  <si>
    <t>15_2</t>
  </si>
  <si>
    <t> el análisis de ocupabilidad de cada local deberá tener en consideración la capacidad de los mismos y el flujo de estudiantes proyectado que se espera contar al inicio de operaciones, en cada una de las unidades de infraestructura de los locales: aulas, laboratorios, talleres, ambientes para docentes, bibliotecas y ambientes destinados a servicios complementarios. el análisis deberá contemplar la duración completa de los programas, la proyección de estudiantes por semestre académico (ingresantes y regulares) y, de ser el caso, deberá contemplar los ambientes que se encuentren en el marco de una implementación progresiva. asimismo, deberá considerar la información del estudio técnico de aforo y los horarios y cursos proyectados para el uso de estos ambientes. - para universidad con licencia denegada, también se incluye el uso actual de dichos ambientes en caso haya estudiantes matriculados.  el estudio técnico de cálculo de aforo debe tomar en cuenta la distribución arquitectónica actualizada de la infraestructura física del local. por su parte el certificado itse del local debe contar con “giro educativo” y estar de acuerdo con la normatividad vigente (d.s. n.º 002-2018-PCM o norma que lo sustituya). debe ser elaborado por un arquitecto o ingeniero colegiado, habilitado, y no tiene vínculo laboral con la universidad.  la memoria descriptiva simple debe incluir fotos, planos, marco legal, entre otros que demuestren que el local es accesible para las personas con discapacidad. debe estar acorde con la normatividad vigente (norma a.120 rne).  se verifica la disponibilidad y accesibilidad de cada uno de los servicios públicos. en caso corresponda, se acompaña con los recibos de pago de cada servicio. los recibos son emitidos por la empresa prestadora del servicio; contienen nombre, razón social o RUC de la universidad (según lo declarado en el formato de licenciamiento 04); y consignan la dirección del(los) local(es) de acuerdo con lo declarado por la universidad en el formato de licenciamiento 04. en caso el local sea alquilado, el recibo puede estar a nombre del propietario del local, en correspondencia con el contrato de alquiler.  se verifica la conectividad del servicio de internet en todos sus ambientes de enseñanza o estudio, según lo declarado en el formato de licenciamiento 5.  la disponibilidad, accesibilidad y conectividad del servicio de internet, verificada, se toma en cuenta para la evaluación del funcionamiento de la plataforma de interacción orientada al aprendizaje autónomo para programas semipresenciales, en caso corresponda (ver criterios de evaluación del componente 3.4).  en caso la ubicación del local (sede/filial) no permita la conexión a una red pública para el servicio de agua, se podrá presentar un estudio técnico que garantice su abastecimiento y adecuación al consumo.</t>
  </si>
  <si>
    <t>Informe descriptivo del estado actual de la infraestructura, equipamiento y mobiliario institucional, que incluye a todos los locales de la universidad. este debe contener, como mínimo: (I) análisis de ocupabilidad de cada local que sustente porcentaje de utilización actual de la infraestructura existente. (II) estudio técnico de cálculo de aforo de cada local elaborado por un arquitecto o ingeniero colegiado y habilitado, en correspondencia con certificado itse. debe garantizarse la independencia del profesional que lo emita respecto a la universidad. (III) memoria descriptiva que demuestra que el local es accesible para las personas con discapacidad. (IV) memoria descriptiva de los servicios básicos con los que cuenta cada local (agua potable, desagüe, telefonía, energía eléctrica, internet). ello acompañado de contratos o recibos que acrediten la prestación efectiva, salvo en zonas donde no hubiera prestación de dichos servicios, que se declararán mecanismos sustitutorios. debe garantizarse la exclusividad de los servicios a fin de asegurar su continuidad.</t>
  </si>
  <si>
    <t>15_1</t>
  </si>
  <si>
    <t> el local debe ser de uso exclusivo para los fines de la universidad. se puede compartir el inmueble que alberga al local (área registrada en sunarp) con otra institución educativa del mismo grupo etario siempre y cuando se garantice el derecho real e independencia del área declarada, a favor de la universidad. asimismo, puede ofrecer diversos servicios (servicios complementarios como librerías, bancos, auditorios, centros culturales, entre otros) siempre y cuando sean de uso compatible con el educativo22 y estén destinados principalmente para la comunidad universitaria.  la universidad debe presentar el número de partida y la oficina registrales a la cual pertenece el local, de ser el caso que cuente con ellas. de no ser el caso, deberá presentar los documentos que acredite que está pendiente de calificación por esta entidad o el medio para garantizar el derecho real y/o derecho de uso oponible frente a terceros, ejercido por la universidad sobre sus locales.  el local debe haber sido diseñado para fines educativos o debidamente adecuado para ello.  el local debe garantizar las condiciones de seguridad, accesibilidad y habitabilidad, con base en la normativa vigente del reglamento nacional de edificaciones - rne y sus normas técnicas.  si la universidad presenta títulos de propiedad de su(s) local(es), todos estos deben estar registrados en sunarp e incluir en sus asientos la declaratoria de fábrica del local actualizada, de ser el caso que cuente con ellas. de no ser el caso, deberá presentar los documentos que acredite que está pendiente de calificación por esta entidad o el medio para garantizar el derecho real y/o derecho de uso oponible frente a terceros, ejercido por la universidad sobre sus locales.  si la universidad presenta contrato de arrendamiento de su(s) local(es): - deben estar registrados en la sunarp. - deben de contar con un plazo de vigencia mínimo de cinco (5) años, no menor a la duración de los programas de estudio ofertados o que se pretenden ofertar en el local. - la fecha de expedición del documento emitido por sunarp no debe de superar los tres (3) meses anteriores a la fecha de presentación de la solicitud.  si la universidad presenta documento de cesión o afectación de uso: - el documento debe de contar con un plazo de vigencia o menor a la duración de los programas de estudio ofertados en el local. dicho acto juríduico deberá de encontrarse inscrito en el registro público correspondiente; de ser el caso.</t>
  </si>
  <si>
    <t>Títulos de propiedad, contrato de arrendamiento o documento de cesión o afectación de uso —registrados en sunarp— que detalle vigencia, de todos los locales de la universidad, según sea el caso. para el caso de los títulos de propiedad y contratos de arrendamiento, se debe adjuntar el número de la partida y la oficina registral a la cual pertenece. se debe asegurar el derecho real por al menos cinco (5) años, respecto a la totalidad del inmueble destinado a la prestación del servicio.</t>
  </si>
  <si>
    <t>Recursos no presenciales de acceso remoto</t>
  </si>
  <si>
    <t>Todos los locales de la universidad (conducentes a grado académico y donde se brinden servicios complementarios) cuentan, según corresponda, con título de propiedad, contrato vigente de arrendamiento, o convenio de cesión de uso vigente.</t>
  </si>
  <si>
    <t>14_2</t>
  </si>
  <si>
    <t> el formato de licenciamiento debe estar firmado por el representante legal de la universidad.  el formato de licenciamiento contiene la declaración de la universidad con respecto a sus locales sobre los cuales ejerce un derecho real que le permita brindar el servicio educativo conducente a grado y donde se ofrecen servicios complementarios. además, se declara el resto de los locales que forman parte de la universidad o que la universidad utiliza para sus distintos fines.  la información proporcionada en el formato de licenciamiento es consistente con el resto de los formatos de licenciamiento y medios de verificación presentados (por ejemplo, con respecto a número de locales conducentes a grado, dirección de locales, aforo de locales, etc.).</t>
  </si>
  <si>
    <t>Formato de licenciamiento 04 que contiene el listado de todos los locales declarados por la universidad y sobre los cuales ejerce pleno derecho de uso para brindar ininterrumpidamente servicios educativos conducentes a grado y servicios complementarios. el formato debe estar firmado por el representante de la universidad.</t>
  </si>
  <si>
    <t>14_1</t>
  </si>
  <si>
    <t> debe ser consistente con la malla curricular solicitada en el mv3 de este indicador.  todos los programas listados deben estar declarados en los formatos de licenciamiento 02 y 02.1, asegurarse que ningún espacio quede en blanco.  asimismo, deben estar firmados por el representante legal de la universidad.</t>
  </si>
  <si>
    <t>Garantizar que la práctica pedagógica de los docentes y todo el proceso de formación académica de los estudiantes se desarrollen dentro de un marco referencial planificado, definido, sustentado y con una clara correspondencia con la propuesta educativa de la universidad.</t>
  </si>
  <si>
    <t>Formato de licenciamiento 03 de malla curricular y análisis de créditos académicos por programa. el formato debe estar firmado por el representante de la universidad.</t>
  </si>
  <si>
    <t>Infraestructura tecnológica para materiales de aprendizaje</t>
  </si>
  <si>
    <t>Todos los programas académicos que propone ofrecer la universidad cuentan con documentos que planifican, estructuran y definen el proceso formativo de los estudiantes. esto documentos están alineados a su modelo educativo.</t>
  </si>
  <si>
    <t>III.2 Propuesta curricular</t>
  </si>
  <si>
    <t>13_5</t>
  </si>
  <si>
    <t> debe estar aprobado por autoridad competente.  debe describir la formación académica o profesional, y el tipo de experiencia profesional (como los años de docencia universitaria y/o de ejercicio profesional, el conocimiento de determinados temas para dictar el curso, etc.) y/o de investigación que debe tener cada docente para cada asignatura</t>
  </si>
  <si>
    <t>Documento que detalle el perfil de docente por cada asignatura, consignando mínimamente el nivel académico, experiencia profesional y/o de investigación (en caso de asignaturas vinculadas a la investigación) esta información puede estar contenida en el plan de estudios o curricular de la universidad.</t>
  </si>
  <si>
    <t>13_4</t>
  </si>
  <si>
    <t> la universidad presenta los planes de estudio o planes curriculares de cada uno de los programas conducentes a grado académico y título, menciones y modalidades listados en el formato de licenciamiento 02 y/o 02.1.  todos los planes de estudio o planes curriculares deben contar con resolución de aprobación por autoridad competente según estatuto de la universidad.  los planes de estudios o planes curriculares deben estar alineados con el modelo educativo de la universidad.  respecto a los componentes mínimos: - perfil del estudiante y del graduado o egresado. el perfil responde a la justificación del programa estipulado en el indicador 11. - modalidades de enseñanza. estas pueden ser presencial, semipresencial o a distancia. - métodos de enseñanza teórico-prácticos y de evaluación de los estudiantes. se encuentran alineados al modelo educativo. describe las estrategias que el docente utilizará en el aula para el logro de los aprendizajes. dependerá del enfoque curricular que se asuma, las competencias que se quieren desarrollar en los estudiantes, y las características de cada programa. además, se describe cómo se determinará el nivel de dominio de las competencias que se quiere que los estudiantes alcancen. - malla curricular. presenta, de manera ordenada, el esquema u organización de los cursos, así como los cursos prerrequisitos a llevar por los estudiantes para cada ciclo. se establece los créditos necesarios para el egreso, así como los cursos que son de naturaleza obligatoria o electiva. - sumilla de cada asignatura. se detalla la equivalencia en créditos académicos - recursos indispensables para desarrollo de asignaturas. se describe los recursos tecnológicos (por ejemplo, sistemas de aprendizaje virtual, softwares especializados, etc.), de infraestructura (por ejemplo, talleres o laboratorios), u otros (por ejemplo, transporte para trabajos de campo) necesarios para el desarrollo de cursos o asignaturas. - en caso se incluya prácticas preprofesionales, es consistente con la normativa que la universidad cuenta sobre ello, donde se establece el proceso para llevarlas a cabo y los roles correspondientes tanto del estudiante como de parte de la universidad, así como los criterios para su reconocimiento o convalidación. en ningún caso puede exigirse la realización de prácticas preprofesionales para el título profesional, solo para el grado de bachiller19. pueden incorporar como requisito para el título profesional la realización de prácticas profesionales. - respecto a los mecanismos para la enseñanza de un idioma extranjero o lengua nativa, se puede establecer utilizar las siguientes opciones, entre otras:  constancias de estudios de otras instituciones reconocidas, de acuerdo con criterios establecidos por la propia universidad.  mecanismos para verificar que el egresado alcanzó el nivel del idioma requerido para la obtención del grado de bachiller, tales como la realización de exámenes de suficiencia en un idioma extranjero o lengua nativa.  la enseñanza de un idioma extranjero, de preferencia inglés, o la enseñanza de una lengua nativa de preferencia quechua o aimara, es obligatoria en los estudios de pregrado20. se puede realizar a través de sus centros de idiomas. - describe las estrategias dentro del currículo para el desarrollo de aprendizajes vinculadas a la investigación. de forma mínima, incluye estrategias de investigación formativa para nivel de pregrado. podría adicionarse, estrategias para la introducción a la investigación científica y la formación de investigadores, de acuerdo con el grado otorgado por el programa. la estrategia debe mínimamente permitir que se cuente con las competencias necesarias para el desarrollo del producto de investigación exigido por el grado o título. además, las estrategias deben enmarcarse en la política y enfoque de investigación institucional. asimismo, se justifica cómo la estrategia permite alcanzar dichas competencias vinculadas a la investigación.  las universidades con licencia denegada presentan adicionalmente los planes de estudios que corresponden a los programas que fueron listados en la resolución de denegatoria y que actualmente tienen estudiantes, por más que los programas hayan sido desistidos o no sean solicitados para su licenciamiento. se evidencia que los mismos cumplen con los requisitos de la ley universitaria y que, de haber sufrido cambios, se ha asegurado el interés superior del estudiante. estos también serán presentados para fines de registro de grados y títulos. - en caso de que dichos programas, sean presentados como oferta a licenciar, de haber un nuevo plan, se establece la equivalencia de este con el plan o planes anteriores, garantizando, bajo el principio de interés superior del estudiante, que los estudiantes de los planes anteriores gocen, de ser el caso, de los beneficios de los nuevos planes (infraestructura, docentes contratados bajo los nuevos perfiles; en coherencia con lo establecido en 15, 19 y 20). consideraciones específicas para los siguientes tipos de programas: a) modalidad semipresencial o a distancia -sobre los cursos:  se evidencia la pertinencia de la modalidad del curso con los contenidos, metodología de enseñanza-aprendizaje y objetivos que se esperan desarrollar acorde a lo establecido en su modelo educativo y lo presentado en el indicador 1.  en caso haya un componente práctico y se brinde de forma semipresencial o distancia, se presenta una justificación de la idoneidad de dicho modo para desarrollar las competencias esperadas y se evidencia que se cuenta con los recursos necesarios para ello (programas especializados, laboratorios remotos, simuladores, realidad aumentada, entre otros). ello en consistencia con lo presentado para los indicadores 15 y 18.  debe evidenciar cómo se desarrolla el componente de formación vinculada a las estrategias de investigación (en caso estos tipos de cursos sean en modalidad virtual). b) programas para población adulta (programas para gente que trabaja) -el diseño de los planes deben justificar, de ser el caso, las razones en caso haya diferencias respecto a la modalidad para no adultos. en caso que tengan la misma estructura, la universidad debe justificar cómo se logra los mismos aprendizajes en poblaciones con características diferentes y con distribuciones de horarios diferentes que podrían impactar en las actividades necesarias para dichos aprendizajes. -se evidencia cómo se desarrolla el componente de formación vinculada en investigación, en una distribución horaria que complejiza el desarrollo de dicho tipo de actividades. - en caso el programa sea dictado en la modalidad semipresencial o a distancia, esta deberá adecuarse con lo establecido en el inciso a) modalidad semipresencial o a distancia del presente indicador. -en caso exista el programa en modalidad no para adultos, si tiene los mismos objetivos, perfil de egresado, cursos similares, se trata del mismo programa, por lo que debe tener la misma denominación. sin embargo, para fines de registro, se codifican de forma diferenciada. c) programas de naturaleza intercultural21 -incluye estrategias propedéuticas para estudiantes indígenas -incluye contenidos sobre saberes indígenas o intercultural (visión sobre un tema desde dos o más perspectivas culturales) -enseñanza de la lengua originaria o contenidos en lengua originaria -contenidos sobre derechos de los pueblos indígenas y enfoque intercultural -el plan ha sido elaborado con participación de las comunidades o tiene mecanismos para incluir su participación en la implementación. d) programas de doctorado - el programa tiene definido el perfil de ingreso y egreso y objetivos académicos pertinentes con el enfoque de investigación que se quiere dar, el contexto regional y las tendencias en el área donde se desarrolla. - se tiene cursos y estrategias orientados a la formación de investigadores. - se debe especificar sobre el tipo de doctorado que piensa hacerse (escolarizado / no escolarizado) y se tiene una propuesta formativa pertinente según ello. -en las actividades de desarrollo del programa se incluyen:  estrategias para facilitar y promover participación de los estudiantes y profesores en actividades externas vinculadas a la investigación y su difusión. entre ellos, programas de movilidad que aseguren la presentación de resultados en congresos internacionales o pasantías de investigación tanto para investigadores y estudiantes.  estrategias para el desarrollo de alianzas vinculadas a la investigación (y de acuerdo con la naturaleza del programa, articulación con el entorno-sector productivo).  estrategias para la publicación y difusión de los trabajos de investigación, de acuerdo con estándares de imparcialidad y objetividad  estrategias de participación de los estudiantes en proyectos y grupos de investigación. -se incluye el acompañamiento, seguimiento y evaluación permanente desde el inicio del proceso de elaboración de la investigación. e) programas de maestría. -se debe especificar si es maestría de especialización o de investigación.  sobre la maestría de especialización, se orienta hacia la profundización profesional y establece: a) en sus objetivos, la profundización en conocimientos teóricos y/o prácticos en un ámbito profesional; b) el perfil de egreso es consistente con ello.  sobre la maestría de investigación: a) entre sus objetivos académicos, el desarrollo de investigación (articulados al enfoque de investigación de la universidad y sus líneas de investigación) y la formación de investigadores; b) el perfil de egresado debe incluir el desarrollo de competencias en investigación; c) cursos y estrategias vinculados a la formación en competencias de investigación (como participación en actividades de investigación) y malla curricular articulada para generar dichas competencias. -en caso la maestría sea dictada en la modalidad semipresencial o a distancia, esta deberá adecuarse con lo establecido en el inciso a). algunos componentes, arriba descritos, pueden estar en otros documentos que complementen el plan de estudios o plan curricular de cada programa (por ejemplo, certificaciones progresivas, malla curricular). si este es el caso, deben estar organizados y articulados entre sí. en caso los programas cuenten con mecanismos para la certificación progresiva (por ejemplo, por competencias, entre otros) y, posteriormente, el otorgamiento de un grado académico, debe regirse por los requisitos que establece la ley universitaria para dicho nivel (por ejemplo, que los docentes cuenten con el grado requerido para la enseñanza).</t>
  </si>
  <si>
    <t>Planes de estudios o planes curriculares de todos los programas académicos propuestos, con resolución de aprobación por autoridad competente. estos deben incluir, como mínimo, los siguientes componentes: (I) denominación del programa, incluyendo menciones de ser el caso, y objetivos generales. la denominación se avala en referentes académicas nacionales o internacionales y es coherente con la naturaleza del campo de conocimiento al que pertenece. (II) perfil del estudiante y del graduado o egresado. el perfil responde a la justificación del programa. se evidencia que la ruta formativa (cursos-malla curricular) planteada permite el cumplimiento del perfil. (III) modalidad de enseñanza (IV) métodos de enseñanza teórico-prácticos y de evaluación de los estudiantes. se encuentran alineados al modelo educativo. se evidencia que el programa responde a fundamentaciones teóricas y metodológicas, coherentes con el campo profesional, tecnológico o técnico en el que se inserta. se justifica el modo en que los cursos y su organización recogen tales fundamentaciones. (I) malla curricular (II) sumilla de cada asignatura (descripción y justificación referente al perfil o a lo estipulado en el indicador 11), según su contenido teórico o práctico. se precisa: los créditos; si es general, específico o de especialidad; si se dictara en presencial, semipresencial o a distancia; electivo u obligatorio; las horas por semestre o por semana (tanto teóricas como prácticas) y la codificación que utilice cada uno de ellos. además, se señala los resultados de aprendizajes que se esperan adquirir (pudiéndose señalar si estas se logran en conjunto con otros cursos). (III) recursos indispensables para desarrollo de asignaturas (tipo de talleres y laboratorios, de corresponder). (IV) en caso corresponda, exigencia y duración de prácticas preprofesionales. (v) grados y títulos que otorga (v) mecanismos para la enseñanza de un idioma extranjero o lengua nativa según lo establecido en la ley universitaria. (VI) describe las estrategias dentro del currículo para el desarrollo de aprendizajes vinculadas a la investigación. (VI) se presenta la descripción de los procedimientos de consulta tanto internos como externos que se han realizado para elaborar los planes de estudios. en caso se otorgue certificaciones progresivas, además se debe incluir: I) las certificaciones progresivas que otorga el programa, II) se justifica cómo la ruta formativa (cursos, talleres u otros espacios de aprendizaje) conduce al desarrollo de la competencia profesional del módulo y el tipo de proyecto que permitiría evidenciar el desarrollo de tal competencia; III) se cuenta con normativa que defina la ruta y requisitos para la adquisición del certificado. en esta, se define la forma en que se elaborara y sustentará el proyecto que demuestre la competencia alcanzada en caso que contenga menciones, se presenta: I) la justificación de la inclusión de las mismas; II) el perfil específico que se lograrían con esa mención y la ruta formativa para desarrollarlos (cursos, módulos, creditaje).</t>
  </si>
  <si>
    <t>13_3</t>
  </si>
  <si>
    <t>Sobre mv1 y mv2:  ambos medios de verificación deben guardar correspondencia entre sí y con los planes de estudio.  los formatos de licenciamiento 02 y 02.1, según corresponda, deben estar firmados por el representante legal de la universidad o por quien se encuentre autorizado para comparecer al procedimiento de licenciamiento.  la resolución de creación de cada programa debe estar aprobada por autoridad competente según estatuto de la universidad; asimismo, debe detallar la denominación del programa, el grado y título que otorga según nivel de enseñanza, la modalidad de enseñanza y la sede o local donde será impartido.</t>
  </si>
  <si>
    <t>Resolución de creación de todos sus programas académicos, que debe detallar la denominación del programa, el grado y título que otorga según nivel de enseñanza, la modalidad de enseñanza y la sede o local donde será impartido.</t>
  </si>
  <si>
    <t>13_2</t>
  </si>
  <si>
    <t>Formato de licenciamiento 02 donde se declara todos los programas académicos que propone ofrecer la universidad. si la universidad cuenta con segundas especialidades debe presentar, adicionalmente, el formato de licenciamiento 02.1. los formatos deben estar firmados por el representante legal de la universidad.</t>
  </si>
  <si>
    <t>13_1</t>
  </si>
  <si>
    <t>El o los reglamentos deben estar aprobados por autoridad competente.  el o los reglamentos contienen, como mínimo: - requisitos para la admisión por cada modalidad de ingreso y niveles de enseñanza (en caso corresponda). - procedimientos y mecanismos de admisión por modalidad de ingreso y niveles de enseñanza. entre estos procedimientos se debe detallar el sistema de evaluación y criterios a través de los cuales se evaluará a los estudiantes.  el o los reglamentos debe guardar correspondencia con: - los requisitos para la admisión establecidos en el artículo 98 de la ley universitaria - el estatuto de la universidad, - el modelo educativo de la universidad. - otros reglamentos internos  si la universidad cuenta con más de un reglamento de admisión que regulan todos sus procesos, estos deben estar alineados entre sí.  si la universidad cuenta con programas para población adulta deben definirse los criterios específicos de admisión para este tipo de programas, si en caso se diferencian de la admisión a programas regulares.</t>
  </si>
  <si>
    <t>Reglamento de admisión, aprobado por la autoridad competente. establece como mínimo: (I) requisitos para la admisión por modalidad de ingreso y de enseñanza. (II) procedimientos y mecanismos del proceso admisión por modalidad de ingreso y de enseñanza</t>
  </si>
  <si>
    <t>Sistemas de gestión para programas semipresenciales</t>
  </si>
  <si>
    <t>La universidad cuenta con normativa que regula los mecanismos y procesos de selección y admisión de sus estudiantes, a través de concurso público, para sus modalidades de ingreso y niveles de enseñanza, de acuerdo a lo que al respecto estipula la ley universitaria.</t>
  </si>
  <si>
    <t>12_1</t>
  </si>
  <si>
    <t>El documento deberá tener las siguientes consideraciones generales: • el documento o los documentos deben consignar la fecha de su realización que no debe ser mayor a un (1) año previo a la presentación de la solicitud. • está firmado por el responsable de su elaboración (con nombre completo y DNI) y cuenta con la conformidad de la autoridad competente. • el documento debe contener el citado de las fuentes bibliográficas según el tipo de documento (estudio, informe, artículo de investigación, etc.), consignando las referencias a pie de página. se recomienda utilizar las normas apa. las fuentes bibliográficas utilizadas para el o los estudios deben tener contenidos vigentes respecto a la temática que se aborda. • adicionalmente, se debe adjuntar los insumos utilizados para las estimaciones, así como las tablas estadísticas empleadas. se debe enviar la información en físico y versión digital (en pdf y versión editable, ms word y/o excel), para cada uno de los nuevos programas de estudio. • el documento debe incluir sobre los estudios: la metodología de selección de la muestra, del recojo de información, la fecha de realización y los datos estadísticos utilizados. la identificación de la muestra debe explicitar también el nivel de significancia, el error muestral y su grado de representatividad. • el documento debe basarse en criterios factibles y razonables, así como establecer y justificar los supuestos que se han tenido en consideración para delimitar los distintos elementos a nivel histórico, presente y para las proyecciones. • la información o datos que se utilicen pueden referirse al período de hasta dos (2) años previos a la presentación de la solicitud con proyecciones a futuro cuando ya empiece a funcionar el programa (los años de la proyección variará según el nivel del programa, así como los años de estudio (ver consideraciones específicas, más abajo, después de las consideraciones para todos los programas) • se presentan los instrumentos utilizados para recoger fuentes primarias, como encuestas o entrevistas, entre otros. • los estudios realizados deben guardar correspondencia con el modelo educativo y otros documentos institucionales según corresponda. además, los estudios deben estar articulados a las propuestas curriculares de los programas académicos que sustentan. • para universidades con licencia denegada: para el caso de los programas que corresponden a la oferta que fue evaluada en la resolución de denegatoria y que la universidad presenta como oferta al actual proceso de licenciamiento, se evidencia, a partir de las distintas exigencias establecidas para el indicador, la pertinencia y relevancia de mantener dicha oferta. por lo que se incluyen también información estadística sobre la situación de los egresados del programa y su situación laboral, que permita el contraste con la información presentada. consideraciones para todos los programas: • el o los documentos sustentan de manera cuantitativa y cualitativa la creación de cada programa de estudio que propone ofrecer la universidad. • en este se determina, caracteriza y justifica el ámbito de influencia del programa de estudios7. dicho ámbito delimita los demás contenidos del estudio. en caso el ámbito sea regional o local, se establece las características geográficas y de la población. • contiene(n) como mínimo lo siguiente (que se especificarán de acuerdo con el área o áreas del conocimiento del programa-inei 2018 o documento vigente8 , así como el nivel de estudio correspondientes-ver consideraciones específicas más abajo): I. contenido I: se identifica la(s) problemática(s) o necesidad del ámbito de influencia. se vincula de forma concreta con factores económicos, productivos, sociales y tecnológicos (entre otros), los cuales están asociados con el tipo de programa. se desarrolla cómo el perfil del egresado hace frente a dicha problemática o necesidad. de corresponder, por el tipo de orientación del programa el análisis se basa en lo siguiente: a) para establecer la necesidad social del ámbito de influencia, se utiliza indicadores sociales (pobreza, acceso a servicios básicos, entre otros) así como objetivos y acciones relevantes establecidos en planes nacionales, regionales u otros. todo ello en relación con la futura oferta del programa. b) para establecer las necesidades productivas vinculadas al programa, se describe y analiza la estructura productiva enmarcada en el ámbito de influencia, se usan la evolución de indicadores económicos vinculadas a la oferta (producción, empleo, productividad), potencialidades del ámbito, y megaproyectos de inversión de corto y mediano plazo, entre otros. II. contenido II: identificación de espacios laborales (actual y futura con proyecciones como mínimo al año de egreso de la primera promoción del programa) pertinente al perfil del egreso del programa. a) se identifica la demanda laboral: es decir, los espacios en potencia (actual y futura) donde los egresados de cada programa podrían laborar, que permitan asegurar condiciones de empleo adecuado9, acorde al nivel educativo. b) se identifica la oferta laboral: tomando en cuenta a los profesionales existentes (que se encuentran trabajando o que podrían trabajar), así como los futuros egresados de otras universidades vinculados al perfil del programa, que formarían parte de la oferta laboral futura. esto último es consistente con la identificación del contenido III. c) se enlista, en función de la naturaleza del programa de estudio, actores estratégicos (las instituciones públicas y/o privadas) que requerirán los futuros egresados del mismo. se identifica las demandas o necesidades de esos actores respecto a un perfil de profesional determinado. se evidencia cómo el perfil de egreso del programa responde al perfil demandado, así como a la problemática o necesidad identificada en el contenido II. la universidad desarrolla un análisis y sustenta la consistencia entre el perfil de estudio y la propuesta académica del programa de estudios. III. contenido III: identificación de las necesidades educativas sobre la propuesta: a) identificar la demanda educativa, a partir de la población que estaría interesada en cursar el programa de estudios, teniendo en cuenta no solo la preferencia por el programa en general, sino las características del servicio (costo de las pensiones, modalidad, entre otros)10. b) identificar la oferta formativa afín, sustentando cómo la propuesta de la universidad se diferencia de estas o atiende una demanda específica desde sus objetivos y perfil del egresado. c) se desarrollan los criterios para la determinación de vacantes. esta sección debe concluir con un balance de la demanda educativa, evidenciando o sustentando la necesidad del programa de estudios a crear. IV. contenido IV: se justifica cómo la propuesta académica se vincula con instituciones o tendencias referentes en el ámbito nacional e internacional. a) se presenta los criterios de selección de estos referentes, así como se demuestra la relevancia de estos en su propio contexto. b) se desarrollan las semejanzas y diferencias con dichos referentes. consideraciones específicas para los siguientes tipos de programas (estas consideraciones se tienen en cuenta adicionalmente a lo ya previamente establecido de forma general en los contenidos. ello en tanto son precisiones o elementos adicionales para considerar a lo establecido en formal general. en donde, no se agregue algo respecto a un contenido, se entiende que aplica lo general solamente): a. programas de pregrado (proyección mínima tanto para el ámbito educativo como laboral de 5 años): a.1. para los programas de las áreas11 (salvo vinculados a los programas nacionales transversales del cti y con orientación a la investigación, que se especifican en a.2)12:  ciencias administrativas y derecho;  ciencias sociales, periodismo e información;  ingeniería, industria y construcción;  salud y bienestar;  servicios;  tecnologías de la información y la comunicación;  educación  contenido I: se considera mínimamente lo requerido para identificar necesidades productivas.  contenido II: se evidencia de manera, mínimamente, cuantitativa que existe demanda no satisfecha en número suficiente para los egresados del programa.  contenido III: de manera cuantitativa mínimamente: - se estima la cantidad de interesados por el programa que serían atendidos por programas afines de otras instituciones de educación superior (universitaria y/o no universitaria), teniendo en cuenta el número de vacantes que ofrecen. - se evidencia que hay una demanda no cubierta (actual y futura, con proyecciones como mínimo al año de egreso de la primera promoción del programa) o las razones por las cuales se preferiría el programa frente a las otras alternativas. - se determinan las vacantes en función a: la capacidad institucional, la demanda educativa insatisfecha o que elegiría el programa, la capacidad del mercado laboral para absorber a los egresados del programa con empleo adecuado, así como otras razones académicas. asimismo, se determina la ratio de postulantes/ vacantes proyectada. a.2. para los programas de las áreas13:  artes y humanidades  ciencias naturales, matemáticas y estadística  programas interdisciplinarios (comprenden de dos a más áreas) o transdisciplinarios (caracteriza las áreas14).  vinculados a los programas nacionales transversales del cti y con orientación a la investigación15  contenido I: la problemática también puede ser académica, científica o artística. se justifica la necesidad del programa frente a la problemática o política. se evidencia que los objetivos del programa y el perfil del egresado contribuyen para hacer frente o responden a dicha problemática o contextos. se desarrolla el aporte académico, científico o cultural que tendrá el programa.  contenido II: se evidencia de manera, mínimamente, cuantitativa la existencia de espacios para la colocación laboral de los egresados del programa (espacios académicos, de investigación, de ciencia o culturales, entre otros).  contenido III: se estima la cantidad de estudiantes que requeriría el programa para poder funcionar; sustentando las razones de índole académica u operativa para ello. en los indicadores 4 y/o 5 se sustenta cómo con dicha cantidad de estudiantes esperados sería sostenible el programa en el tiempo16.  contenido IV: se desarrolla cómo el programa ha incorporado en sus cursos, perfil u objetivos académicos la vinculación con los referentes. programas de maestría y de segunda especialidad (proyección mínima tanto para el ámbito educativo como laboral de 3 años): b.1. para los programas de las áreas (salvo vinculados a los programas nacionales transversales del cti y con orientación a la investigación, especificados en b.2):  ciencias administrativas y derecho;  ciencias sociales, periodismo e información;  ingeniería, industria y construcción;  salud y bienestar;  servicios;  tecnologías de la información y la comunicación;  educación  contenido I: se evidencia de manera, mínimamente, cuantitativa que existe una necesidad del perfil del egresado del programa para hacer frente a la problemática o responder a una política.  contenido II: se evidencia de manera, mínimamente, cuantitativa que existe una necesidad en el mercado laboral de un perfil altamente especializado (para segunda especialidad o para maestría), vinculado al perfil del egresado del programa. se detalla el valor agregado del programa para la trayectoria profesional de los que cursaría el programa.  contenido III: se detalla el valor diferencial del programa frente a la oferta existente o su propuesta de valor. b.2. para los programas de las áreas:  artes y humanidades,  ciencias naturales, matemáticas y estadística.  maestrías de investigación.  programas interdisciplinarios (comprenden de dos a más áreas) o transdisciplinarios (desdibujan las áreas17).  vinculados a los programas nacionales transversales del cti y con orientación a la investigación18  contenido I: la problemática también puede ser académica, científica o artística. se justifica la necesidad o relevancia de un perfil especializado o altamente especializado para hacer frente a la problemática o política. se evidencia que los objetivos del programa y el perfil del egresado contribuyen a hacer frente o responden a dicha problemática o contextos. se desarrolla el aporte académico, científico o cultural que tendrá el programa.  contenido II: se evidencia de manera, mínimamente, cualitativa que existen espacios laborales (académicos, de investigación, de ciencia, culturales, entre otros) donde hay necesidad o relevancia de un perfil altamente especializado (para segunda especialidad o para maestría), vinculado al perfil del egresado del programa. se detalla el valor agregado del programa para la trayectoria profesional, académica, científica o artística de los que cursaría el programa.  contenido III: se detalla el valor diferencial del programa frente a la oferta existente. se estima la cantidad de estudiantes que requeriría el programa para poder funcionar; sustentando las razones de índole académica u operativa para ello. en los indicadores 4 y/o 5 se sustenta cómo con dicha cantidad de estudiantes esperados sería sostenible el programa en el tiempo.  contenido IV: se desarrolla cómo el programa ha incorporado en sus cursos, perfil u objetivos académicos la vinculación con los mismos. c. programas de doctorado (proyección mínima para el ámbito educativo de 3 años):  contenido I: establece la necesidad del programa en relación con la necesidad de desarrollar o profundizar la capacidad de investigación en un área del conocimiento (ya sea como respuesta a un objetivo de la universidad o una necesidad externa social y/o productiva o en base a un proyecto de investigación); o la necesidad de desarrollar o ampliar la capacidad para la investigación (formación de investigadores).  contenido II: se evidencia de manera, mínimamente, cualitativa que existen espacios laborales (académicos, de investigación, de ciencia, culturales, entre otros) donde hay necesidad o relevancia del perfil del programa.  contenido III: se determinan las vacantes en función a también la capacidad para asesorar en trabajos de investigación, insertarse en los grupos de investigación existentes, proyectos disponibles, entre otros. se estima la cantidad de estudiantes que requeriría el programa para poder funcionar; sustentando las razones de índole académica u operativa para ello. en los indicadores 4 y/o 5 se sustenta cómo con la proyección de estudiantes esperados sería sostenible el programa en el tiempo.  contenido IV: se desarrolla cómo el programa ha incorporado en sus cursos, perfil u objetivos académicos la vinculación las instituciones o tendencias referentes en el ámbito nacional e internacional.  se evidencia que el programa responde a una línea o área de investigación consolidada de la universidad con experiencias y resultados que puedan dar soporte a las necesidades formativas del programa (vinculación con el indicador 24). d) para los programas con modalidad semipresencial y a distancia:  además de las consideraciones específicas según el nivel del programa y áreas, se justifica la relevancia de la modalidad para los diversos componentes, así como su pertinencia respecto a la infraestructura digital del área de influencia y los fines del programa.</t>
  </si>
  <si>
    <t>Garantizar la conveniencia y pertinencia de la oferta propuesta con las políticas regionales, nacionales e internacionales (como los objetivos del desarrollo sostenible y la promoción de los derechos humanos) de educación universitaria. asimismo, garantizar la vinculación de la oferta educativa propuesta con la demanda laboral, social, cultural o con fines académicos.</t>
  </si>
  <si>
    <t>Estudios que cuenten con una base teórica y metodología verificable y con datos provenientes de fuentes primarias o secundarias. deben tener, como mínimo, el siguiente contenido: (I) estudio de demanda laboral (potencial e insatisfecha) (II) estudio de oferta formativa similar existente en el área de influencia. para ello, presenta previamente una justificación sobre la determinación de su área de influencia. (III) justificación de la pertinencia social y cultural de la propuesta (o pertinencia con las políticas nacionales, internacionales o regionales). (IV) justificación sobre la existencia de referentes en el ámbito nacional e internacional en torno a la propuesta académica. (v) de ser el caso, pertinencia de la modalidad semi-presencial de acuerdo a la infraestructura digital del área de influencia y los fines del programa.</t>
  </si>
  <si>
    <t>Sistema de aprendizaje virtual con funciones mínimas</t>
  </si>
  <si>
    <t>La oferta académica propuesta por la universidad se encuentra fundamentada sobre la base de estudios empíricos —oficiales, confiables y verificables— y teóricos, que justifican su pertinencia económica, social, cultural o académica en el área de influencia.</t>
  </si>
  <si>
    <t>III.1 Justificación de la oferta propuesta</t>
  </si>
  <si>
    <t>11_1</t>
  </si>
  <si>
    <t> el informe presenta el cumplimiento de las obligaciones del proceso de cese de actividades.  en el caso de que la información hubiera sido presentada a la dirección de supervisión, se deberá de proporcionar a la dilic, datos precisos que permitan la identificación del documento presentado, como: denominación, fecha de entrega o número del registro de trámite documentario asignado, si fuera el caso.  la dilic evaluará el informe en coordinación con la disup.  el cumplimiento de las obligaciones se mantiene durante todo el proceso de licenciamiento. lo cual será corroborado en coordinación con la disup, en el marco de sus funciones.  el informe de cumplimiento se evalúa en consistencia con la información presentada en los indicadores 3,4, 6, 7, 11,13, 15, 17, 19 y 29, de acuerdo apliquen.</t>
  </si>
  <si>
    <t>Se busca garantizar que quienes conduzcan la universidad tengan la idoneidad para hacerlo. así, se promueve que se cuente con autoridades con calificación académica de excelencia, experiencia en el ámbito universitario, reconocido prestigio y de conducta intachable públicamente reconocida. asimismo, que la toma de deci siones se base en un marco que tenga en cuenta los intereses de todos los diversos actores que conforman la universidad y que asegure el cumplimiento de la ley universitaria. ello lleva a que haya legitimidad y confianza en la comunidad universitaria para el desarrollo de los fines de la universidad, evitando con ello que el servicio educativo se desvirtúe.</t>
  </si>
  <si>
    <t>Un informe de cumplimiento de las obligaciones de cese de actividades que, como mínimo, contiene la información señalada en el anexo n° 02. si la información ya fue presentada a la dirección de supervisión (disup), se debe entregar cargos de dicha presentación.</t>
  </si>
  <si>
    <t>Responsables de organización académica por programa</t>
  </si>
  <si>
    <t>La universidad ha cumplido con las obligaciones a las que se refiere el reglamento cese de actividades de universidades y escuelas de posgrado, aprobado por resolución de consejo directivo n° 111-2018-SUNEDU/cd. públicas y privadas a las cuales se le denegó o canceló la licencia institucional</t>
  </si>
  <si>
    <t>II.3 Gobierno universitario</t>
  </si>
  <si>
    <t>Gobierno universitario</t>
  </si>
  <si>
    <t>II: constitución, gobierno y gestión de la universidad</t>
  </si>
  <si>
    <t>II</t>
  </si>
  <si>
    <t>10_1</t>
  </si>
  <si>
    <t>Debe estar aprobado por autoridad competente. las materias de la política, plan o código de buen gobierno, debe considerar como mínimo lo siguiente: - principios, valores, comportamiento ético y manejo de conflicto de intereses: define los principios, valores y el comportamiento que toda la comunidad universitaria se compromete a respetar, aplicar y promover. asimismo, define las situaciones que pueden representar conflictos de interés para los miembros de la comunidad universitaria y afectar o perjudicar el ejercicio objetivo e imparcial de funciones. además, detalla cómo, a través de sus órganos de gobierno, responde a dicho conflicto, estableciendo los mecanismos de prevención que existen para evitar un conflicto de interés y qué mecanismos de respuesta tiene cuando se ha detectado un conflicto de interés. - control interno y gestión de riesgos: el sistema de control interno se sostiene en los órganos de gobierno de la universidad, y sus funciones y atribuciones se encuentran definidas en la normativa institucional. además, se evidencia un área/órgano responsable del control interno (en el caso de las universidades públicas será la oficina de control interno y se rige por la normativa de la contraloría general de la república) cuyas responsabilidades y funciones se encuentran formalizadas a través de determinados documentos o reglamentos. respecto a la administración de riesgos, se establece un mapa de los riesgos más relevantes para su funcionamiento regular; así como sus respectivas herramientas de seguimiento, evaluación y gestión de dichos riesgos. - relacionamiento con la comunidad universitaria: definida en relación con lo siguiente: I) mecanismos para recoger la opinión o percepción de la comunidad universitaria respecto de las actividades y políticas de la universidad; II) la orientación de desarrollar medios de comunicación efectiva con la comunidad; III) compromiso a la rendición de cuentas de forma regular y extensiva a las distintas instancias de gobierno de la universidad. - transparencia universitaria: promueve el libre acceso a información confiable y oportuna que facilita la rendición de cuentas, la toma de decisiones por parte de la comunidad universitaria y los elementos señalados en el indicador 29. se identifica las instancias que participan en el proceso de reporte, recolección, procesamiento y difusión de la información institucional. - mecanismos o procedimientos de atención de denuncias: la universidad define los canales formales a través de los cuáles los miembros de la comunidad universitaria pueden formular sus denuncias. el procedimiento disciplinario de docentes, administrativos y estudiantes se encuentra debidamente establecido en la normativa institucional, donde se define y delimita los actos considerados irregulares y pasibles de sanción. se cuenta con canales de denuncia claros, transparentes y de conocimiento de todos los grupos de interés y el público en general, los mismos que dan a conocer la instancia competente determinada por la universidad.</t>
  </si>
  <si>
    <t>Política, plan o código de buen gobierno que define la actuación de los órganos de gobierno en las siguientes materias: (I) principios, valores, comportamiento ético y manejo de conflicto de intereses. (II) control interno y gestión de riesgos. (III) relacionamiento con la comunidad universitaria. (IV) transparencia universitaria. (v) mecanismos o procedimientos de atención de denuncias de actos irregulares, de corrupción y de hostigamiento sexual, de acuerdo con la normativa vigente.</t>
  </si>
  <si>
    <t>Área de seguimiento y mejora de enseñanza no presencial</t>
  </si>
  <si>
    <t>La universidad cuenta con políticas, mecanismos y procedimientos que definen y regulan la actuación de los integrantes de los órganos de gobierno.</t>
  </si>
  <si>
    <t>9_1</t>
  </si>
  <si>
    <t> en el caso de las universidades públicas, la declaración jurada deberá cumplir con lo dispuesto en el decreto de urgencia n° 020-2019 y su respectivo reglamento, aprobado por decreto supremo n° 091-2020-PCM, y demás normativa pertinente.  en el caso de las universidades privadas, la declaración jurada deberá contener de manera expresa la declaratoria de no tener intereses económicos, financieros, profesionales, empresariales u otros que pudieran interferir en el ejercicio de sus funciones o en la toma de decisiones propias de su condición.</t>
  </si>
  <si>
    <t>Declaración jurada de intereses de los miembros que participan del gobierno de la universidad, de forma que se evidencie en caso tengan intereses económicos, financieros, profesionales, empresariales u otros que pudieran interferir en el ejercicio de sus funciones o en la toma de las decisiones propias de su condición.</t>
  </si>
  <si>
    <t>Programas de capacitación docente para entornos no presenciales</t>
  </si>
  <si>
    <t>La universidad cuenta con autoridades e integrantes idóneos para el ejercicio de sus funciones.</t>
  </si>
  <si>
    <t>8_2</t>
  </si>
  <si>
    <t> la dirección de licenciamiento contrastará la información declarada por la universidad través de los mecanismos de interoperabilidad de las entidades de la administración pública correspondientes, para verificar que los miembros del gobierno de la universidad no se encuentran inscritos en el redereci y redam, no han sido condenados por delito doloso con sentencia de autoridad de cosa juzgada, no haber sido condenado o estar procesado por los delitos a los que se refiere la ley n° 29988 y sus modificatorias</t>
  </si>
  <si>
    <t>Declaración jurada de los miembros que participan del gobierno de la universidad de no encontrarse inscrito en el redereci, redam, no haber sido condenado por delito doloso con sentencia de autoridad de cosa juzgada, no haber sido condenado o estar procesado por los delitos a los que se refiere la ley n° 29988 y sus modificatorias.</t>
  </si>
  <si>
    <t>8_1</t>
  </si>
  <si>
    <t> debe estar aprobado por autoridad competente.  puede hacer referencia a préstamos a accionistas, política de gestión de cuentas por cobrar comerciales y a terceros, entre otros. otra información que puede proporcionar la política de gestión financiera es: distribución de dividendos, préstamos al personal, provisión de cobranza dudosa.  el informe o reporte de ejecución de la política de gestión financiera debe incluir todos los años de vida institucional.  la política de gestión financiera y su ejecución distingue información por sede y filial, en caso corresponda.</t>
  </si>
  <si>
    <t>Garantizar que la universidad cuente con la capacidad de realizar inversiones y gastos significativos para licenciarse, mantener y mejorar las condiciones básicas de calidad. asimismo, que la universidad prevea una adecuada dotación de recursos (humanos, financieros o materiales) para la realización de acciones a mediano y largo plazo que aseguren la continuidad del servicio educativo superior universitario.</t>
  </si>
  <si>
    <t>Documento que detalla la política de gestión financiera de la universidad como préstamos a accionistas, política de gestión de cuentas por cobrar comerciales y a terceros, entre otros, así como evidencia de la ejecución de las mismas.</t>
  </si>
  <si>
    <t>Mecanismos de evaluación docente para entornos no presenciales</t>
  </si>
  <si>
    <t>La universidad cuenta con herramientas de gestión financiera e información histórica del balance general, estado de ganancias y pérdidas, estado de cambio en el patrimonio neto, y estado de flujos de efectivo. este indicador aplica solo para universidades con, por lo menos, un año de funcionamiento. solo privadas</t>
  </si>
  <si>
    <t>II.2 Financiamiento y sostenibilidad</t>
  </si>
  <si>
    <t>7_3</t>
  </si>
  <si>
    <t> el informe o reporte presenta evidencia de estar auditado. de lo contrario, están firmados por el gerente financiero o autoridad equivalente de la universidad.  los informes deben distinguir información por sede y filial, en caso corresponda.  se evidencia la historia de ejecución hasta cuatro (4) años antes (de acuerdo con los años de funcionamiento), o en el caso de una universidad con licencia denegada (debe presentarse la información de los tres (3) años previos). esta información debe evidenciar el cambio en los niveles de ejecución y calidad de gasto en virtud del cumplimiento de las condiciones básicas de calidad.  para el caso de universidades con licencia denegada, se acompaña con un análisis sobre la situación financiera anterior, los cambios adoptados con miras a la sostenibilidad y las estrategias adoptadas hacia futuro.  con relación al mv2, la información de número de estudiantes y tarifas aplica al caso de universidades con licencia denegada.</t>
  </si>
  <si>
    <t>Informe o reporte que contenga información sobre la planilla docente y administrativa; el número tanto de docentes como administrativos; número de estudiantes y las tarifas de hasta los últimos cuatro (4) años.</t>
  </si>
  <si>
    <t>7_2</t>
  </si>
  <si>
    <t>Informe o reporte que contenga información histórica del balance general, estado de ganancias y pérdidas, estado de cambio en el patrimonio neto, estado de flujos de efectivo.</t>
  </si>
  <si>
    <t>7_1</t>
  </si>
  <si>
    <t> el formato de licenciamiento debe estar firmado por el representante legal de la universidad.  debe guardar correspondencia con el presupuesto institucional presentado por la universidad como medio de verificación.  debe guardar correspondencia con el poi anual institucional.  en caso la universidad tenga filial(es), debe presentar el formato de licenciamiento para cada una de estas.</t>
  </si>
  <si>
    <t>Formato de licenciamiento 01 que contiene presupuesto por condiciones básicas de calidad (por sede y filial si corresponde).</t>
  </si>
  <si>
    <t>Docentes calificados para modalidad semipresencial (2 primeros años)</t>
  </si>
  <si>
    <t>La universidad cuenta con información del estado de resultados y el estado de situación financiera proyectados en un escenario conservador y con presupuesto a seis (06) años. asimismo, la universidad debe contar con la herramienta que permita garantizar el destino de recursos financieros al servicio educativo. solo privadas</t>
  </si>
  <si>
    <t>6_4</t>
  </si>
  <si>
    <t> el presupuesto deberá ser presentado en concordancia con el pei de la universidad y ser consistente con el presupuesto institucional. debe detallar, además, fuente de financiamiento (recursos propios o crédito, más el detalle y evidencia correspondiente).  dicho presupuesto debe ser consistente con los gastos operativos de la proyección del estado de resultados.  para el caso de universidades con licencia denegada, se incluye presupuesto para el cumplimiento de las obligaciones de cese.</t>
  </si>
  <si>
    <t>Presupuesto de operación por seis (06) años con fuentes de financiamiento por actividad a realizar. considere los siguientes ítems: programas académicos, investigación e infraestructura, así como datos que sirvan como evidencias de su cumplimiento en el futuro.</t>
  </si>
  <si>
    <t>6_3</t>
  </si>
  <si>
    <t> el presupuesto está expresado en moneda nacional y está aprobado por autoridad competente.  el presupuesto debe presentarse de forma institucional y por programa académico e incluye como mínimo lo siguiente: presupuesto de planilla de docentes, planilla administrativa, investigación, infraestructura física y tecnológica, mantenimiento, bienestar estudiantil y responsabilidad social universitaria.  el presupuesto distingue los conceptos por sede y filial, en caso corresponda.  el presupuesto guarda correspondencia con el poi anual, el poi multianual y el pei institucional.  se evidencia que se destina anualmente el 2% de los ingresos a la responsabilidad social universitaria. dicho monto no incorpora el gasto correspondiente al personal del área.</t>
  </si>
  <si>
    <t>Presupuesto institucional detallado formulado para los próximo seis (06) años, aprobado por la autoridad competente. se evidencia que se destina el 2% de los ingresos a la RSU en todos los años. el presupuesto debe realizarse por programa académico y debe incluir como mínimo el siguiente detalle: presupuesto de planilla de docentes, planilla administrativa, investigación, infraestructura física y tecnológica, mantenimiento, bienestar estudiantil y responsabilidad social universitaria.</t>
  </si>
  <si>
    <t>6_2</t>
  </si>
  <si>
    <t>Incluye el sustento de las proyecciones ingresos y gastos teniendo en cuenta lo siguiente: - para ingresos: se señalan los supuestos para calcular la estimación de estudiantes y las tasas de deserción. - para gastos: se fundamenta la factibilidad de la estrategia para lograr los gastos. se evidencia que se mantiene niveles similares o mejores respecto al gasto por estudiante conforme transcurren los años.</t>
  </si>
  <si>
    <t>Estado de resultados y de situación financiera con información proyectada en un escenario conservador por un periodo de seis (06) años. el documento debe incluir, como anexo, el sustento de ingresos y gastos y el sustento técnico de la proyección, que incluya la estimación de estudiantes, tarifas, tasa de deserción y la estrategia que llevará a cabo para lograr los gastos proyectados.</t>
  </si>
  <si>
    <t>6_1</t>
  </si>
  <si>
    <t> el plan de financiamiento está expresado en moneda nacional, está aprobado por autoridad competente y debe estar proyectado a seis (6) años. debe incluir todas las variables para la puesta en marcha de la universidad (asegurándose que se cuente con lo necesario para garantizar el funcionamiento para los dos primeros años). así debe incluir flujos de caja operacionales, es decir, el efectivo recibido o gastado como resultado de las actividades principales de la universidad. está compuesto por: - flujo de ingresos (pensiones, matrículas y otros ingresos). - flujo de egresos (gastos tales como remuneraciones, compra de materiales y suministros, contratación de servicios de terceros, suscripciones, gastos generados por proyectos de investigación, pago de intereses por deudas, etc.). - flujo económico (la diferencia entre el flujo de ingresos y el de egresos). - flujo de inversión (efectivo gastado como producto de gastos de capital tales como compra de material bibliográfico, inversiones generadas por proyectos de investigación, maquinaria y equipos, vehículos, bienes muebles o inmuebles y otras inversiones y adquisiciones). - flujo de financiamiento (efectivo recibido o gastado como resultado de actividades financieras, tales como la recepción o el pago de préstamos, aportes de promotores o de centros empresariales o de producción, donaciones, etc.). - saldo de flujo de caja (es la diferencia entre el flujo económico, el flujo de inversión y el flujo de financiamiento). - supuestos que sustentan la proyección de los ingresos (cantidad de estudiantes, tasa de matrícula, tasa de deserción, población docente, entre otros).  el plan debe comprender, además, las acciones que se llevarán a cabo para lograr la implementación progresiva de la universidad. así, debe contener como mínimo: actividades con cronograma (con una duración mínima de un año), responsables, metas e indicadores, presupuesto, acciones de evaluación (monitoreo y seguimiento).</t>
  </si>
  <si>
    <t>Plan de financiamiento proyectado por los seis (06) años.</t>
  </si>
  <si>
    <t>Normativa de roles y perfiles docentes semipresencial</t>
  </si>
  <si>
    <t>La universidad cuenta con presupuesto inicial de inversión con información proyectada y presupuesto a seis (06) años y los aportes de capital necesarios para el inicio de sus operaciones. solo privadas</t>
  </si>
  <si>
    <t>5_3</t>
  </si>
  <si>
    <t> la declaración jurada, firmada por la autoridad competente de acuerdo con el estatuto, debe avalar los fondos recibidos en todo el tiempo de vida institucional de la universidad, manifestando que los fondos asignados para el ejercicio de la actividad educativa en general provienen de actividades lícitas.</t>
  </si>
  <si>
    <t>Declaración jurada de origen de fondos realizada por los aportantes.</t>
  </si>
  <si>
    <t>5_2</t>
  </si>
  <si>
    <t> el plan consiste en presentar un flujo de inversiones que realizará en mobiliario, infraestructura, softwares para un periodo de (6) años, debe indicar en el año 0 las correspondientes a la puesta en marcha (la misma que supone garantizar el funcionamiento para los dos primeros años). las inversiones realizadas a partir del año 1 son para el mantenimiento y mejoramiento del servicio educativo. dicho flujo debe IR acompañado de unas premisas explicativas.</t>
  </si>
  <si>
    <t>Plan de inversión que incluya el presupuesto de inversión inicial correspondiente al año 0, necesaria para dar inicio a las operaciones, además debe incluir el presupuesto de inversiones proyectadas por un periodo de seis (06) años.</t>
  </si>
  <si>
    <t>5_1</t>
  </si>
  <si>
    <t> el presupuesto está expresado en moneda nacional y está aprobado por la autoridad competente.  el presupuesto se presenta de manera institucional y por programa académico e incluye como mínimo lo siguiente: presupuesto de planilla de docentes (especificando tiempo completo, tiempo parcial y dedicación exclusiva), planilla administrativa, investigación, infraestructura física y tecnológica, mantenimiento, bienestar estudiantil y responsabilidad social universitaria. debe responder a la estructura funcional programática y su correspondiente cadena de gastos hasta el nivel de específica, por toda y por cada fuente de financiamiento.  el presupuesto distingue los conceptos por sede y filial, en caso corresponda.  el presupuesto programado y ejecutado guarda correspondencia con el poi anual, el poi multianual y el pei institucional.  sobre la ejecución del presupuesto, se evidencia la historia de ejecución presupuestal para los tres (3) años previos o de acuerdo con los años de funcionamiento de la institución (para el caso de las universidades nuevas). en el caso de las universidades con licencia denegada, debe presentarse la información de los tres (3) años previos de ejecución y, en caso la denegatoria de licencia haya sido anterior a los tres (3) años previos de ejecución, puede presentar la ejecución del presupuesto que evidencia el gasto orientado a la mejora de la calidad y cierre de brechas de las condiciones básicas de calidad, así como su mantenimiento en caso corresponda. esta información debe evidenciar el cambio en los niveles de ejecución y calidad de gasto en virtud del cumplimiento de las condiciones básicas de calidad (debe responder a la estructura funcional programática y su correspondiente cadena de gastos hasta el nivel de específica, por toda y por cada fuente de financiamiento). se verificará través de la consulta al sistema de ejecución (siaf).  se evidencia que se destina anualmente el 2% del presupuesto a la responsabilidad social universitaria. dicho monto puede, en caso le sea aplicable, corresponder a las acciones y/o mecanismos comprendidos en la resolución del consejo directivo n° 082-2019-SUNEDU-cd. el monto no incorpora el gasto correspondiente al personal del área.  para el caso de universidades con licencia denegada, se incluye presupuesto para el cumplimiento de las obligaciones de cese.</t>
  </si>
  <si>
    <t>Presupuesto institucional detallado, elaborado acorde a la normativa de los sistemas administrativos del estado, incluir como mínimo el siguiente detalle: presupuesto de planilla de docentes, planilla administrativa, investigación, infraestructura física y tecnológica, mantenimiento, bienestar estudiantil y responsabilidad social universitaria. así mismo, debe presentar la ejecución del mismo tanto de los tres (03) años previos a la solicitud y del año corriente.</t>
  </si>
  <si>
    <t>Documentos de planificación del proceso formativo</t>
  </si>
  <si>
    <t>La universidad tiene un presupuesto elaborado en concordancia con la normativa vigente del sistema del estado y en el marco del proceso de la programación multianual. asimismo, cuenta con reportes de ejecución, que incluyen aspectos de investigación, responsabilidad social universitaria, priorización y eficiencia de gasto. solo públicas</t>
  </si>
  <si>
    <t>4_1</t>
  </si>
  <si>
    <t> el documento está aprobado por autoridad competente.  el documento establece los puestos de la universidad y su valorización; además, demuestra que cuenta con presupuesto asignado y comprometido para cada puesto.  el documento está alineado al rof de la universidad.  en caso la universidad tenga filial(es), los documentos demuestran cómo se articulan, organizan o coordinan las funciones y perfiles.  cuenta con la aprobación de servir y viabilidad económica emitida por el MEF, ajustándose a la normativa vigente sobre ello.  cuando el mv12 hace mención a “documento que haga sus veces”, se debe de entender por tal, el cuadro de asignación de personal-cap, debidamente aprobado y vigente.</t>
  </si>
  <si>
    <t>Garantizar autonomía normativa, de gobierno, académica, administrativa y económica de la universidad. garantizar que la universidad cuente con una estructura orgánica que permita una adecuada gestión al servicio de lo académico, diseñada a partir de los fines que se buscan alcanzar y la normativa vigente. combina la centralización y la descentralización, evitando el riesgo de ser burocrática. asimismo, cuenta con procesos definidos y con mecanismos de evaluación y mejora continua.</t>
  </si>
  <si>
    <t>Cuadro de puestos de la entidad (cpe), o documento que haga sus veces, que establece los puestos, la valorización de estos y el presupuesto asignado a cada uno. solo públicas</t>
  </si>
  <si>
    <t>MV12</t>
  </si>
  <si>
    <t>Programas fundamentados en estudios de pertinencia</t>
  </si>
  <si>
    <t>La universidad cuenta con documentos normativos, de gestión y planificación institucional que definen: (I) su estructura orgánica, (II) las funciones generales y específicas de todos sus órganos, (III) los perfiles de los puestos vinculados, (IV) las relaciones de dependencia y coordinación entre sus distintas instancias, (v) orientan sus acciones y recursos para la implementación, seguimiento, evaluación y logro de sus objetivos institucionales.</t>
  </si>
  <si>
    <t>II.1 Constitución, estructura orgánica y gestión</t>
  </si>
  <si>
    <t>3_12</t>
  </si>
  <si>
    <t> el documento es de carácter institucional, se encuentra vigente y está aprobado por la autoridad competente.  se sigue las disposiciones de los “lineamientos para la formulación del reglamento de organización y funciones – rof de las universidades públicas”, aprobado por resolución ministerial n° 588-2019-MINEDU y sus normas sustitutorias o modificatorias.  el o los documentos delimitan todas las funciones y perfiles de puestos con los que cuenta la universidad, o como mínimo los perfiles de los responsables de todas instancias vinculadas a la gestión y a la actividad académica de la universidad: gobierno universitario, gestión de la calidad y mejora continua, gestión de la investigación, responsabilidad social universitaria, bienestar, inserción laboral, transparencia y gestión de la información</t>
  </si>
  <si>
    <t>Reglamento de organización y funciones, aprobado(s) por la autoridad competente, de acuerdo a los “lineamientos para la formulación del reglamento de organización y funciones – rof de las universidades públicas”, aprobado por resolución ministerial n° 588-2019-MINEDU y sus normas sustitutorias o modificatorias. documento(s) donde se indique el perfil de todos los puestos y cargos. mínimamente se encuentran los perfiles de los responsables de los procesos vinculados a los componentes de las CBC. solo públicas</t>
  </si>
  <si>
    <t>MV11</t>
  </si>
  <si>
    <t>3_11</t>
  </si>
  <si>
    <t> el o los documentos son de carácter institucional, se encuentran vigentes y están aprobados por autoridad competente.  el o los documentos pueden ser manual de perfiles de puestos (mpp), manual de organización y funciones (mof) o documento afín.  el o los documentos delimitan todas las funciones y perfiles de puestos con los que cuenta la universidad, o como mínimo los perfiles de los responsables de todas instancias vinculadas a la gestión y a la actividad académica de la universidad: gobierno universitario, gestión de la calidad y mejora continua, gestión de la investigación, responsabilidad social universitaria, bienestar, inserción laboral, transparencia y gestión de la información.  en caso la universidad tenga filial(es), los documentos demuestran cómo se articulan, organizan o coordinan las funciones y perfiles.</t>
  </si>
  <si>
    <t>Manual de organización y funciones solo privadas</t>
  </si>
  <si>
    <t>MV10</t>
  </si>
  <si>
    <t>3_10</t>
  </si>
  <si>
    <t>Documento(s) donde se indique el perfil de todos los puestos y cargos, aprobado(s) por la autoridad competente. mínimamente se encuentran los perfiles de los responsables de todas instancias vinculadas a la gestión y a la actividad académica de la universidad. solo privadas</t>
  </si>
  <si>
    <t>MV9</t>
  </si>
  <si>
    <t>3_9</t>
  </si>
  <si>
    <t>• los contratos laborales o resoluciones de designación, según corresponda, están vigentes al momento de la presentación de la sli y sustentan el vínculo laboral de las personas a cargo de los órganos de la universidad. en el caso de los contratos laborales, lo sustentan por, al menos, un semestre académico. • se evidencia que cuentan con la disponibilidad de tiempo para poder ejercer sus labores como responsables. ello, por ejemplo, a través de horarios para el desarrollo de sus actividades.</t>
  </si>
  <si>
    <t>Resoluciones de designación o contratos laborales o medio que acredite la vinculación con la institución, según corresponda, de los responsables de todas instancias vinculadas a la gestión y a la actividad académica de la universidad</t>
  </si>
  <si>
    <t>3_8</t>
  </si>
  <si>
    <t>• los cv deben guardar concordancia con los perfiles y puestos establecidos en los documentos institucionales como el rof y mof de la universidad, de acuerdo con lo declarado en los mv9, mv10 en el caso de universidades privadas, y mv11 y mv12 en el caso de universidades públicas. mínimamente se cuenta con responsables para: gobierno universitario, gestión de la calidad y mejora continua, gestión de la investigación, responsabilidad social universitaria, bienestar, transparencia y gestión de la información.</t>
  </si>
  <si>
    <t>Currículo vitae (cv) documentado de los responsables de todas instancias vinculadas a la gestión y a la actividad académica de la universidad, según lo establecido en su normativa institucional.</t>
  </si>
  <si>
    <t>3_7</t>
  </si>
  <si>
    <t>• el mapa de procesos está aprobado por la autoridad competente y comprende, como mínimo, los procesos formativos. • universidades privadas: considera como mínimo las fases o etapas de la elaboración del mapa de procesos, los actores que intervienen, la clasificación de los procesos, su diagramación (diagramas de flujo), fichas técnicas de los procesos, definición de indicadores de medición con sus respectivas fichas técnicas. pueden tomar como marco referencial la norma técnica n° 001-2018-PCM/sgp y sus normas sustitutorias o derogatorias. • universidades públicas: se verifica que el mapa de procesos se haya elaborado bajo los lineamientos establecidos en la norma técnica.</t>
  </si>
  <si>
    <t>Para universidades públicas: mapa de procesos de acuerdo a la norma técnica n° 001-2018-PCM/sgp y sus normas sustitutorias o derogatorias. para universidades privadas: mapa de procesos, identificando procesos misionales, procesos estratégicos y procesos de soporte.</t>
  </si>
  <si>
    <t>3_6</t>
  </si>
  <si>
    <t>Para todos los MV (3, 4 y 5) • todos los MV guardan correspondencia con la normativa institucional de la universidad (reglamento general y estatuto), el modelo educativo y se encuentran alineados entre sí. • los MV presentados deben encontrarse vigentes y estar aprobados por la autoridad competente mediante resolución o documento oficial que haga sus veces. • debe incluir en su planificación a su sede y filiales, de ser el caso, y desarrollar acciones específicas y detalladas por cada una de estas. • las evidencias de ejecución aplican a universidades con licencia denegada. • las evidencias de cumplimiento del pei, poi y/o documento equivalente que refleja la planificación y gestión de la universidad pueden ser informes de seguimiento emitidos por la unidad de planificación o la que haga sus veces, y aprobados o recibidos por la máxima autoridad universitaria. de forma complementaria, remite fotografías, documento que acredite la participación indubitable de la persona, actas de reuniones, convenios, entre otros que acrediten la ejecución. • las evidencias de ejecución de las actividades y acciones deben ser consistentes con la ejecución presupuestal reportada. además, se evidencia que las actividades y acciones han sido realizadas de acuerdo con lo planificado, caso contrario, se presenta una justificación que indique las razones por las cuales la universidad no pudo cumplir con sus objetivos propuestos. • para el caso de universidades con licencia denegada, en caso haya desarrollado nuevos instrumentos de planificación, se presenta evidencias del avance en la ejecución de los nuevos instrumentos. asimismo, en los instrumentos de planificación se incluye acciones y objetivos vinculados a las obligaciones de cese para con los estudiantes, independientemente de si se encuentran en programas que han sido presentados o no al procedimiento de licenciamiento institucional. para el mv3: • define de manera articulada, progresiva y consistente la estrategia de la universidad para el logro de sus objetivos en un periodo de tres (3) años. • el pei contiene como mínimo: (I) objetivos estratégicos institucionales, (II) acciones estratégicas institucionales, (III) indicadores medibles, (IV) cronograma anual, (v) responsables, (VI) metas/resultados. asimismo, define acciones de seguimiento y monitoreo. está alineado con los objetivos definidos en la ley universitaria y su modelo educativo. • universidades públicas: el pei cumple con las normas de gestión pública vigentes (p.e ceplan) para los mv4 y mv5: • ambos MV definen las actividades operativas e inversiones que se requieren para implementar el pei de la universidad. • la programación del primer año del poi multianual guarda correspondencia con en el poi anual a ejecutar en el primer año. • ambos MV contienen como mínimo: (I) actividades para el logro de las acciones estratégicas institucionales del pei, (II) presupuesto desagregado, (III) indicadores y (IV) metas (mensuales) para cada periodo anual, (IV) responsables. • estos MV deben estar alineados al modelo educativo de la universidad, pei y al presupuesto institucional.</t>
  </si>
  <si>
    <t>Plan operativo institucional anual y evidencias de la ejecución de las actividades propuestas para el cumplimiento de los objetivos institucionales consignados en el referido plan.</t>
  </si>
  <si>
    <t>3_5</t>
  </si>
  <si>
    <t>Plan operativo institucional multianual (3 años) y evidencias de la ejecución de las actividades propuestas para el cumplimiento de los objetivos institucionales establecidos en el referido plan.</t>
  </si>
  <si>
    <t>3_4</t>
  </si>
  <si>
    <t>Plan estratégico institucional a 3 años y evidencias de cumplimiento. para el caso de las universidades privadas éste debe contar con objetivos institucionales vinculados al modelo educativo. en caso de contar con filiales, se evidencia que son integradas dentro de la planificación institucional.</t>
  </si>
  <si>
    <t>3_3</t>
  </si>
  <si>
    <t>• declaración jurada firmada por las autoridades de gobierno de la universidad en la que se sujete al cumplimiento de las disposiciones establecidas en la ley universitaria y demás normativa conexa. de ser el caso, la declaración jurada también deberá ser firmada por los directivos, gerentes o quienes tomen decisiones de gestión de la universidad.</t>
  </si>
  <si>
    <t>Formato de declaración de cumplimiento de obligaciones supervisables de la ley universitaria.</t>
  </si>
  <si>
    <t>3_2</t>
  </si>
  <si>
    <t>• la universidad presenta el reglamento general aprobado por la autoridad competente mediante resolución o documento oficial que haga sus veces. este debe ser coherente con el estatuto y demás normas de la universidad. el documento indica su última fecha de actualización. • el reglamento general contiene disposiciones generales sobre la obtención de grados y títulos en los programas de pregrado, y, de ser el caso, posgrado, de acuerdo con lo establecido en la ley universitaria.</t>
  </si>
  <si>
    <t>Reglamento general de la universidad</t>
  </si>
  <si>
    <t>3_1</t>
  </si>
  <si>
    <t>• las universidades públicas presentan el estatuto vigente, aprobado por la autoridad competente mediante resolución o documento oficial que haga sus veces, y de conformidad con lo establecido en la ley n° 30220, ley universitaria y normativa aplicable de acuerdo con el tipo de gestión. en el caso de las universidades privadas, adicionalmente deberán presentar el estatuto inscrito en registros públicos. • en el caso de las universidades públicas, el estatuto se articula con lo dispuesto en los “lineamientos para la formulación del reglamento de organización y funciones - rof de las universidades públicas”, aprobado mediante resolución ministerial n° 588-2019-MINEDU o la normativa vigente vinculado a ello. • el documento indica su última fecha de actualización. • se evaluará la coherencia entre los documentos normativos y de gestión con el mapa de procesos remitido como parte del mv6 del indicador 3. • para el caso de las universidades privadas, la inscripción del estatuto de la universidad en los registros públicos es necesaria; mientras que, para el caso de las universidades públicas, no.</t>
  </si>
  <si>
    <t>Estatuto de la universidad, de ser el caso, inscrito en registros públicos.</t>
  </si>
  <si>
    <t>Marco normativo para procesos académico-administrativos semipresenciales</t>
  </si>
  <si>
    <t>La universidad cuenta con un estatuto inscrito en los registros públicos.</t>
  </si>
  <si>
    <t>2_1</t>
  </si>
  <si>
    <t>• el modelo educativo está aprobado por la autoridad competente mediante resolución o el documento que haga sus veces, según lo dispuesto en la normativa de la universidad. • la conceptualización y justificación de la propuesta educativa incluye: - la definición de la propuesta de valor1 de la universidad, que contiene la visión, misión y el aporte para sus estudiantes y la sociedad. - diagnóstico de las características socioculturales y económicas de su área de influencia y cómo la propuesta educativa responde al mismo, contribuye con dicha área y es relevante para la misma. - las características particulares del proceso formativo, así como su fundamento filosófico, humanístico, científico, tecnológico y pedagógico. debe describir cómo, a través del diseño curricular, el alumno logra los objetivos propuestos en el perfil de egreso. • la descripción y justificación de la organización de los estudios (niveles de enseñanza, modalidades de estudio2, entre otras), así como la diferenciación entre formación específica y de especialidad desarrolla la conceptualización y diferenciación entre los niveles de enseñanza y las modalidades de estudio (de ser el caso). • la conceptualización y desarrollo de su propuesta respecto a la investigación, responsabilidad social, cuidado del medio ambiente, los enfoques de interculturalidad3, inclusión4, género5, entre otros, desarrolla la forma cómo se entienden dichos conceptos y cómo son incluidos dentro del proceso de enseñanza-aprendizaje. • la definición de los actores que conforman la comunidad educativa desarrolla el perfil y rol que tendrían, mínimamente, los estudiantes, egresados, autoridades y docentes de la universidad, en el proceso formativo. • en cuanto a los mecanismos y medios para la implementación del modelo educativo, se hace referencia a las estrategias a través de las cuales se pretende materializar los distintos elementos que se han establecido en el modelo. por ejemplo, se establecen los procedimientos para la evaluación de la pertinencia de los planes de estudio de acuerdo con el modelo educativo, o las capacitaciones a los docentes en el modelo, o las acciones y actividades que se desarrollaran para realizar el modelo, entre otras. • respecto a la integración de las filiales al modelo educativo: a) se desarrolla cómo este tipo de oferta diversificada en diferentes horizontes territoriales y sociales6 es coherente con la propuesta educativa y permite su implementación; b) se desarrolla cómo se piensa realizar el modelo a nivel de las filiales. • los documentos de desarrollo y gestión de la universidad deben estar alineados al modelo educativo, al ser el documento que guía la planificación estratégica y la propuesta curricular de la universidad.</t>
  </si>
  <si>
    <t>Garantizar que el desarrollo de la propuesta formativa, de la investigación, de la responsabilidad social y de la interacción entre los miembros de la comunidad se guie a partir de una base humanística, científica y tecnológica, que establezca las características específicas de la universidad desarrolle la conceptualización sobre el tipo de proceso formativo que constituye su propuesta educativa y cómo este se vincula con las distintas funciones que le corresponden como institución universitaria.</t>
  </si>
  <si>
    <t>Modelo educativo de la universidad, aprobado por autoridad competente, que defina mecanismos y medios para su implementación. contiene, como mínimo, los siguientes componentes: (I) conceptualización y justificación de su propuesta educativa, incluyendo descripción del contexto en el que se sitúa. (II) descripción y justificación de la organización de los estudios (niveles de enseñanza y modalidades de estudio), así como la diferenciación entre formación específica y de especialidad, (III) conceptualización y desarrollo de su propuesta respecto a investigación, la responsabilidad social, cuidado del medio ambiente, los enfoques de interculturalidad, inclusión, género, entre otros, (IV) definición de los actores que conforman la comunidad educativa (perfil de estudiantes, egresados y docentes) , y (v) mecanismos y medios para la implementación del modelo educativo. si la universidad tiene varias sedes o filiales deberá demostrar cómo éstas se integran en el modelo educativo que proponen.</t>
  </si>
  <si>
    <t>Modelo educativo para programas semipresenciales/distancia</t>
  </si>
  <si>
    <t>La universidad cuenta con un modelo educativo en el que define su propuesta filosófica, humanística, científica, tecnológica y pedagógica respecto del proceso formativo que da sustento al desarrollo de sus procesos misionales, estratégicos y de soporte, entre otros.</t>
  </si>
  <si>
    <t>I.1 Modelo educativo</t>
  </si>
  <si>
    <t>Modelo educativo</t>
  </si>
  <si>
    <t>I: modelo educativo de la universidad</t>
  </si>
  <si>
    <t>1_1</t>
  </si>
  <si>
    <t>Disponibilidad de recursos humanos y económicos necesarios para el desarrollo de la oferta académica con horizonte mínimo de cinco años.</t>
  </si>
  <si>
    <t>Formato de licenciamiento sd6 flujo de financiamiento de todos los programas, de ser el caso por local, proyectado por cinco (05) años, debe incluir la inversión inicial en año (0).</t>
  </si>
  <si>
    <t>La universidad dispone de los recursos humanos y económicos necesarios para el desarrollo de su oferta académica considerando como mínimo cinco (5) años</t>
  </si>
  <si>
    <t>V.2 Recursos económicos y financieros</t>
  </si>
  <si>
    <t>Estrategias y mecanismos</t>
  </si>
  <si>
    <t>Estrategias y mecanismos para el desarrollo de la modalidad semipresencial y/o a distancia</t>
  </si>
  <si>
    <t>MSPAD</t>
  </si>
  <si>
    <t>Presupuesto institucional formulado conforme al pei/planes operativos y a la duración de los programas, con horizonte mínimo de cinco años.</t>
  </si>
  <si>
    <t>Presupuesto institucional aprobado por la autoridad competente detallado por CBC y por programa semipresencial y/o a distancia (por local de ser el caso). el documento debe incluir, como anexo, el sustento de ingresos y gastos y el sustento técnico de la proyección, que incluya la estimación de estudiantes, tarifas, tasa de deserción y la estrategia que llevará a cabo para lograr los gastos proyectados.</t>
  </si>
  <si>
    <t>La universidad detalla el presupuesto institucional formulado de acuerdo a su plan estratégico y/o planes operativos de acuerdo a la duración de los programas de su oferta académica, considerando como mínimo cinco (5) años.</t>
  </si>
  <si>
    <t>Estrategias para la recopilación de información sobre características de estudiantes y egresados.</t>
  </si>
  <si>
    <t>Lineamientos para la recolección de la información de estudiantes y egresados, que contenga como mínimo lo siguiente: (I) frecuencia (II) fuentes de información (III) responsables (IV) instrumentos y herramientas de recolección, procesamiento y almacenamiento de la información. (v) procedimiento de análisis de la información recolectada, para indicadores, al menos, de tasa de deserción, graduación oportunidad, logros de aprendizaje, situación laboral, entre otros. este documento deberá estar aprobado por la autoridad competente.</t>
  </si>
  <si>
    <t>La universidad cuenta con estrategias para la recopilación de información sobre las características de sus estudiantes y egresados.</t>
  </si>
  <si>
    <t>V.1 Estrategias de información, inducción, seguimiento y acompañamiento para los estudiantes</t>
  </si>
  <si>
    <t>Estrategia de comunicación clara y oportuna para informar a estudiantes sobre características del programa, tipo de evaluación, formas de interacción y requerimientos de las modalidades.</t>
  </si>
  <si>
    <t>Lineamientos para la difusión y comunicación de los requerimientos necesarios para el desarrollo de los programas en modalidades semipresencial y/o a distancia, así como el modelo educativo y la estrategia pedagógica. este documento deberá estar aprobado por la autoridad competente. mínimamente se orienta a comunicar sobre: (I) el plan de estudios (II) los requerimientos tecnológicos mínimos para el desarrollo del programa. (III) carga de trabajo necesario para desarrollar los cursos (tiempo requerido). (IV) proceso de evaluación. (v) carga de trabajo (tipo de carga). (VI) condiciones de permanencia y culminación. (VII) las actividades presenciales y de práctica (de ser el caso).</t>
  </si>
  <si>
    <t>La universidad cuenta con una estrategia de comunicación clara y oportuna para informar a los estudiantes sobre las características del programa, tipo de evaluación, forma de interacción y los requerimientos necesarios para el desarrollo de los programas bajo modalidades semipresenciales y/o distancia</t>
  </si>
  <si>
    <t>Estrategias de tutoría especializada y promoción de la salud mental que aseguran asesoría y contacto permanente para favorecer la permanencia hasta la graduación.</t>
  </si>
  <si>
    <t>Documento en donde se detalle la estrategia de promoción de la salud mental, relacionadas al uso de entornos no presenciales de aprendizaje, que incluya aspectos de inducción y capacitación</t>
  </si>
  <si>
    <t>La universidad cuenta con estrategias para brindar el servicio de tutoría especializado y de promoción de la salud mental para estudiantes de la modalidad semipresencial y/o a distancia. el servicio de tutoría debe asegurar la asesoría y contacto permanente con el estudiante con el objetivo de fomentar su permanencia en el programa hasta su graduación.</t>
  </si>
  <si>
    <t>16_2</t>
  </si>
  <si>
    <t>Documento aprobado por la autoridad competente que contenga los lineamientos de tutoría para los estudiantes de la modalidad semipresencial, donde se describan las funciones que debe ejercer el tutor en el ambiente no presencial de aprendizaje. este documento debe considerar como mínimo lo siguiente: (I) el tutor virtual cumplirá el rol como facilitador de los procesos de aprendizaje en el marco de plataformas no presenciales de aprendizaje y los recursos que se usen en las mismas. (II) la funciones y responsabilidades del tutor virtual serán detalladas de acuerdo con su participación en las fases previa (verificando los contenidos y materiales de la plataforma virtual), durante (acompañamiento permanente, seguimiento al cumplimiento del programa) y después (calificaciones y cierre de los cursos) del dictado de los cursos. (III) deberá detallar las instancias de coordinación para el desarrollo de las funciones del tutor y la implementación de acciones correctivas en el ejercicio de sus labores. (IV) además de incorporar el uso de formatos u otras herramientas de apoyo a su labor. (v) deberá incluir el procedimiento de evaluación de los propios tutores por parte de los estudiantes. ello en el marco de la normativa establecida para la gestión docente.</t>
  </si>
  <si>
    <t>Locales con capacidad física adecuada, condiciones de seguridad y compatibilidad de uso; ambientes equipados (aulas, laboratorios, talleres) y acceso a TIC, con plan de implementación para el resto de años.</t>
  </si>
  <si>
    <t>De corresponder, plan de implementación progresiva de los laboratorios y talleres a ser aplicados a partir del tercer año de los programas académicos, aprobado por la autoridad competente. dicho plan debe proyectarse cumpliendo con toda la normativa relacionada a seguridad en edificaciones. este debe incluir: (v) detalle de actividades a desarrollar, (VI) cronograma (considerando hitos y metas por meses y años), (VII) presupuesto, (VIII) responsables (IX) impacto de la adecuación e implementación en la infraestructura existente del local.</t>
  </si>
  <si>
    <t>Todos los locales de la universidad donde se desarrolle el componente presencial cuentan con capacidad física adecuada, cumplen con las condiciones de seguridad y de uso de acuerdo con la normativa vigente, tienen compatibilidad de uso, y son aptas para atender la demanda de los programas académicos en los dos primeros años, contando con un plan de implementación para el resto de años. estos locales cuentan con ambientes destinados al desarrollo de sus funciones (formación y docencia, investigación), como aulas, laboratorios y talleres equipados. se evidencia que en todos los espacios formativos y de estudio cuentan con acceso a TICS</t>
  </si>
  <si>
    <t>IV.3 Infraestructura física</t>
  </si>
  <si>
    <t>Infraestructura tecnológica y física</t>
  </si>
  <si>
    <t>Infraestructura tecnológica y física.</t>
  </si>
  <si>
    <t>Informe descriptivo de las aulas, laboratorios y talleres que harán uso los programas. el cual debe incluir: (I) agrupamiento de talleres y laboratorios por tipología. (II) sustento de la pertinencia de la infraestructura de cada taller y laboratorio con relación a los programas académicos vinculados. (III) sustento de la pertinencia del equipamiento, software y mobiliario con relación a los programas académicos vinculados. (IV) sustento de la capacidad de atención de cada taller y laboratorio con relación a los programas académicos vinculados. (v) sustento del aforo de cada aula, laboratorio y taller de acuerdo al tipo de enseñanza de los programas académicos</t>
  </si>
  <si>
    <t>Formato de licenciamiento sd3 donde se especifica cada laboratorio y taller según cada programa de estudios. los formatos debes estar firmados por el representante de la universidad. debe describirse: (I) denominación de cada ambiente, (II) ubicación, área y aforo, (III) equipamiento, mobiliario y softwares de los que disponen en cada laboratorio y taller declarado. formato sd4. solo incluir los softwares que se hacen uso en los ambientes. (IV) cronograma u horario de atención de cada ambiente, indicando el programa de ser el caso o si es de uso compartido (v) descripción de estos ambientes y las actividades que se realizan.</t>
  </si>
  <si>
    <t>Informe descriptivo del estado actual de la infraestructura, equipamiento y mobiliario que usaran los programas por local. este debe contener, como mínimo: (I) análisis de ocupabilidad de cada local que sustente porcentaje de utilización actual de la infraestructura existente y la capacidad que tendría para recibir a los estudiantes de los nuevos programas. (II) memoria descriptiva de los servicios de internet que acredite que se cuentan con la conectividad suficiente para el desarrollo de los entornos no presenciales de aprendizaje. debe garantizarse la exclusividad de los servicios a fin de asegurar su continuidad. se evidencia su accesibilidad desde todos los espacios formativos y de estudio para el uso de TICS</t>
  </si>
  <si>
    <t>Recursos no presenciales de acceso remoto para el desarrollo de cursos en los dos primeros años, con plan para el resto: bases y bibliotecas virtuales; laboratorios/simuladores virtuales; realidad aumentada; laboratorios remotos/en casa; herramientas digitales pedagógicas.</t>
  </si>
  <si>
    <t>De corresponder, plan de implementación progresiva de recursos no presenciales a ser aplicados a partir del tercer año de los programas académicos, aprobado por la autoridad competente. dicho plan debe incluir: (I) detalle de actividades a desarrollar, (II) cronograma (considerando hitos y metas por meses y años), (III) presupuesto, (IV) responsables</t>
  </si>
  <si>
    <t>Los programas académicos cuentan con recursos no presenciales, de acceso remoto, que permitan que los programas semipresenciales y/o a distancia logren sus objetivos y el desarrollo de sus cursos en los dos primeros años, contando con un plan de implementación o desarrollo para el resto de años. entre ellos se encuentran: I) acceso a bases de datos y bibliotecas virtuales II) uso de laboratorios y simuladores virtuales III) uso de mecanismos de realidad aumentada IV) uso de laboratorios remotos o laboratorios en casa. v) herramientas digitales que los programas promueven como parte de sus estrategias pedagógicas</t>
  </si>
  <si>
    <t>IV.2 Recursos de apoyo tecnológico</t>
  </si>
  <si>
    <t>14_3</t>
  </si>
  <si>
    <t>Formato de licenciamiento sd5 donde se detallan las características de los recursos no presenciales, de acceso remoto. debe consignarse solo los recursos como: a) bases de datos y bibliotecas virtuales; b) laboratorios y simuladores virtuales; c) mecanismos de realidad aumentada; d) laboratorios remotos o en casa; e) herramientas digitales que los programas promuevan como parte de sus estrategias pedagógicas; f) otro tipo de software. se describe: (I) nombre del recurso no presencial (II) tipo de recurso no presencial (III) tipo de licencia (IV) cantidad de años de licencia (en caso corresponda) (v) descripción y principales actividades (VI) código(s) de programa(s) que utilizan el recurso no presencial (VII) cantidad de programa(s) que utilizan el recurso no presencial (VIII)análisis sobre la capacidad y pertinencia de dichos recursos de acuerdo al tipo de programa, cursos, número de estudiantes y tipo de conectividad este documento debe estar firmado por el encargado del área organizacional responsable de los entornos no presenciales de aprendizaje.</t>
  </si>
  <si>
    <t>Contratos de arrendamiento o licencia de implementación de recursos no presenciales, en caso aplique, de por lo menos un (01) año.</t>
  </si>
  <si>
    <t>Infraestructura tecnológica para la producción y difusión de materiales de aprendizaje, con directrices de diseño/producción/transferencia y mecanismos de reconocimiento a la innovación, disponible en sede y/o filiales.</t>
  </si>
  <si>
    <t>Lineamientos y procedimientos para el diseño y producción de materiales, de acuerdo con los objetivos de los programas académicos. dicho documento está aprobado por autoridad competente e incluya como mínimo disposiciones referidas a: (I) tipo de materiales didácticos que pueden ser usados (presentaciones en power point, videos, etc.) (II) los estándares que debe tener los materiales (III) responsables del diseño y la producción de los materiales. (IV) estrategias de capacitación en el diseño y producción de los materiales.</t>
  </si>
  <si>
    <t>La universidad cuenta con infraestructura tecnológica adecuada y pertinente para la producción y difusión de materiales de aprendizaje, que, de ser el caso, está disponible tanto para sede o filial. esta cuenta con directrices para diseño, producción y transferencia de dichos materiales, ello en concordancia con su modelo educativo y los objetivos académicos de los programas, y con mecanismos de reconocimiento a la innovación de la producción de materiales de aprendizaje.</t>
  </si>
  <si>
    <t>Informe elaborado y firmado por el encargado del área organizacional responsable de la modalidad semipresencial o distancia, que garantice que los recursos tecnológicos para la producción y difusión de materiales sean los adecuados y pertinentes según el tipo de programa, cursos y estudiantes.</t>
  </si>
  <si>
    <t>Sistemas de gestión e información que brindan soporte al desarrollo de programas semipresenciales y/o a distancia.</t>
  </si>
  <si>
    <t>En caso de ofrecer programas a distancia, informe que evidencie la disponibilidad y continuidad de los sistemas de matrícula y registro académica u otro sistema para la realización de todos los procedimientos académicos-administrativos que requieran los estudiantes desde su admisión hasta su graduación y titulación.</t>
  </si>
  <si>
    <t>La universidad cuenta con sistemas de gestión y de información que brinden soporte para el desarrollo de los programas semipresenciales y/o a distancia.</t>
  </si>
  <si>
    <t>12_3</t>
  </si>
  <si>
    <t>Informe que evidencie la disponibilidad en el sistema de gestión docente de la función de hacer seguimiento al cumplimiento de las labores de los docentes que se vinculen, en sus distintos roles, con entornos no presenciales de aprendizaje.</t>
  </si>
  <si>
    <t>12_2</t>
  </si>
  <si>
    <t>Informe que evidencie la disponibilidad y continuidad del sistema de pagos virtuales.</t>
  </si>
  <si>
    <t>Sistema(s) de aprendizaje virtual con funciones mínimas: soporte tecnológico, integración con registros/matrícula, monitoreo de actividades e interacción, seguimiento/auditoría, reportes, ancho de banda adecuado y soporte técnico-pedagógico; acceso similar en sedes/filiales cuando aplique.</t>
  </si>
  <si>
    <t>Documento que contenga estrategias y mecanismos preventivos y de control a nivel de identificación de los estudiantes, trabajos y evaluaciones con el fin de evitar el fraude, plagio y suplantación.</t>
  </si>
  <si>
    <t>La universidad cuenta con sistema(s) de aprendizaje virtual que permiten alcanzar los objetivos y el desarrollo continuo de los cursos de programas semipresenciales y/o a distancia, con las siguientes funciones mínimas: I) soporte tecnológico (hardware y software) suficiente para una adecuada conectividad de acuerdo con la naturaleza de los contenidos, procesos y estudiantes. II) integración como mínimo con los sistemas de registros académicos y de matrícula. III) monitoreo de actividades y de toda la interacción con/del estudiante IV) posibilita el seguimiento y auditoría a la operación de la plataforma. v) emisión de reportes sobre el cumplimiento de las actividades. VI) ancho de banda adecuado que garantice la accesibilidad y disponibilidad. VII) brinda el servicio de soporte técnico y pedagógico. de ser el caso, se puede acceder a la misma de forma similar desde el ámbito de influencia tanto de la sede como las filiales donde se oferte el programa.</t>
  </si>
  <si>
    <t>IV.1 Plataforma virtual</t>
  </si>
  <si>
    <t>11_4</t>
  </si>
  <si>
    <t>Protocolos y mecanismos de seguridad y respaldo de información que aseguren el correcto funcionamiento de la plataforma virtual sin interrupciones.</t>
  </si>
  <si>
    <t>11_3</t>
  </si>
  <si>
    <t>Informe elaborado por un profesional independiente en el área tecnología de la información y la comunicación (según clasificador cine 2018) que garantice que se cuenta con el soporte tecnológico necesario para garantizar la accesibilidad, seguridad, estabilidad, funcionalidad y disponibilidad del total de estudiantes proyectado. debe demostrar como mínimo lo siguiente: I) características de servidores y equipos. II) características de softwares. III) ancho de banda. IV) tiempo de respuesta de servidores según la capacidad máxima de usuarios conectados a la plataforma. v) pertinencia según la ubicación geográfica done se brinda el servicio. VI) mecanismos adecuados para el acceso de estudiantes con discapacidad a través de estrategias instructivas alternativas y/o remisión a recursos institucionales especiales en caso de que se oferte programas a distancia, se garantiza su operación durante las 24 horas de todos los días que duren los períodos académicos.</t>
  </si>
  <si>
    <t>11_2</t>
  </si>
  <si>
    <t>Contratos de arrendamiento o licencia de implementación de la plataforma de aprendizaje, en caso aplique, de por lo menos un (01) año.</t>
  </si>
  <si>
    <t>Responsables de la organización académica del programa elegidos/designados conforme a ley, estatuto y normativa vigente; incluye responsables por sede/filial cuando corresponda.</t>
  </si>
  <si>
    <t>Curriculum vitae documentado del personal</t>
  </si>
  <si>
    <t>Los programas académicos cuentan con responsables de la organización académica del programa que han sido elegidos o designados, según sea el caso, de manera legítima y válida, según los requisitos establecidos en la ley universitaria, el estatuto de la universidad y/o la normativa vigente. de ser el caso, se cuenta con responsables por sede y filial.</t>
  </si>
  <si>
    <t>III.2 Gestión académica de los programas semipresenciales y/o a distancia.</t>
  </si>
  <si>
    <t>Soporte académico-administrativo</t>
  </si>
  <si>
    <t>10_3</t>
  </si>
  <si>
    <t>Resolución de la elección, nombramiento o encargatura del responsable del programa de acuerdo con el estatuto de la universidad</t>
  </si>
  <si>
    <t>10_2</t>
  </si>
  <si>
    <t>Documento (s) aprobado(s) o actualizado(s) por la autoridad competente que detalle las funciones y responsabilidades de los responsables de la organización académica de los programas.</t>
  </si>
  <si>
    <t>Área organizacional responsable del desarrollo, seguimiento, monitoreo y mejora del proceso de enseñanza-aprendizaje en entornos no presenciales, con personal suficiente y presencia en sede y filiales cuando corresponda.</t>
  </si>
  <si>
    <t>Mapa de procesos vinculados a la atención de personas con discapacidad donde se evidencie la adaptación de los servicios académicos, interacción con la plataforma y recursos académicos, seguimiento y acompañamiento a su desempeño y políticas de bienestar.</t>
  </si>
  <si>
    <t>La universidad cuenta con área(s) organizacional(es) responsable(s) del desarrollo, seguimiento, monitoreo y mejora de los procesos de enseñanza- aprendizaje en entornos no presenciales de enseñanza. dicha área cuenta con el personal para cumplir con las funciones asignadas. de corresponder, se encuentra tanto en la sede como en las filiales.</t>
  </si>
  <si>
    <t>III.1 Gestión de los entornos no presenciales de aprendizajes</t>
  </si>
  <si>
    <t>9_7</t>
  </si>
  <si>
    <t>En caso se oferte programas a distancia, se cuenta con protocolos y procedimientos de atención permanente (durante las 24 horas) para todo el período académico a los estudiantes y docentes, así como de soporte técnico a la operación del sistema.</t>
  </si>
  <si>
    <t>9_6</t>
  </si>
  <si>
    <t>Plan de gestión de la calidad actualizado o especifico donde se establezca políticas o estrategias internas de aseguramiento de la calidad para los programas bajo modalidad semipresencial y/o a distancia, involucrando al o la(s) área(s) organizacional(es) responsable(s) del desarrollo, seguimiento, monitoreo y mejora de los procesos de enseñanza-aprendizaje en entornos no presenciales de enseñanza y las áreas de gestión académica de los programas semipresenciales y/o a distancia. incluye indicadores para medir la calidad de los distintos componentes de los programas semipresenciales y/o a distancia y estrategias de autoevaluación de los programas.</t>
  </si>
  <si>
    <t>9_5</t>
  </si>
  <si>
    <t>Plan(es) que aseguren el adecuado funcionamiento del proceso de enseñanza-aprendizaje en entornos virtuales. se tiene como mínimo los siguientes planes (por separado o en una sola planificación): (I) plan de seguridad y respaldo de la información (II) plan operativo de la modalidad semipresencial y/o a distancia (incluyendo el mantenimiento, adquisición y renovación de la infraestructura tecnológica)</t>
  </si>
  <si>
    <t>9_4</t>
  </si>
  <si>
    <t>Curriculum vitae documentado de los responsables que conforma(n) el (las) área(s).</t>
  </si>
  <si>
    <t>9_3</t>
  </si>
  <si>
    <t>Rof o documento afín (de ser el caso actualizado) donde se detalle la estructura del (las) área(s) responsable(s), así como sus funciones. este documento debe estar aprobado por la autoridad competente. entre las funciones, de acuerdo con el modelo educativo, del (las) área (s) incluye como mínimo lo relacionado a: (I) adaptación de los contenidos de los cursos para entornos no presenciales de aprendizaje, de ser el caso, en conjunto con los docentes. (II) producción y difusión de materiales didácticos. (III) capacitación y apoyo a docentes y estudiantes, en el uso de los entornos no presenciales de enseñanza. (IV) gestión y mantenimiento del hardware y software necesarios. en caso la universidad decida tercerizar procesos, el órgano se encargará de su supervisión, definiendo estándares mínimos de calidad. (v) seguimiento, evaluación y mejora continua de los procesos asociados a los entornos no presenciales de aprendizaje, articulados con los procesos de gestión de la calidad a nivel institucional. de corresponder, se establece cómo opera tanto a nivel sede como a nivel de las filiales.</t>
  </si>
  <si>
    <t>9_2</t>
  </si>
  <si>
    <t>Formato de licenciamiento sd2 que detalle el personal del (las) área(s) (evidenciándose que se cubren las funciones del órgano) y, si corresponde, por sede y filial. el formato debe estar firmado por el representante de la universidad.</t>
  </si>
  <si>
    <t>Programas de desarrollo académico y estrategias de capacitación para fortalecer competencias docentes en entornos no presenciales, alineadas al modelo, la propuesta pedagógica y los sistemas a utilizar.</t>
  </si>
  <si>
    <t>Documento, aprobado por la autoridad competente (puede ser dentro del plan de capacitación institucional, actualizado) donde se detalle: I) estrategias de capacitación: mínimamente se orienta a la capacitación en metodologías de uso de las TIC, el manejo de entornos virtuales de aprendizaje, el fomento de nuevos enfoques metodológicos y pedagógicos en dichos entornos y la capacidad para mejorar los recursos pedagógicos y didácticos. este es diseñado de acuerdo con los roles que se proponen, el modelo educativo, la propuesta pedagógica y los sistemas que se usarán. mínimamente alcanza a los docentes vinculados con los entornos de aprendizajes no presenciales de todos los programas semipresenciales y/o a distancia, por sede y filial, de corresponder. II) programas de desarrollo académico para los docentes vinculados a entornos no presenciales de aprendizaje: (programas de movilidad e intercambio, de actualización, participación en congresos, pasantías, investigación, entre otros)</t>
  </si>
  <si>
    <t>La universidad cuenta con programas de desarrollo académicos y estrategias de capacitación para el desarrollo de competencias en los docentes vinculados a entornos no presenciales de aprendizaje de los programas semipresenciales y/o a distancia, de acuerdo al modelo, la propuesta pedagógica y los sistemas que se utilizarán.</t>
  </si>
  <si>
    <t>II.2 Selección, evaluación y capacitación docente</t>
  </si>
  <si>
    <t>Docentes</t>
  </si>
  <si>
    <t>Mecanismos y procedimientos de selección, promoción, permanencia, renovación y evaluación con disposiciones específicas para docentes de entornos no presenciales, bajo criterios meritocráticos y enfoque de resultados.</t>
  </si>
  <si>
    <t>Plan progresivo de contratación docente detallado por programa semipresencial y/o a distancia (dentro de un plan general o propio para las modalidades), aprobado por la autoridad competente, que tiene como mínimo un periodo de implementación de cinco (5) años. indica como mínimo: (I) objetivos (II) metas o resultados que se quieran alcanzar (II) cronograma específico, (II) presupuesto total y desagregado, (III) número de docentes contratados y ordinarios por categoría, roles, grado académico y, si corresponde por sede y filial, que se incorporará, (IV) responsables, (v) justificación del número de docentes planteados en concordancia con el mv3 del indicador 7.</t>
  </si>
  <si>
    <t>La universidad incluye en sus mecanismos y/o procedimientos de selección, promoción, permanencia, renovación y evaluación disposiciones específicos para docentes vinculados a los entornos no presenciales de aprendizaje de los programas semipresenciales y/o a distancia, de acuerdo con criterios meritocráticos y una lógica de resultados.</t>
  </si>
  <si>
    <t>Documentos que evidencien que en el cuerpo docente que presenta se ha implementado el proceso de selección (con aplicación de requisitos y reglas específicas para aquellos vinculados a entornos no presenciales de aprendizaje).</t>
  </si>
  <si>
    <t>Instrumento normativo, reglamento u otro documento actualizado (puede ser parte de la normativa institucional) que incluya: I) procedimientos y requisitos específicos para la selección, promoción, permanencia y renovación de docentes, acorde a los roles establecidos, que se vincularán con entornos no presenciales de aprendizaje. II) procedimientos e instrumentos específicos para evaluar el desempeño de los docentes, acorde a los roles establecidos, vinculados con entornos no presenciales de aprendizaje. estos definen las consecuencias que tienen para la renovación, capacitación, entre otros.</t>
  </si>
  <si>
    <t>Docentes asignados a roles y perfiles definidos para los dos primeros años, cumpliendo requisitos de ley y normativa institucional en cada sede y filial, según corresponda.</t>
  </si>
  <si>
    <t>Listado de todos los docentes para los dos primeros años de funcionamiento, al que debe anexarse el curriculum vitae de cada uno, evidenciándose el cumplimiento de los requisitos establecidos en la normativa. además, contratos, resoluciones de nombramiento o contratación, según corresponda, de los docentes a tiempo completo de la universidad y/o a dedicación exclusiva.</t>
  </si>
  <si>
    <t>Los programas académicos cuentan con docentes en los distintos roles y perfiles definidos por la universidad para el desarrollo adecuado del programa en los dos primeros años. todos cumplen con los requisitos para el ejercicio de la docencia, estipulados en la ley universitaria y en su propia normativa. en caso corresponda, ello debe cumplir en cada sede y filial donde se ofrezca los programas.</t>
  </si>
  <si>
    <t>II.1 Plana docente</t>
  </si>
  <si>
    <t>Formato de licenciamiento sd1 que contiene toda la plana de docente que dictará en cada programa semipresencial y/o a distancia para los dos primeros años de funcionamiento, precisando los cursos que dictarán del programa, el rol docente que desempeña (en caso del dictado de cursos semipresenciales o a distancia), régimen de dedicación, categoría, programa, sede y filial a la que pertenecen, distribución horaria de dedicación a las diversas actividades según corresponda, entre otros. el formato debe estar firmado por el representante de la universidad.</t>
  </si>
  <si>
    <t>Instrumentos de gestión o normativa que definen roles y perfiles docentes para el adecuado desarrollo de la modalidad semipresencial y/o a distancia.</t>
  </si>
  <si>
    <t>Documento(s) donde se indiquen los roles y perfiles de los docentes, así como las competencias (tecnológica y/o pedagógica), experiencia y formación para la vinculación con entornos no presenciales de aprendizaje. estos roles y perfiles responden al modelo educativo adaptado a la(s) modalidad(es). entre los roles se encuentran: I) determinar y/o crear los contenidos que tendrán los cursos. II) adaptar los contenidos de curso a entornos no presenciales siguiendo estrategias pedagógicas para ello. III) impartir los contenidos del curso IV) orientar y acompañar a los estudiantes, así como guiar su adaptación a los entornos no presenciales (tutor). los roles pueden encontrarse en un mismo docente, dependiendo del modelo adaptado, así como sus competencias, experiencia y formación. la universidad regula sobre ello para garantizar que se cuente con docentes capaces de asumir dichos roles.</t>
  </si>
  <si>
    <t>La universidad cuenta con instrumentos de gestión o normativos que define los roles y perfiles de docentes para el adecuado desarrollo de la modalidad semipresencial y/o a distancia.</t>
  </si>
  <si>
    <t>Documentos que planifican, estructuran y definen el proceso formativo del estudiante, coherentes entre sí e implementados según el modelo educativo.</t>
  </si>
  <si>
    <t>En caso sean programas de maestrías de investigación o doctorados, documento que contengan la estrategia de investigación detallada con las siguientes características mínimamente: I) la modalidad de la implementación de las estrategias para la formación de investigadores (a través de cursos, participación en proyectos, u otro tipo de acciones) es pertinente con el enfoque de investigación del programa y las competencias en investigación requeridas en el área del conocimiento, campo profesional, tecnológico o técnico en el que se inserta. II) se tiene claridad sobre el tipo de doctorado que pretende desarrollarse (escolarizado / no escolarizado) y se tiene una propuesta formativa y modalidad es pertinente según ello. III) cuenta con estrategias para facilitar y promover la participación de los estudiantes y profesores en actividades externas vinculadas a la investigación y su difusión (programas de movilidad o pasantías). IV) cuenta con estrategias para el desarrollo de alianzas vinculadas a la investigación (y de acuerdo a la naturaleza del programa, articulación con el entorno-sector productivo). v) cuenta con estrategias para la publicación y difusión de los trabajos de investigación, de acuerdo a estándares de imparcialidad y objetividad VI) cuenta con estrategias de participación de los estudiantes en proyectos y grupos de investigación. VII) se incluye el acompañamiento, seguimiento y evaluación permanente desde el inicio del proceso de elaboración de la investigación.</t>
  </si>
  <si>
    <t>Los programas académicos cuentan con documentos que planifican, estructuran y definen el proceso formativo de los estudiantes. estos elementos son pertinentes entre sí e implementan el modelo educativo.</t>
  </si>
  <si>
    <t>I.4 Propuesta curricular</t>
  </si>
  <si>
    <t>Propuesta formativa y normativa sobre la modalidad semipresencial y/o a distancia</t>
  </si>
  <si>
    <t>4_3</t>
  </si>
  <si>
    <t>Documento donde se justifica los elementos del plan de estudios. este contiene como mínimo: I) sobre los cursos: justificación de la naturaleza teórica y/o práctica de la asignatura, así como los elementos que serán necesarios para desarrollarlas (laboratorios, software, equipamientos, entre otros recursos físicos o virtuales); los resultados de aprendizaje que se esperan lograr en el estudiante (pudiéndose señalar si estas se logran en conjunto con otros cursos); la pertinencia de la modalidad del curso con los contenidos, metodología de enseñanza-aprendizaje y objetivos que se plantean desarrollar. II) en caso haya un componente práctico en los cursos y se brinde de forma semipresencial o distancia, se presenta una justificación de la idoneidad de dicho modo para desarrollar las competencias esperadas y se evidencia que se cuenta con los recursos necesarios para ello (programas especializados, laboratorios remotos, simulaciones, realidad aumentada, entre otros). III) el detalle de cómo los programas semipresenciales y/o a distancia desarrollan las estrategias de investigación. IV) se evidencie que el programa responde a fundamentos teóricos y metodológicos, coherentes con el campo profesional, tecnológico o técnico en el que se inserta. se justifica como en los cursos y en la organización de los cursos se desarrollan estas fundamentaciones v) se justifica cómo la ruta formativa (cursos-malla curricular) permite el desarrollo del perfil del graduado y/o egresado. VI) se desarrollan las estrategias de evaluación específicas que se tendrá en el programa, evidenciándose su pertinencia con el campo profesional, tecnológico o técnico en el que se inserta. en caso el programa contenga menciones, deberá(n) incluir la justificación de las mismas; el tipo de competencias específicas esperadas, así como la ruta formativa para su desarrollo (cursos, módulos, entre otros) y su pertinencia con la modalidad en la que desarrollan. en caso se se establezca un diseño según módulos de competencia profesional: I) se justifica cómo la ruta formativa (cursos, talleres u otros espacios de aprendizaje) conduce al desarrollo de la competencia profesional del módulo y el tipo de proyecto que permitiría evidenciar el desarrollo de tal competencia. II) se cuenta con normativa que defina la ruta y requisitos para la adquisición del certificado. en esta, se define la forma en que se elaborara y sustentará el proyecto que demuestre la competencia alcanzada, la modalidad en la que se desarrollará, justificándose pertinencia de la misma. en caso sea pregrado dirigido a población mayor de 24 años, se desarrolla y justifica las estrategias pedagógicas del programa adaptas a las características del público objetivo (con mayor adaptación o flexibilidad horaria y con vinculación de los aprendizajes a la experiencia laboral).</t>
  </si>
  <si>
    <t>4_2</t>
  </si>
  <si>
    <t>Plan de estudios (de ser el caso, actualizado) que contiene como mínimo: I) nombre del programa, la (s) mención (es), el grado y título que otorga. II) la lista de cursos, precisando los créditos (estipulados según su normativa sobre equivalencias); si es general, específico o de especialidad (aplicable a pregrado); presencial o semipresencial o distancia; electivo u obligatorio; y la codificación que utilice cada uno de ellos III) objetivos académicos IV) perfil de graduados y/o egresado v) malla curricular. esquema de cursos por ciclo y la relación de cursos prerrequisito. VI) descripción de los contenidos de los cursos.</t>
  </si>
  <si>
    <t>Sustento empírico y teórico que justifica la pertinencia económica, social, cultural o académica de los programas en su ámbito de influencia.</t>
  </si>
  <si>
    <t>Estudios que cuenten con una base teórica y metodología verificable y con datos provenientes de fuentes primarias o secundarias. deben tener, como mínimo, el siguiente contenido: (I) determina y justifica el ámbito de influencia del programa (donde las actividades del programa o los egresados del mismo generarán impacto)44 (II) estudio de la demanda laboral (potencial e insatisfecha) o posibilidades de colocación laboral45 (III) estudio de la demanda formativa y oferta formativa similar existente en el ámbito de influencia y su impacto en el ámbito laboral de los egresados del programa. (IV) justificación de la pertinencia social, cultural o académica de la propuesta (o pertinencia con las políticas nacionales, internacionales o regionales). (v) justificación sobre la existencia de referentes en el ámbito nacional e internacional en torno a la propuesta académica. (VI) la relevancia y pertinencia de ofrecerlo en modalidad semipresencial y/o a distancia. los estudios y justificaciones son pertinentes con las áreas del conocimiento donde se ubica el programa, así como el nivel del grado o título que se piensa otorgar.</t>
  </si>
  <si>
    <t>Los programas académicos se encuentran fundamentados sobre la base de estudios empíricos— confiables, rigurosos y verificables— y teóricos, que justifican su pertinencia económica, social, cultural o académica en el ámbito de influencia.</t>
  </si>
  <si>
    <t>I.3 Justificación de la oferta propuesta</t>
  </si>
  <si>
    <t>Marco normativo y de gestión para procesos académico-administrativos adaptados a la modalidad semipresencial/a distancia: derechos y obligaciones, ética, infracciones y sanciones, propiedad intelectual, protección de datos/privacidad y seguridad informática.</t>
  </si>
  <si>
    <t>Documento(s) en donde se establece normativa específica sobre la(s) modalidad(es), para: (I) salvaguardar la propiedad intelectual (de las tareas, evaluaciones, trabajos, recursos y materiales de aprendizaje desarrollados en la modalidad), (II) protección de datos y privacidad, (III) seguridad informática.</t>
  </si>
  <si>
    <t>La universidad cuenta con un marco normativo y de gestión que define y especifica las disposiciones vinculadas a los procesos académicos-administrativos adaptados a la modalidad semipresencial y/o a distancia (derechos y obligaciones de los estudiantes y docentes, código o reglamento de ética, tipificación de infracciones y sanciones, propiedad intelectual, protección de datos y privacidad, así como seguridad informática, entre otras).</t>
  </si>
  <si>
    <t>I.2 Marco normativo</t>
  </si>
  <si>
    <t>2_4</t>
  </si>
  <si>
    <t>Documento que formaliza el número de vacantes (y requisitos) para cada programa en modalidad semipresencial y/o a distancia. en este se debe justificar la proyección de vacantes (mínimo a 3 años) con base en, no exclusivamente, los siguientes criterios: la capacidad de aforo de las aulas, laboratorios y talleres donde se impartirán horas lectivas, teóricas y/o prácticas (de ser el caso), el ancho de banda de la universidad la concurrencia esperada, entre otros. además, tiene en cuenta el número de docentes y tutores, capacitados y/o especializados en educación no presencial.</t>
  </si>
  <si>
    <t>2_3</t>
  </si>
  <si>
    <t>Documento(s) aprobado(s) o actualizado(s) por la autoridad competente que norma el desarrollo de las actividades académicas y de investigación de docentes y estudiantes, responsabilidades, deberes y derechos, tipificación de infracciones y sanciones. en el caso de maestrías de investigación y doctorados, se norma también los mecanismos de evaluación de las investigaciones de los estudiantes (mínimamente, tesis de grado) y la selección de jurados evaluadores (mínimamente, el de tesis), los mismos que cuentan con experiencia en investigación, orientándose a garantizar principios de objetividad e imparcialidad42 y transparencia43. en el caso de programas de pregrado dirigidos para población mayor de 24 años, de ser pertinente, se norma también los criterios académicos de equivalencia (en caso se provenga de un instituto) o de reconocimiento (en caso se reconozca la experiencia laboral como forma de exoneración de ciertos cursos) que se emplearán. asimismo, de ser pertinente, se norma además los criterios específicos de admisión para este tipo de programas, de existir diferencia con la admisión a programas regulares.</t>
  </si>
  <si>
    <t>2_2</t>
  </si>
  <si>
    <t>Reglamento aprobado por la autoridad competente en el que se normen las equivalencias entre horas lectivas presenciales, horas lectivas no presenciales y otro tipo de cargas de trabajo formativa que se desarrollen con el fin del logro de aprendizajes.</t>
  </si>
  <si>
    <t>Modelo educativo que define las características formativas y los lineamientos pedagógicos específicos para programas semipresenciales y/o a distancia.</t>
  </si>
  <si>
    <t>Documento que contenga los lineamientos, aprobados por autoridad competente, que desarrolla las estrategias pedagógicas y didácticas que usarán los programas, acorde a su modelo educativo, para promover: (I) los aprendizajes personalizados (II) los aprendizajes autónomos (III) la interacción en entornos o comunidades de aprendizaje no presenciales. asimismo, en estos se establecen las estrategias de evaluación de los aprendizajes, señalando los métodos y sistemas de evaluación, justificando su pertinencia con la modalidad. además, establece los lineamientos para la identificación y asignación de carga de trabajo para los estudiantes en cada curso, en coherencia con los créditos asignados.</t>
  </si>
  <si>
    <t>La universidad cuenta con un modelo educativo que especifica y define las características formativas de los programas semipresenciales y/o a distancia que se ofrece, y lineamientos pedagógicos específicos para la modalidad semipresencial y/o a distancia</t>
  </si>
  <si>
    <t>I.1 Modelo educativo y lineamientos pedagógicos</t>
  </si>
  <si>
    <t>1_2</t>
  </si>
  <si>
    <t>Documento que contenga el modelo educativo que específica y define las características formativas de los programas semipresenciales y/o a distancia, aprobado por autoridad competente, y que defina mecanismos y medios para su implementación. puede ser un modelo específico o incorporado como parte del modelo educativo institucional. contiene, como mínimo, los siguientes componentes: (I) conceptualización y justificación de su propuesta educativa, en atención al contexto social y tecnológico en el que se sitúa. (II) desarrolla las características de su propuesta formativa en entornos no presenciales de aprendizaje. (III) desarrolla una estrategia para que los estudiantes gocen de una integración en la vida universitaria, la construcción de identidad como universitarios y el uso de los servicios complementarios (mínimamente a nivel pregrado41) (IV) define el perfil del estudiante de la(s) modalidad(es), contemplando las necesidades y características de su público objetivo y cómo ello ha definido la propuesta formativa.</t>
  </si>
  <si>
    <t>Complementario</t>
  </si>
  <si>
    <t>COMPLEMENTARIO</t>
  </si>
  <si>
    <t>Sostenibilidad financiera</t>
  </si>
  <si>
    <t>NA</t>
  </si>
  <si>
    <t>Malla curricular de todos sus programas de estudios</t>
  </si>
  <si>
    <t>Transparencia de información en portal web</t>
  </si>
  <si>
    <t>VIII.1 Transparencia</t>
  </si>
  <si>
    <t>CBC complementaria: transparencia de universidades.</t>
  </si>
  <si>
    <t>VIII</t>
  </si>
  <si>
    <t>55_12</t>
  </si>
  <si>
    <t>Plana docente y docentes investigadores</t>
  </si>
  <si>
    <t>55_11</t>
  </si>
  <si>
    <t>Tarifas de los servicios prestados por toda indole (matrícula, pensión, constancias, certificados, entre otros)</t>
  </si>
  <si>
    <t>55_10</t>
  </si>
  <si>
    <t>Titulo de proyectos de investigacion, actualizados al ultimo semestre academico.</t>
  </si>
  <si>
    <t>55_9</t>
  </si>
  <si>
    <t>Ambientes o espacios destinados a brindar los servicios sociales, deportivos o culturales.</t>
  </si>
  <si>
    <t>55_8</t>
  </si>
  <si>
    <t>Reglamento de estudiantes</t>
  </si>
  <si>
    <t>55_7</t>
  </si>
  <si>
    <t>Numero de estudiantes por facultades y programas de estudio</t>
  </si>
  <si>
    <t>55_6</t>
  </si>
  <si>
    <t>Vacantes y fechas de concursos de selección para docentes según corresponda.</t>
  </si>
  <si>
    <t>55_5</t>
  </si>
  <si>
    <t>Numero de postulantes e ingresantes según modalidades de ingreso de los ultimos dos años.</t>
  </si>
  <si>
    <t>55_4</t>
  </si>
  <si>
    <t>Temario para los examenes de admision</t>
  </si>
  <si>
    <t>55_3</t>
  </si>
  <si>
    <t>Reglamento y calendario de admision</t>
  </si>
  <si>
    <t>55_2</t>
  </si>
  <si>
    <t>Mision y vision</t>
  </si>
  <si>
    <t>55_1</t>
  </si>
  <si>
    <t>Documento o norma que acredite mecanismos de coordinacion y alianzas estraegicas con el sector publico y/o privado (aplica para universidades existentes antes de la ley nº 30220).</t>
  </si>
  <si>
    <t>Alianzas estratégicas con sector público y privado</t>
  </si>
  <si>
    <t>VII.2 Mecanismos de coordinación y alianzas estratégicas con el sector público y/o privado</t>
  </si>
  <si>
    <t>Insercion laboral</t>
  </si>
  <si>
    <t>Existencia de mecanismos de mediación e inserción laboral (bolsa de trabajo u otros).</t>
  </si>
  <si>
    <t>VII</t>
  </si>
  <si>
    <t>54_1</t>
  </si>
  <si>
    <t>Registro de convenios</t>
  </si>
  <si>
    <t>Convenios de prácticas preprofesionales y profesionales</t>
  </si>
  <si>
    <t>VII.1 Mecanismos de mediación inserción e laboral para estudiantes y egresados</t>
  </si>
  <si>
    <t>53_1</t>
  </si>
  <si>
    <t>Registro de actividades orientadas a la mejora de la insercion laboral tales como: cursos, talleres, seminarios, programas, entre otros.</t>
  </si>
  <si>
    <t>Mecanismos de apoyo a la inserción laboral</t>
  </si>
  <si>
    <t>52_2</t>
  </si>
  <si>
    <t>Plataforma virtual de la bolsa de trabajo en portal web oficial (dominio propio de la universidad) disponible para los estudiantes y graduados.</t>
  </si>
  <si>
    <t>52_1</t>
  </si>
  <si>
    <t>Registro de graduados por semestre y programas de estudios de los dos ultimos años. (valido para universidades existentes con promociones de egresados antes de la ley nº 30220)</t>
  </si>
  <si>
    <t>Área o dirección de seguimiento del graduado</t>
  </si>
  <si>
    <t>51_4</t>
  </si>
  <si>
    <t>Plan de seguimiento al graduado aprobado por la autoridad competente de la universisdad; y</t>
  </si>
  <si>
    <t>51_3</t>
  </si>
  <si>
    <t>Rof,mof u otro documento aprobado por la autoridad competende de la universidad donde se especifique las funciones del area, direccion o departamento encargado del seguimiento del graduado; y</t>
  </si>
  <si>
    <t>51_2</t>
  </si>
  <si>
    <t>Documento de aprobacion de la creacion del area, direccion o departamento emitido por la autoridad competente de la universidad; y</t>
  </si>
  <si>
    <t>51_1</t>
  </si>
  <si>
    <t>Acervo bibliografico virtual: contratos o convenios de uso del servicio de bibliotecas virtuales, por lo menos equivalentes a la que proporciona CONCYTEC.</t>
  </si>
  <si>
    <t>Material bibliográfico según planes de estudio</t>
  </si>
  <si>
    <t>VI.8 Acervo bibliográfico</t>
  </si>
  <si>
    <t>Servicios complementarios</t>
  </si>
  <si>
    <t>Verificación de los servicios educacionales complementarios básicos (servicio médico, social, psicopedagógico, deportivo, entre otros).</t>
  </si>
  <si>
    <t>50_2</t>
  </si>
  <si>
    <t>Acervo bibliografico fisico: lista codificada del material bibliografico de las universidades, indicando el año de publicacion, filial y programa de estudio relacionado; y/o</t>
  </si>
  <si>
    <t>50_1</t>
  </si>
  <si>
    <t>Documento que contenga las politicas, planes y acciones de adecuacion al entorno y proteccion al ambiente</t>
  </si>
  <si>
    <t>Políticas y acciones de protección ambiental</t>
  </si>
  <si>
    <t>VI.7 Adecuación al entorno y protección al ambiente</t>
  </si>
  <si>
    <t>49_1</t>
  </si>
  <si>
    <t>Contrato o convenio para la prestacion del servicio a traves de terceros</t>
  </si>
  <si>
    <t>Seguridad y vigilancia en todos los locales</t>
  </si>
  <si>
    <t>VI.6 Servicios de seguridad y vigilancia</t>
  </si>
  <si>
    <t>48_2</t>
  </si>
  <si>
    <t>Documento que acredite el presupuesto destinado a la prestacion del servicio y/o</t>
  </si>
  <si>
    <t>48_1</t>
  </si>
  <si>
    <t>Servicios culturales disponibles</t>
  </si>
  <si>
    <t>VI.5 Servicios culturales</t>
  </si>
  <si>
    <t>47_2</t>
  </si>
  <si>
    <t>Documento que acredite el presupuesto destinado a la prestacion de servicio y/o</t>
  </si>
  <si>
    <t>47_1</t>
  </si>
  <si>
    <t>Normatividad, reglamento, y/o estatuto donde se indique la existencia de al menos tres disciplinas deportivas aprobado por la autoridad competete de la universidad.</t>
  </si>
  <si>
    <t>Servicios deportivos en al menos tres disciplinas</t>
  </si>
  <si>
    <t>VI.4 Servicios deportivos</t>
  </si>
  <si>
    <t>46_3</t>
  </si>
  <si>
    <t>46_2</t>
  </si>
  <si>
    <t>46_1</t>
  </si>
  <si>
    <t>Servicios psicopedagógicos disponibles</t>
  </si>
  <si>
    <t>VI.3 Servicios psicopedagógicos</t>
  </si>
  <si>
    <t>45_2</t>
  </si>
  <si>
    <t>45_1</t>
  </si>
  <si>
    <t>Existencia de servicios sociales</t>
  </si>
  <si>
    <t>VI.2 Servicio social</t>
  </si>
  <si>
    <t>44_2</t>
  </si>
  <si>
    <t>44_1</t>
  </si>
  <si>
    <t>En caso de servicio tercerizado, contrato o convenio para la prestacion del servicio a traves de terceros.</t>
  </si>
  <si>
    <t>Tópico en todos los locales</t>
  </si>
  <si>
    <t>VI.1 Servicios de salud</t>
  </si>
  <si>
    <t>43_3</t>
  </si>
  <si>
    <t>Documento que acredite el presupuesto destinado a la prestacion del servicio.</t>
  </si>
  <si>
    <t>43_2</t>
  </si>
  <si>
    <t>Formao SUNEDU de ubicación del topico, de encontrarse dentro de las instalaciones de la universidad, y</t>
  </si>
  <si>
    <t>43_1</t>
  </si>
  <si>
    <t>Plan de capacitacion docente</t>
  </si>
  <si>
    <t>Capacitación docente regulada</t>
  </si>
  <si>
    <t>V.3 Selección, evaluación y capacitación docente</t>
  </si>
  <si>
    <t>Verificación de la disponibilidad de personal docente calificado con no menos del 25% de docentes a tiempo completo.</t>
  </si>
  <si>
    <t>42_2</t>
  </si>
  <si>
    <t>Instrumento normativo, reglamento y otro documento que contenga los procedimientos de capacitacion anual de sus docentes aprobados por la autoridad competente de la universidad.</t>
  </si>
  <si>
    <t>42_1</t>
  </si>
  <si>
    <t>Instrumento normativo, reglamento u otro ocumento que contenga los procedimientos de seeccion, fechas de concursos de selección, evaluacion de desempeño anual de los docentes.</t>
  </si>
  <si>
    <t>Mecanismos y/o procedimientos para los procesos de gestión docente regulados</t>
  </si>
  <si>
    <t>41_1</t>
  </si>
  <si>
    <t>Padron de docentes actualizado al periodo vigente, según formato de relacion docente - SUNEDU.</t>
  </si>
  <si>
    <t>Docentes con grado mínimo de maestro o doctor</t>
  </si>
  <si>
    <t>V.2 Requisitos para el ejercicio de la docencia</t>
  </si>
  <si>
    <t>40_1</t>
  </si>
  <si>
    <t>25% de docentes a tiempo completo</t>
  </si>
  <si>
    <t>V.1 Existencia del 25% del total de docentes, como mínimo, a tiempo completo</t>
  </si>
  <si>
    <t>39_1</t>
  </si>
  <si>
    <t>Registro de proyectos precisando el nombre de proyecto, sus objetivos generales y especificos, investigador principal, recursos humanos, cronograma, presupuesto y entidad que financia (no aplica para universidades nuevas)</t>
  </si>
  <si>
    <t>Registro de proyectos de investigación</t>
  </si>
  <si>
    <t>IV.3 Registro de documentos y proyectos de investigación.</t>
  </si>
  <si>
    <t>Investigación</t>
  </si>
  <si>
    <t>Líneas de investigación a ser desarrolladas.</t>
  </si>
  <si>
    <t>38_1</t>
  </si>
  <si>
    <t>Plan de implementacion para las universidades nuevas.</t>
  </si>
  <si>
    <t>Registro de documentos de investigación / repositorio</t>
  </si>
  <si>
    <t>37_3</t>
  </si>
  <si>
    <t>Repositorio nacional digital de ciencia, tecnologia e innovacion denominado ALICIA (acceso libre a la informacion cientifica).</t>
  </si>
  <si>
    <t>37_2</t>
  </si>
  <si>
    <t>Repositorio institucional</t>
  </si>
  <si>
    <t>37_1</t>
  </si>
  <si>
    <t>Padron de docentes actualizados al periodo vigente, según formato de relacion docente - SUNEDU, señalando a os docentes que realizan investigacion y a aquellos que estan registrados en el dina</t>
  </si>
  <si>
    <t>Registro de docentes que realizan investigación</t>
  </si>
  <si>
    <t>IV.2 Docentes que realizan investigación</t>
  </si>
  <si>
    <t>36_1</t>
  </si>
  <si>
    <t>Resolucion u otro documento pertinente, donde se indique las politicas de proteccion de la propiedad intelectual, aprobado por la autoridad competente de la universidad.</t>
  </si>
  <si>
    <t>Políticas de protección de propiedad intelectual</t>
  </si>
  <si>
    <t>IV.1 Líneasde investigación</t>
  </si>
  <si>
    <t>35_1</t>
  </si>
  <si>
    <t>Codigo de etica para el investigador, con su resolucion de aprobacion correspondiente.</t>
  </si>
  <si>
    <t>Código de ética para la investigación</t>
  </si>
  <si>
    <t>34_1</t>
  </si>
  <si>
    <t>Presupuesto asignado para la investigacion, equipamiento personal y otros.</t>
  </si>
  <si>
    <t>Líneas y presupuesto de investigación</t>
  </si>
  <si>
    <t>33_2</t>
  </si>
  <si>
    <t>Resolucion rectoral que apruebe las lineas de investigacion u otro documento pertinente</t>
  </si>
  <si>
    <t>33_1</t>
  </si>
  <si>
    <t>Relacion del personal del organo de investigacion.</t>
  </si>
  <si>
    <t>32_2</t>
  </si>
  <si>
    <t>Estatuto u otro documento pertinente aprobado por la autoridad competente de la universidad.</t>
  </si>
  <si>
    <t>32_1</t>
  </si>
  <si>
    <t>Estatuto o plan estrategico institucional u otro documento pertinente aprobado por la autoridad competente de la universidad.</t>
  </si>
  <si>
    <t>Existencia de políticas, normas y procedimientos para el fomento de la investigación</t>
  </si>
  <si>
    <t>31_1</t>
  </si>
  <si>
    <t>Plan de mantenimiento aprobado por la autoridad competente de la universidad (indicando la ultima fecha de actualizacion)</t>
  </si>
  <si>
    <t>Plan y presupuesto de mantenimiento</t>
  </si>
  <si>
    <t>III.9 Mantenimiento de la infraestructura y equipamiento</t>
  </si>
  <si>
    <t>Infraestructura y equipamiento</t>
  </si>
  <si>
    <t>Infraestructura y equipamiento adecuado al cumplimiento de sus funciones (aulas, bibliotecas, laboratorios, entre otros).</t>
  </si>
  <si>
    <t>30_2</t>
  </si>
  <si>
    <t>Presupuesto de mantenimiento aprobado por la autoridad competente de la universidad (indicando la ultima fecha de actualizacion)</t>
  </si>
  <si>
    <t>30_1</t>
  </si>
  <si>
    <t>Formato SUNEDU donde se registrara la informacion de la ubicación de los ambientes para docentes en el local de la universidad.</t>
  </si>
  <si>
    <t>Ambientes para docentes en cada local</t>
  </si>
  <si>
    <t>III.8 Ambientes para docentes</t>
  </si>
  <si>
    <t>Formato SUNEDU. el evaluador verificara en campo el equipamiento de sus laboratorios según sus programas academicos.</t>
  </si>
  <si>
    <t>Equipamiento de laboratorios y talleres</t>
  </si>
  <si>
    <t>III.7 Talleres laboratorios para la enseñanza</t>
  </si>
  <si>
    <t>Certificado vigente de inspeccion tecnica de seguridad en edificaciones que corresponda (itse basico, ex post, ex ante o de detalle), según la normatividad vigente. el evaluador verificara en campo el equipamiento para sus laboratiorios según programas academicos.</t>
  </si>
  <si>
    <t>Disponibilidad de laboratorios y talleres de enseñanza</t>
  </si>
  <si>
    <t>Un estudio tecnico de calculo de aforo por local, elaborado y suscrito por un consultor ingeniero o arquitecto colegiado independiente o</t>
  </si>
  <si>
    <t>Formato SUNEDU</t>
  </si>
  <si>
    <t>El evaluador verificara en campo lo señalado</t>
  </si>
  <si>
    <t>Servicios higiénicos para docentes y administrativos</t>
  </si>
  <si>
    <t>III.6 Dotación de servicios higiénicos</t>
  </si>
  <si>
    <t>26_</t>
  </si>
  <si>
    <t>Formato SUNEDU, donde se incorpore el requerimiento de la dotacion de servicios higiencos por local de acuerdo a la norma tecnica a.040 y a.080 del rne</t>
  </si>
  <si>
    <t>Servicios higiénicos para estudiantes</t>
  </si>
  <si>
    <t>En el caso de las universidades nuevas o con ley de creacion que no cuenten con alumnos pueden presentar un proyecto de implementacion del servicio.</t>
  </si>
  <si>
    <t>Disponibilidad de internet en ambientes académicos</t>
  </si>
  <si>
    <t>III.5 Disponibilidad de servicios públicos</t>
  </si>
  <si>
    <t>El ultimo recibo de pago del servicio para locales ubicados en zonas rurales o un medio probatorio secedaneo que demuestre que cuenta con el servicio.</t>
  </si>
  <si>
    <t>Formato de SUNEDU que contiene el listado de ambientes con conexión a internet; y</t>
  </si>
  <si>
    <t>Disponibilidad de líneas telefónicas</t>
  </si>
  <si>
    <t>23_3</t>
  </si>
  <si>
    <t>Para el caso de locales ubicados en zonas rurales, podra demostrar la disponibilidad del servicio con una opcion alternativa.</t>
  </si>
  <si>
    <t>23_2</t>
  </si>
  <si>
    <t>Ultimo recibo de pago</t>
  </si>
  <si>
    <t>Disponibilidad de energía eléctrica</t>
  </si>
  <si>
    <t>Disponibilidad de agua potable y desagüe</t>
  </si>
  <si>
    <t>Protocolos de seguridad para laboratorios y talleres.</t>
  </si>
  <si>
    <t>La universidad cuenta con estándares de seguridad para el funcionamiento de los laboratorios, según corresponda</t>
  </si>
  <si>
    <t>III.4 Seguridad de uso de laboratorios y talleres</t>
  </si>
  <si>
    <t>Documento que demuestre la existencia de comites de seguridad biolgica, quimica y radiologica, según corresponda, especficando la relacion del personal calificado que lo conforma, suscrito por la autoridada competente de la universidad.</t>
  </si>
  <si>
    <t>La universidad cuenta con un reglamento interno de seguridad y salud en el trabajo, y protocolos de seguridad</t>
  </si>
  <si>
    <t>19_3</t>
  </si>
  <si>
    <t>Para el caso de generacion de residuos peligrosos, la universidad debera presentar contratos vigentes de disposicion de residuos solidos y liquidos de los laboratioios y talleres o un medio probatorio sucedaneo que cumpla con el mismo fin.</t>
  </si>
  <si>
    <t>Planes de seguridad incluyendo almacenamiento y gestion de sustancias inflamables y/o peligrosas.</t>
  </si>
  <si>
    <t>Certificado vigente de inspeccion tecnica de seguridad en edificaciones que corresponda (itse basica, ex post, ex ante o de detalle) emitido por la autoridad competente. de acuerdo a ds nº 085-2014-PCM reglamento de inspecciones tecnicas de seguridad en edificaciones</t>
  </si>
  <si>
    <t>Cumplimiento de normas de seguridad estructural y de riesgos</t>
  </si>
  <si>
    <t>III.3 Seguridad estructural y seguridad en caso de siniestros</t>
  </si>
  <si>
    <t>Contrato, convenio u otro documento pertinente en caso de cesion de uso exclusivo.</t>
  </si>
  <si>
    <t>Locales propios, alquilados, bajo cesión en uso o algún otro título, de uso exclusivo para su propósito</t>
  </si>
  <si>
    <t>III.2 Posesión de locales</t>
  </si>
  <si>
    <t>17_4</t>
  </si>
  <si>
    <t>Titulos o documentos que expresen el derecho real que ejerce sobre todos sus locales: o</t>
  </si>
  <si>
    <t>17_3</t>
  </si>
  <si>
    <t>Contratos de alquiler debidamente registrados en la sunarp de todos sus locales. para universidades privadas, el contrato debe tener una duracion no meno a 5 años para programas de pregrado y no menor a la duracion del programa de posgrado. para universidades publicas, contratos no menores a 1 año. en el contrato de alquiler del prorama de pregrado y posgrado tenga una duracion menor a lo señalado, la universidad debera acreditar contar con un proyecto inmobiliario en implementacion; o</t>
  </si>
  <si>
    <t>17_2</t>
  </si>
  <si>
    <t>Titulos de propiedad de todos sus locales debidamente registrados en la sunarp.</t>
  </si>
  <si>
    <t>Licencia de funcionamiento municipal vigente y/o certificado de parametros urbanisticos.</t>
  </si>
  <si>
    <t>Cumplimiento de normas de compatibilidad y zonificación</t>
  </si>
  <si>
    <t>III.1 Ubicación de locales</t>
  </si>
  <si>
    <t>Plan de financiamiento del nuevo programa de estudio a ofrecer.</t>
  </si>
  <si>
    <t>Plan de financiamiento para inicio y sostenibilidad de programas</t>
  </si>
  <si>
    <t>II.2 Creación de nuevos programas de estudios en universidades existentes</t>
  </si>
  <si>
    <t>Estudio de mercado</t>
  </si>
  <si>
    <t>Oferta educativa a crearse compatible con los fines propuestos en los instrumentos de planeamiento</t>
  </si>
  <si>
    <t>Documento o estudios que justifiquen la creacion de los nuevos programas de estudios</t>
  </si>
  <si>
    <t>Vinculación de nuevos programas a la demanda laboral</t>
  </si>
  <si>
    <t>Documento donde se indique las fuentes de financiamiento de la universidad.</t>
  </si>
  <si>
    <t>Fuentes de financiamiento (universidades privadas)</t>
  </si>
  <si>
    <t>II.1 Creación de nuevas universidades</t>
  </si>
  <si>
    <t>Documento que sustente la correspondencia entre la oferta educativa propuesta y las politicas nacionales y regionales de educacion universitaria. de acuerdo a la especialidad, dichas politicas pueden estar vinculadas (entre otros) con los siguientes documentos: -agenda de competitividad del sonsejo nacional de competitividad (cnc) y/o; plan estretegico de desarrollo nacional actualizado peru hacia el 2021 docucmento preliminar y/o; plan nacional estrategico de ciencia, tecnologia e innovacion para la competitividad y el desarrollo humano, pncti 2006-2021 y/o plan regional de cti; y/o -plan de desarrollo concertado regional.</t>
  </si>
  <si>
    <t>Oferta educativa alineada a políticas nacionales y regionales</t>
  </si>
  <si>
    <t>Documento o estudios que justifiquen el desarrollo de los programas de estudios.</t>
  </si>
  <si>
    <t>Vinculación de oferta educativa a demanda laboral</t>
  </si>
  <si>
    <t>Plan de financiamiento del presupuesto institucional para los proximos cinco (05) años.</t>
  </si>
  <si>
    <t>Plan de financiamiento a 5 años</t>
  </si>
  <si>
    <t>Presupuesto institucional formulado de acuerdo a su plan estrategico y/o planes operativos para los proximos cinco (05) años, que incluya el presupuesto de gestion administrativa, de investigacion, de infraestructura y de equipamiento (ampliazion, renovacion, mantenimiento, etc), de gestion academica, de servicios complementarios, de programas de bienestar, entre otros.</t>
  </si>
  <si>
    <t>Presupuesto institucional proyectado a 5 años</t>
  </si>
  <si>
    <t>Relacion del personal calificado asignado a la misma</t>
  </si>
  <si>
    <t>Área que gestiona la calidad</t>
  </si>
  <si>
    <t>I.6 Plan de gestión de la calidad institucional</t>
  </si>
  <si>
    <t>Gestion institucional y propuesta academica</t>
  </si>
  <si>
    <t>Existencia de objetivos académicos; grados y títulos a otorgar y planes de estudio correspondientes</t>
  </si>
  <si>
    <t>Documento que acredite la existencia de la creacion del area de gestion de la calidad, direccion o departamento emitido por la autoridad competente de la universidad, indicando su fecha de aprobacion</t>
  </si>
  <si>
    <t>Plan de gestion de la calidad institucional, aprobado por la autoridad competente de la universidad.</t>
  </si>
  <si>
    <t>Plan de gestión de calidad</t>
  </si>
  <si>
    <t>Informe estadistico de admision de los ultimos 2 años, según corresponda, (aplica para universidades existentes antes de la ley nº 30220)</t>
  </si>
  <si>
    <t>Informe estadístico de admisión de los últimos 2 semestres</t>
  </si>
  <si>
    <t>I.5 Procesos de admisión</t>
  </si>
  <si>
    <t>Normatividad o reglamento de admision aprobado por la autoridad competente de la universidad, que regule las modalidades de ingreso para todos los programas de estudios, indicando su ultima fecha de actualización</t>
  </si>
  <si>
    <t>Documento normativo de admisión</t>
  </si>
  <si>
    <t>Manual de usuario o documento pertinente que evidencia los sistemas de gestion institucional</t>
  </si>
  <si>
    <t>Sistemas de información que soportan procesos académicos y administrativos</t>
  </si>
  <si>
    <t>I.4 Sistemas de información</t>
  </si>
  <si>
    <t>4_8</t>
  </si>
  <si>
    <t>Manual de usuario o documento pertinente que evidencia los sistemas de pagos virtuales</t>
  </si>
  <si>
    <t>4_7</t>
  </si>
  <si>
    <t>Manual de usuario o documento pertinente que evidencia los sistemas de gestion de biblioteca</t>
  </si>
  <si>
    <t>4_6</t>
  </si>
  <si>
    <t>Manual de usuario o documento pertinente que evidencia los sistemas de aprendizaje virtual</t>
  </si>
  <si>
    <t>4_5</t>
  </si>
  <si>
    <t>Manual de usuario o documento pertinente que evidencia los sistemas de registro academico</t>
  </si>
  <si>
    <t>4_4</t>
  </si>
  <si>
    <t>Manual de usuario o documento pertinente que evidencia los sistemas de matricula</t>
  </si>
  <si>
    <t>Manual de usuario o documento pertinente que evidencia los sistemas de gestion docente</t>
  </si>
  <si>
    <t>Manual de usuario o documento pertinente que evidencia los sistemas de gestión económica y financiera</t>
  </si>
  <si>
    <t>Estatuto de la universidad, reglamento de grados y títulos u otro documento normativo aprobado por la autoridad competente de la universidad indicando ultima fecha de actualizacion.</t>
  </si>
  <si>
    <t>Documento normativo de grado y título</t>
  </si>
  <si>
    <t>I.3 Grados y títulos</t>
  </si>
  <si>
    <t>Formato de malta curricular y análisis de créditos académicos - SUNEDU.</t>
  </si>
  <si>
    <t>Plan de estudio para cada programa</t>
  </si>
  <si>
    <t>I.2 Objetivos académicos y planes de estudio</t>
  </si>
  <si>
    <t>Planes de estudios de los programas de estudios aprobados por la autoridad competente de la universidad (resolución), indicando su última fecha de actualización.</t>
  </si>
  <si>
    <t>Estatuto de la universidad u otro documento aprobado por la autoridad competente de la universidad.</t>
  </si>
  <si>
    <t>Objetivos institucionales definidos</t>
  </si>
  <si>
    <t>I.1 Objetivos institucionales</t>
  </si>
  <si>
    <t>Consideraciones</t>
  </si>
  <si>
    <t>Finalidad</t>
  </si>
  <si>
    <t>MedioVerificacion</t>
  </si>
  <si>
    <t>MV</t>
  </si>
  <si>
    <t>ResumenIndicador</t>
  </si>
  <si>
    <t>DenomIndicador</t>
  </si>
  <si>
    <t>NroIndicador</t>
  </si>
  <si>
    <t>Componente</t>
  </si>
  <si>
    <t>Etiqueta</t>
  </si>
  <si>
    <t>DenomCBC</t>
  </si>
  <si>
    <t>CodigoIndicador</t>
  </si>
  <si>
    <t>Modelo</t>
  </si>
  <si>
    <t>IdIndicador</t>
  </si>
  <si>
    <t>modelo</t>
  </si>
  <si>
    <t>MAPEO DE COLUMNAS → BASE DE DATOS (SQLite)</t>
  </si>
  <si>
    <t>Columna Excel</t>
  </si>
  <si>
    <t>Bloque (fila 2)</t>
  </si>
  <si>
    <t>Campo original</t>
  </si>
  <si>
    <t>Nombre_SQL</t>
  </si>
  <si>
    <t>Tipo SQLite</t>
  </si>
  <si>
    <t>Notas</t>
  </si>
  <si>
    <t>A</t>
  </si>
  <si>
    <t>—</t>
  </si>
  <si>
    <t>id</t>
  </si>
  <si>
    <t>INTEGER</t>
  </si>
  <si>
    <t>PK</t>
  </si>
  <si>
    <t>B</t>
  </si>
  <si>
    <t>anio</t>
  </si>
  <si>
    <t>C</t>
  </si>
  <si>
    <t>tipo_anp</t>
  </si>
  <si>
    <t>TEXT</t>
  </si>
  <si>
    <t>SNP / AD / Denuncia</t>
  </si>
  <si>
    <t>D</t>
  </si>
  <si>
    <t>CANAL DENUNCIA / ORIGEN</t>
  </si>
  <si>
    <t>canal_origen</t>
  </si>
  <si>
    <t>E</t>
  </si>
  <si>
    <t>N° DE EXPEDIENTE</t>
  </si>
  <si>
    <t>nro_expediente</t>
  </si>
  <si>
    <t>F</t>
  </si>
  <si>
    <t>estado</t>
  </si>
  <si>
    <t>G</t>
  </si>
  <si>
    <t>nro_expediente_sunged</t>
  </si>
  <si>
    <t>H</t>
  </si>
  <si>
    <t>id_universidad</t>
  </si>
  <si>
    <t>FK → dimUniversidades</t>
  </si>
  <si>
    <t>tipo_gestion</t>
  </si>
  <si>
    <t>J</t>
  </si>
  <si>
    <t>codigo_local</t>
  </si>
  <si>
    <t>MULTIVALOR · FK → dimLocales</t>
  </si>
  <si>
    <t>K</t>
  </si>
  <si>
    <t>direccion</t>
  </si>
  <si>
    <t>MULTIVALOR (se autogenera)</t>
  </si>
  <si>
    <t>L</t>
  </si>
  <si>
    <t>region</t>
  </si>
  <si>
    <t>MULTIVALOR</t>
  </si>
  <si>
    <t>M</t>
  </si>
  <si>
    <t>provincia</t>
  </si>
  <si>
    <t>N</t>
  </si>
  <si>
    <t>distrito</t>
  </si>
  <si>
    <t>O</t>
  </si>
  <si>
    <t>P</t>
  </si>
  <si>
    <t>cbc</t>
  </si>
  <si>
    <t>MULTIVALOR · derivable del indicador</t>
  </si>
  <si>
    <t>Q</t>
  </si>
  <si>
    <t>indicador</t>
  </si>
  <si>
    <t>MULTIVALOR · FK → dimIndicadores (NroIndicador)</t>
  </si>
  <si>
    <t>R</t>
  </si>
  <si>
    <t>hechos_denunciados</t>
  </si>
  <si>
    <t>S</t>
  </si>
  <si>
    <t>complejidad</t>
  </si>
  <si>
    <t>Alta / Media / Baja</t>
  </si>
  <si>
    <t>T</t>
  </si>
  <si>
    <t>prioridad</t>
  </si>
  <si>
    <t>U</t>
  </si>
  <si>
    <t>ultima_accion</t>
  </si>
  <si>
    <t>fecha_ultima_accion</t>
  </si>
  <si>
    <t>DATE</t>
  </si>
  <si>
    <t>YYYY-MM-DD</t>
  </si>
  <si>
    <t>W</t>
  </si>
  <si>
    <t>comentarios</t>
  </si>
  <si>
    <t>X</t>
  </si>
  <si>
    <t>PROFESIONAL ASIGNADO</t>
  </si>
  <si>
    <t>profesional_asignado</t>
  </si>
  <si>
    <t>Y</t>
  </si>
  <si>
    <t>acciones</t>
  </si>
  <si>
    <t>Z</t>
  </si>
  <si>
    <t>COMPROMETIDO EN PLAN ANUAL 2026</t>
  </si>
  <si>
    <t>comprometido_plan_2026</t>
  </si>
  <si>
    <t>Sí/No</t>
  </si>
  <si>
    <t>AA</t>
  </si>
  <si>
    <t>entrega_informe_fecha</t>
  </si>
  <si>
    <t>AB</t>
  </si>
  <si>
    <t>entrega_informe_estado</t>
  </si>
  <si>
    <t>AC</t>
  </si>
  <si>
    <t>revision_jefe_fecha</t>
  </si>
  <si>
    <t>revision_jefe_estado</t>
  </si>
  <si>
    <t>AE</t>
  </si>
  <si>
    <t>productos</t>
  </si>
  <si>
    <t>AF</t>
  </si>
  <si>
    <t>anp_nro</t>
  </si>
  <si>
    <t>Sección ANP (Año 2026)</t>
  </si>
  <si>
    <t>AG</t>
  </si>
  <si>
    <t>anp_anio</t>
  </si>
  <si>
    <t>AH</t>
  </si>
  <si>
    <t>anp_accion</t>
  </si>
  <si>
    <t>AI</t>
  </si>
  <si>
    <t>anp_universidad</t>
  </si>
  <si>
    <t>AJ</t>
  </si>
  <si>
    <t>anp_exp_interno</t>
  </si>
  <si>
    <t>AK</t>
  </si>
  <si>
    <t>anp_exp_sunged</t>
  </si>
  <si>
    <t>AL</t>
  </si>
  <si>
    <t>INICIO DE ANP</t>
  </si>
  <si>
    <t>inicio_anp_documento</t>
  </si>
  <si>
    <t>AM</t>
  </si>
  <si>
    <t>inicio_anp_fecha_notif</t>
  </si>
  <si>
    <t>AN</t>
  </si>
  <si>
    <t>Días hábiles entrega info</t>
  </si>
  <si>
    <t>inicio_anp_dias_habiles</t>
  </si>
  <si>
    <t>AO</t>
  </si>
  <si>
    <t>inicio_anp_fecha_venc</t>
  </si>
  <si>
    <t>AP</t>
  </si>
  <si>
    <t>Días para vencimiento</t>
  </si>
  <si>
    <t>inicio_anp_dias_venc</t>
  </si>
  <si>
    <t>AQ</t>
  </si>
  <si>
    <t>inicio_anp_alerta_i</t>
  </si>
  <si>
    <t>AR</t>
  </si>
  <si>
    <t>inicio_anp_alerta_ii</t>
  </si>
  <si>
    <t>AS</t>
  </si>
  <si>
    <t>inicio_anp_estado</t>
  </si>
  <si>
    <t>AT</t>
  </si>
  <si>
    <t>inicio_anp_observaciones</t>
  </si>
  <si>
    <t>AU</t>
  </si>
  <si>
    <t>SEGUIMIENTO DE ANP</t>
  </si>
  <si>
    <t>seg_anp_ultima_actuacion</t>
  </si>
  <si>
    <t>AV</t>
  </si>
  <si>
    <t>Fecha de entrega (real)</t>
  </si>
  <si>
    <t>seg_anp_fecha_entrega</t>
  </si>
  <si>
    <t>AW</t>
  </si>
  <si>
    <t>seg_anp_tipo_info</t>
  </si>
  <si>
    <t>AX</t>
  </si>
  <si>
    <t>Diferencia entrega vs real</t>
  </si>
  <si>
    <t>seg_anp_diferencia_dias</t>
  </si>
  <si>
    <t>AY</t>
  </si>
  <si>
    <t>seg_anp_observaciones</t>
  </si>
  <si>
    <t>AZ</t>
  </si>
  <si>
    <t>seg_anp_tipo_solicitud</t>
  </si>
  <si>
    <t>BA</t>
  </si>
  <si>
    <t>seg_anp_documento</t>
  </si>
  <si>
    <t>BB</t>
  </si>
  <si>
    <t>seg_anp_fecha_notif</t>
  </si>
  <si>
    <t>BC</t>
  </si>
  <si>
    <t>seg_anp_dias_habiles</t>
  </si>
  <si>
    <t>BD</t>
  </si>
  <si>
    <t>seg_anp_fecha_venc</t>
  </si>
  <si>
    <t>BE</t>
  </si>
  <si>
    <t>seg_anp_dias_venc</t>
  </si>
  <si>
    <t>BF</t>
  </si>
  <si>
    <t>seg_anp_alerta_i</t>
  </si>
  <si>
    <t>BG</t>
  </si>
  <si>
    <t>seg_anp_alerta_ii</t>
  </si>
  <si>
    <t>BH</t>
  </si>
  <si>
    <t>seg_anp_estado</t>
  </si>
  <si>
    <t>SL01, SL02</t>
  </si>
  <si>
    <t>SL01, SL03, SL10, SL14, F06L02</t>
  </si>
  <si>
    <t>SL01, SL05, F01L01, F02L01, F03L01</t>
  </si>
  <si>
    <t>SL03, SL04, F01L01</t>
  </si>
  <si>
    <t>SL01, SL02, SL03, SL04</t>
  </si>
  <si>
    <t>SL02, SL08</t>
  </si>
  <si>
    <t>SF Azángaro, SF Chucuito</t>
  </si>
  <si>
    <t>SL03, SL04</t>
  </si>
  <si>
    <t>F03L01, Local IES Nuestra Señora del Carmen de Lircay</t>
  </si>
  <si>
    <t>SL07, SL09, SL10</t>
  </si>
  <si>
    <t>SL01, SL02, SL04</t>
  </si>
  <si>
    <t>F02L01, F02L03</t>
  </si>
  <si>
    <t>SL03, SL05</t>
  </si>
  <si>
    <t>No precisa codigo de local</t>
  </si>
  <si>
    <t>17, 19, 20, 21, 22, 23, 24, 27, 29, 30, 44</t>
  </si>
  <si>
    <t>17, 20, 27, 28, 30</t>
  </si>
  <si>
    <t>19, 20, 21, 27, 28, 30, 39, 40, 41, 50</t>
  </si>
  <si>
    <t>17, 19, 20, 21, 22, 27, 28, 30, 39, 40, 43, 44, 48</t>
  </si>
  <si>
    <t>1, 17</t>
  </si>
  <si>
    <t>17, 24, 27, 28, 29, 30</t>
  </si>
  <si>
    <t>19, 20, 27, 28, 30</t>
  </si>
  <si>
    <t>17, 19, 20, 27, 28, 29, 30, 43, 44, 45, 48</t>
  </si>
  <si>
    <t>2, 5, 6, 17, 19, 20, 21, 22, 23, 24, 27, 28, 29, 30, 33, 36, 38, 39, 40, 41, 42, 43, 44, 45, 46, 47, 48, 50</t>
  </si>
  <si>
    <t>19, 24, 27, 30, 44, 50</t>
  </si>
  <si>
    <t>17, 19, 20, 21, 22, 23, 24, 27, 28, 29, 30</t>
  </si>
  <si>
    <t>19, 21, 22, 24, 27, 30, 43, 44, 45, 46, 47, 48, 50</t>
  </si>
  <si>
    <t>1, 27, 28, 30, 33, 40, 41, 44, 51</t>
  </si>
  <si>
    <t>1, 19, 27, 30, 44, 4, 39, 32, 41</t>
  </si>
  <si>
    <t>20, 21, 27, 28, 30, 44</t>
  </si>
  <si>
    <t>45, 48</t>
  </si>
  <si>
    <t>III, V, VI</t>
  </si>
  <si>
    <t>III, VI</t>
  </si>
  <si>
    <t>III, IV, V</t>
  </si>
  <si>
    <t>III, IV</t>
  </si>
  <si>
    <t>I, III</t>
  </si>
  <si>
    <t>I, III, IV, V, VI</t>
  </si>
  <si>
    <t>IV, V, VIII</t>
  </si>
  <si>
    <t>I, III, IV, V, VI, VII</t>
  </si>
  <si>
    <t>V, VI</t>
  </si>
  <si>
    <t>I, III, V</t>
  </si>
  <si>
    <t>La acción directa se motiva ante la falta de evidencia sobre la implementación de ambientes de enseñanza (aulas, laboratorios y talleres) y adquisiciOn de equipamiento necesarios para la prestación del servicio educativo de los cursos desde el tercer año de estudios para los programas nuevos (Contabilidad, Educación Primaria Intercultural e Ingeniería Ambiental), así como incluye también indagaciones respecto a la disponibilidad del servicio de biblioteca. Esto fue advertido a través de un análisis previo realizado por la Dilic y tras el traslado de pronunciamientos de los Centros Federados de la UNJMA.</t>
  </si>
  <si>
    <t>OS 
Antecedentes Barzen Manrique (Feb-26)
CBC III Víctor de la Cruz (Feb-26)
Priorizada para ser cerrada en marzo 2026.
La CBC escala a SNP</t>
  </si>
  <si>
    <t>La Universidad remitió información requerida en el Acta de Supervisión, mediante Oficio N° 557 - 2025- UNAT del 21.11.25</t>
  </si>
  <si>
    <t>El expediente estuvo asignado a Carla, pendiente consultar si se realizó alguna acción.
Pendiente inicio de elaboración de IR.</t>
  </si>
  <si>
    <t>OS Antecedentes: Barzen Manrique (Mar-26)
Priorizada para ser cerrada en marzo 2026.
CBC III Carla La Torre IR del 23.02.26 al 20.03.26
Priorizada para ser cerrada en marzo 2026.</t>
  </si>
  <si>
    <t>Pendiente de revisión por Gigi 
Desde el 09.02.26 al 20.02.26
Priorizada para ser cerrada en febrero 2026</t>
  </si>
  <si>
    <t>Hace de conocimiento lo siguiente:
(I) La universidad vendría adicionando carreras y admitiría más alumnos, sin contar con los docentes necesarios para el dictado de clases.
(II) Se les obligaría a pagar por un seguro que no lo necesitarían.III) El aforo de las aulas estaría excediendo el límite permitido.
La Universidad mediante Oficio N° 045-2025-SG-UCAL del 16 de julio de 2025, presentó los ocho (8) puntos de la condicion III y de la condicion VI la contratación del seguro que ofrece UCAL no es obligatoria, el estudiante puede optar por adquirir la póliza que más le convenga.exigencia de pagar por un seguro
Jenny proyectó el Oficio de Requirimiento Complementario, pendiente de revisión y envío a la universidad.</t>
  </si>
  <si>
    <t>Informacion solicitada mediante Oficio Nº 02404-2025-SUNEDU-DS-DIRESESU-UVE del 01 de Julio de 2025, se solicita ocho (8) puntos de la Condición III (indicadores 27 y 28) del Modelo de Licenciamiento y Condición V (indicadores 39 y 40) del Modelo de Licenciamiento y Condición II (indicador 6) del Modelo para programas semipresenciales y a distancia</t>
  </si>
  <si>
    <t>La Universidad presentó el Oficio N° 045-2025-SG-UCAL del 16.07.2025, respondiendo al Oficio N° 02404-2025-SUNEDU-DS-DIRESESU-UVE con el cual se solicita información acerca de la denuncia.
Pendiente de analizar infromación presentada y elaborar IR.</t>
  </si>
  <si>
    <t>Pendiente proyectar requerimiento de información de CBC III y V
Antecedentes Barzen Manrique
CBC III Carla La Torre 01.07.26 al 17.07.26
CBC V pendiente definir evaluador
Priorizada para ser cerrada en julio 2026.</t>
  </si>
  <si>
    <t>031172-2023-SUNEDU-TD, 2024INT0000006179-SUNEDU</t>
  </si>
  <si>
    <t>Denuncia contra la Universidad Nacional Daniel Alcides Carrión (UNDAC) por presuntas irregularidades que afectarían el mantenimiento de las Condiciones Básicas de Calidad, referidas a: i) paralización de la obra de remodelación de instalaciones eléctricas en la sede central San Juan (Yanacancha), generando riesgos para la seguridad de los estudiantes por zanjas abiertas y cables expuestos (Denuncia 1: RTD 031167-2023-SUNEDU-TD, del 30/06/2023); ii) falta de prestación del servicio de comedor universitario en las filiales de Oxapampa (F01L01), Tarma (F02L01) y Chanchamayo (F03L01) (Denuncia 2: RTD 031172-2023-SUNEDU-TD, del 30/06/2023)</t>
  </si>
  <si>
    <t>Se escala, de denunacia a SNP, pendiente de firma de ejecutiva
Mediante Oficio N° 000281-2025-UNDAC/R, remitio informacion peticionaria: 
1. Informe N°000037-2025-DBU
2.Informe Tecnico N°000024-2025-UEI
* Solo se hizo un cotejo de información falta evaluarla</t>
  </si>
  <si>
    <t>A sido trasladado a otro expediente: 4. AD-003-2024 (UNDAC), ya cuenta con Visita de Inspección, la Universidad ha entregado información(además se deberá acumular lo del expediente 
En la visita de inspección de octubre de 2025, no se solicitó información vinculada a esta denuncia.
En cuanto firmen el oficio se eleva a SNP.</t>
  </si>
  <si>
    <t>OS 
Antecedentes Barzen Manrique
CBC III Jenny Mendez (Mar-26)
CBC VI Ysella Arguedas (Mar-26)
Priorizada para ser cerrada en marzo 2026
Para elaboración de IR con información post VI y lo que entregará del exp 01927-2025-SUNEDI/02-13)
Priorizada para ser cerrada en abril 2026</t>
  </si>
  <si>
    <t>La acción directa se motiva tras la comunicación realizada por la propia universidad (RTD N° 15698-2023-SUNEDU-TD, u Oficios N° 0103-2023-R-UNE del 24/03/2023 y Nº 0149-2023-R-UNE del 11/05/2023) señalando que las circunsancias ambientales de su entorno habrían generado afectación a la prestación del servicio educativo de manera presencial:
- Destrucción de los canales de agua y pistas; el enlodamiento de las vIas de acceso a las aulas, ambientes académicos y administrativos; y la filtración de agua a los ambientes de clases y comedor universitario.
- Los sistemas de abastecimiento de agua no tendrían capacidad para atender a la comunidad universitaria en un contexto de presencialidad.</t>
  </si>
  <si>
    <t>Las acciones iniciarían con Oficio de abril de 2023 que comunica la "supervisión orientativa" para el seguimiento y cumplimiento de las 20 recomendaciones realizadas mediante el Informe de Resultados N° 0025-
2023-SUNEDU/02-13 del 17 de febrero de 2023, el cual fue producto de una supervisión programada realizada previamente. Dichas recomendaciones están relaciionadas con CBC I (gestión de calidad), CBC IV (investigación), CBC V (docentes), VI (servicios complementarios) y adiconalmente refieren a CBC III (ejecución presupuestal de sus proyectos de inversión y de mantenimiento).</t>
  </si>
  <si>
    <t>Pendiente enviar primer reiterativo de información
IR 
Antecedentes Barzen Manrique
CBC III Carla La Torre 04.05.26 al 22.05.26
CBC IV y V - Liz (Por confirmar fechas)
Priorizada para ser cerrada en mayo 2026.</t>
  </si>
  <si>
    <t>OS CBC III Jenny Mendez (Feb-26)
CBC V y VI Ysella Arguedas (Feb-26)
Priorizada para ser cerrada en mayo 2026.</t>
  </si>
  <si>
    <t>Solicita se designe a una nueva vicepresidenta de investigación, debido a que en el transcurso del presente año, la universidad no vendría financiando proyectos de tesis, investigaciones de docentes, emprendimientos empresariales, ni grupos de investigación; con lo cual, se estaría incumpliendo las condiciones básicas de calidad.</t>
  </si>
  <si>
    <t>La Universidad remitió información solicitada mediante Oficio N° 551-2025-UNAB-CO/</t>
  </si>
  <si>
    <t>Por lo tanto se sugiere sea derivado a el especialista de Investigacion.
Pendiente elaboración de Oficio de Requerimiento Inicial 
Se cuenta con un Informe N° ​2 – Orden de servicio N° 2036-2025​ de Maria Alejandra Fuentes Diestra, sobre la denuncia de Investigacion, donde considera informacion del Oficio N° 551-2025-UNAB-CO/P, donde se encuentran los enlaces de Investigación.</t>
  </si>
  <si>
    <t>Pendiente revisión por Isabel Astete 
Desde el 04.02.26 al 20.02.26
Priorizada para ser cerrada en febrero 2026.</t>
  </si>
  <si>
    <t>IR 
Antecedentes Barzen Manrique
CBC III Carla La Torre 01.04.26 al 15.04.26
CBC V y VI 02.03.26 al 13.03.26
Priorizada para ser cerrada en abril 2026</t>
  </si>
  <si>
    <t>La Universidad presentó información con Oficio N° 0498-2025-UNCA/P-CO en respuesta al OFICIO N° 03963-2025-SUNEDU-DS-DIRESESU-UVE</t>
  </si>
  <si>
    <t>En la carpta Z se encuentra el OFICIO N° 03497-2025-SUNEDU-DS-DIRESESU-UVE (08.09.25), con el que se requirió información para 4 expedientes (01773-2024-SUNEDU/02-13, 01020-2025-SUNEDU/02-13, 01186-2025-SUNEDU/02-13 y 02160-2025-SUNEDU/02-13) y comunica que se realizará Visita de Inspección los dias 15 al 19 de setiembre a 5 locales.
Isabel comenzó con la evaluación de la CBC IV el 10.02.26.</t>
  </si>
  <si>
    <t>OS 
Antecedentes Barzen (Feb-26)
CBC III Manuel Hurtado (Feb-26)
CBC IV Liz (pendiente definir fechas)
Priorizada para ser cerrada en julio 2026.</t>
  </si>
  <si>
    <t>2024EXT0000015663-SUNEDU, 2024EXT0000038187-SUNEDU</t>
  </si>
  <si>
    <t>Manifiesta que habría sido víctima de engaño por parte de la universidad antes de su postulación, ya que le habrían indicado que las clases de la carrera de Contabilidad y Economía iban a ser dictadas en la nueva sede Oquendo; sin embargo, tras haber ingresado le indicarían que las clases continuarían dictándose en la sede ubicada en la Avenida Nicolás de Piérola.
Estan vinculados dos (2)denuncias:
1.-Irregularidades en la Av Nicolas de Pierola 2024EXT0000015663-SUNEDU, del 03/05/2024 (las carreras de Contabilidad y Economía, este año se hizo de manera oficial por sus redes y por el prospecto, entonces muchos gracias a ello postularon a dichas carreras con el fin de llevar sus clases en la sede Oquendo de la UNFV por temas de distancia y/o infraestructura moderna. Pero ahora al ser ingresantes se informa desde la facultad que las clases aún seguirán siendo en la antigua sede (Av. Nicolás de Piérola 262, Lima 15001)
2.- Irregularidades sede Iquique 2024EXT0000038187-SUNEDU, del 23/09/2024 ( 1. El espacio es demasiado pequeno para la cantidad de estudiantes que somos, y nuestra facultad en los 3 ultimos procesos de admision amplio las vacantes de manera significativa por lo cual ahora somos demasiado e incluso por ello tomamos clases en otras sedes como la de odontologia sede pueblo libre. Se nos dice desde hace tiempo, que hay una sede en construccion (Oquendo) pero hasta ahora no hay avances.)</t>
  </si>
  <si>
    <t>Mediante la Carta Nº 01239-2024-SUNEDU-DS-DIRESESU-UVE, la SUNEDU comunica al denunciante de las acciones que se han venido tomando.
Mediante OFICIO Nº 00789-2024-SUNEDU-DS-DIRESESU-UVE del 11/11/24 se remite a la Muni de Breña el caso en cuanto a los pasos de escaleras</t>
  </si>
  <si>
    <t>Pendiente visita del 18.02.26 al 20.02.26 por Carla La Torre + Néstor Ticse+ Víctor dela Cruz+ Abogada
Falta programar producto
Priorizada para ser cerrada en diciembre 2026.</t>
  </si>
  <si>
    <t>Pendiente enviar tercer reiterativo de información
Pendiente visita en abril 2 personas.
Priorizada para ser cerrada en junio 2026.</t>
  </si>
  <si>
    <t>Pendiente realizar primer reiterativo
OS 
Antecedentes Barzen Manrique (Mar-26)
CBC III Víctor de la Cruz (Mar-26)
Priorizada para ser cerrada en agosto 2026.</t>
  </si>
  <si>
    <t>Antecedentes Barzen Manrique
CBC III Carla La Torre 01.06.26 al 19.06.26
Priorizada para ser cerrada en junio 2026.</t>
  </si>
  <si>
    <t>Levantamiento Oficio de Cierre por parte de Gigi el 09.02.26
Priorizada para ser cerrada en febrero 2026.</t>
  </si>
  <si>
    <t>Hace de conocimiento presuntas irregularidades en los indicadores de las condiciones básicas de calidad:
(I) presunta ilegalidad sobre la adecuación de los estatutos a las disposiciones establecidas a la ley universitaria.
(II) la universidad no habría registrado un inmueble adquirido en el 2010 por las autoridades universitarias, ubicado en la Calle Dos de Mayo No. 152. Miraflores</t>
  </si>
  <si>
    <t>Pendiente visita del 25.02.26 por Carla La Torre + Susana Varas
CBC I y CBC III Susana Varas 02.03.26 al 20.03.26
Priorizada para ser cerrada en marzo 2026.</t>
  </si>
  <si>
    <t>Pendiente revisión porIsabel Astete 
Desde el 09.02.26 al 20.02.26
Priorizada para ser cerrada en marzo 2026.
Ernetso</t>
  </si>
  <si>
    <t>En la carpeta en Z no hay informacion se requiere solicitar informacion.
Se cuenta con informacion de la VI realizada para el PILOTO del PLAN 2025. Donde verificaron que si funcionaba y habia dejado de atender un tiempo por mantenimiento de las instalacion. (Pablo tiene fotos)</t>
  </si>
  <si>
    <t>Falta IR u Oficio para cierre
Priorizada para ser cerrada en febrero 2026.
Néstor</t>
  </si>
  <si>
    <t>Carta N° 01451-2026-SUNEDU-DS-DIRESESU-UVE y Oficio Nº 01850-2026-SUNEDU-DS-DIRESESU-UVE</t>
  </si>
  <si>
    <t>2025EXT0000044435-SUNEDU, 2025EXT0000048042-SUNEDU</t>
  </si>
  <si>
    <t>Oficio Nº 3012-AL-2025 de respuesta a requerimiento de información</t>
  </si>
  <si>
    <t>ARCHIVADO. Pendiente actualizar la carpeta del Z, incluyendo el oficio que archiva la denuncia.</t>
  </si>
  <si>
    <t>CBC III Gigi Nassi 09.02.26 al 16.02.26
Priorizada para ser cerrada en marzo 2026. Rev RL</t>
  </si>
  <si>
    <t>Pendiente revisión final por parte de Herbert en abril 2026</t>
  </si>
  <si>
    <t>Pendiente escalar a SNP, mediante oficio.</t>
  </si>
  <si>
    <t>Elaborar Oficio para escalar a SNP y requerimiento de info en mayo 2026.
Falta programar producto</t>
  </si>
  <si>
    <t>OS 
Antecedentes Barzen Manrique (Feb-26)
CBC I y IV Katherine Mideyrosz (Feb y Mar-26)
CBC V y CBC VI Tatiana Canales (Feb y Mar -26)
Priorizada para ser cerrada en mayo 2026. (Rev. RL)</t>
  </si>
  <si>
    <t>Pendiente visita del 10.02.26 al 12.02.26 por Stephanie Recabarren + Susana Varas
CBC III Carla La Torre
Priorizada para ser cerrada en setiembre 2026.</t>
  </si>
  <si>
    <t>03190-2025-SUNEDU/02-13
(Vinculado 03188-2025-SUNEDU/02-13)</t>
  </si>
  <si>
    <t>2025EXT0000062679-SUNEDU, 2025EXT0000063005-SUNEDU</t>
  </si>
  <si>
    <t>Se recomienda acumular la atención al Expediente más antiguo al ser afines</t>
  </si>
  <si>
    <t>2025EXT0000038971-SUNEDU, 2024INT0000002755-SUNEDU</t>
  </si>
  <si>
    <t>Denuncia referida a la presunta falta de implementación del programa de Ingeniería Metalúrgica de la Universidad Nacional Daniel Alcides Carrión, consistente en la inexistencia y/o insuficiencia de laboratorios, talleres, reactivos, materiales y equipamiento necesario para el desarrollo de prácticas académicas, lo que habría limitado la formación de competencias profesionales de los estudiantes. Asimismo, se reporta la falta de asignación de ambientes adecuados para los laboratorios pedagógicos, la inoperatividad de equipos especializados —como el equipo de absorción atómica— por ausencia de personal capacitado, así como deficiencias en la dotación de insumos básicos para el inicio del semestre académico. Adicionalmente, se advierten presuntas deficiencias en la gestión administrativa vinculadas a la demora en la entrega de ambientes, falta de atención a reclamos formales presentados por estudiantes y egresados, y ausencia de acciones oportunas para garantizar condiciones mínimas de infraestructura y equipamiento.</t>
  </si>
  <si>
    <t>2025EXT0000049372-SUNEDU, 2024INT0000002755-SUNEDU</t>
  </si>
  <si>
    <t>Denuncia referida a la Universidad Nacional Daniel Alcides Carrión (UNDAC), consistente en la falta de infraestructura propia y adecuada para el desarrollo de las actividades académicas de la Facultad de Ciencias de la Comunicación, la utilización de aulas prestadas correspondientes a la Facultad de Educación sin contar con autorización ni implementación suficiente, así como la advertencia de un eventual desalojo de los ambientes actualmente ocupados, lo que comprometería la continuidad del servicio educativo. Asimismo, se reporta la inexistencia de ambientes adecuados para el desarrollo de la Escuela Profesional de Ciencias de la Comunicación, así como la ausencia de laboratorios y de condiciones mínimas de funcionamiento.</t>
  </si>
  <si>
    <t>Ingreso de Formato Único de Denuncia con fecha 10.09.25/Se escaló a SNP</t>
  </si>
  <si>
    <t>Denuncia presentada por estudiantes de la Universidad Nacional Autónoma Altoandina de Tarma, trasladada por el Congreso de la República a la SUNEDU, referida a presuntos actos de acoso sexual por parte de docentes; presunta omisión de funciones por parte de funcionarios y autoridades universitarias, incluido el rector; presunta indiferencia institucional hacia los estudiantes de las carreras de Administración, Ingeniería Agroindustrial y Medicina Humana; la inexistencia de laboratorio para el programa de Medicina Humana; problemas en las vías de acceso al campus universitario y presuntas irregularidades vinculadas a una comisión universitaria.</t>
  </si>
  <si>
    <t>Ingreso de Formato Único de Denuncia con fecha 11.12.25</t>
  </si>
  <si>
    <t>Se recomienda acumular la atención al Expediente más antiguo al ser afines.
Falta enviar carta</t>
  </si>
  <si>
    <t>Pendiente programar reunión orientación ocupabilidad
CBC III Carla La Torre
Priorizada para ser cerrada en octubre 2026</t>
  </si>
  <si>
    <t>Denuncia presuntas irregularidades que estarían afectando la prestación del servicio educativo superior universitario, entre las que se mencionan: errores y omisiones en el plan curricular de la carrera de Ingeniería de Sistemas e Informática; falta de laboratorios y materiales de practica de física, electrónica, redes y de cómputo; así como la falta de talleres y eventos académicos especializados, entre otros.
Programa de Ingeniería de Sistemas e Informatica vinculado a la denuncia, la misma que forma parte de los programas NOA 2023.</t>
  </si>
  <si>
    <t>Una vez que llegue la información, comenzar con elaboración del informe. 
CASO IMPACTO</t>
  </si>
  <si>
    <t>Denuncia vinculada a deficiencias en el servicio de alimentación del comedor universitario de la Universidad Nacional de Juliaca, identificadas a partir de una vigilancia sanitaria realizada por DIGESA, en la que se evidenció la ausencia de certificación de Principios Generales de Higiene, la falta de manuales de Buenas Prácticas de Manufactura y de Procedimientos Higiénico-Sanitarios, la presencia de tanques elevados con suciedad y excretas de aves, ventanas abiertas sin protección en el área de preparación de alimentos, deficiencias en el control y almacenamiento de insumos, y ausencia de registros sanitarios obligatorios. 
Inicialmente ingresó con Denuncia, pero fue modificada a AD.</t>
  </si>
  <si>
    <t>Ingreso de Formato Único de Denuncia con fecha 02.12.25</t>
  </si>
  <si>
    <t>Pendiente visita del 02.03.26 al 04.03.26 por Pablo Arróspide + Renzo Lima
OS CBC VI Geraldine Rojas (Marzo-26)
Priorizada para ser cerrada en abril 2026. (RL)</t>
  </si>
  <si>
    <t>Denuncian que la universidad no tendrian un laboratorio de medicina humana y muchas otras cuestiones más.</t>
  </si>
  <si>
    <t>Se inicia indagación preliminar mediante el OFICIO N° 03963-2025-SUNEDU-DS-DIRESESU-UVE</t>
  </si>
  <si>
    <t>Ademas se le prorroga plazo para entrega de información requerida en la visita de inspección, de acuerdo al Acta de Supervisión suscrita el 18 de setiembre de 2025.
La Universidad envia información mediante el Oficio N° 0498-2025-UNCA/P-CO ( ver item anterior) FALTA EN Z
Se cuenta con IR elaborado por Manuel</t>
  </si>
  <si>
    <t>OS 
Antecedentes Barzen (Feb-26)
CBC III Manuel Hurtado (Feb-26)
Priorizada para ser cerrada en julio 2026. (Rev. RL)</t>
  </si>
  <si>
    <t>FALTA EN Z varios documentos, el OFICIO N° 03497-2025-SUNEDU-DS-DIRESESU-UVE, el OFICIO N° 03963-2025-SUNEDU-DS-DIRESESU-UVE, el Oficio N° 0498-2025-UNCA/P-CO (entrega de información)
Se cuenta con IR elaborado por Manuel</t>
  </si>
  <si>
    <t>2025EXT0000022994-SUNEDU, 2025EXT0000029151-SUNEDU</t>
  </si>
  <si>
    <t>En la visita de inspección de octubre de 2025, no se solicitó información vinculada a esta denuncia. 
Falta elaborar el oficio de requerimiento. Y luego se acumulará con la SNP 01709-2023-SUNEDU/02-13</t>
  </si>
  <si>
    <t>Pendiente visita en junio 2026
CBC III Carla La Torre
Priorizada para ser cerrada en noviembre 2026.</t>
  </si>
  <si>
    <t>Requerimiento de información con Oficio N° 05589-2025-SUNEDU-DS-DIRESESU-UVE</t>
  </si>
  <si>
    <t>En la visita se identificó que, la “Facultad de Ciencias de la Comunicación” ubicada en el local SL01, no cuenta con infraestructura propia; en tal sentido, para la oferta del programa de "Ciencias de la Comunicación", utiliza ambientes (aulas y dos laboratorios) prestados de la “Facultad de Educación”, donde se identificó observaciones de seguridad y mantenimiento. Asimismo, se advierte que no implementó el laboratorio de cómputo, requerido para la oferta académica del programa.
En cuanto firmen el oficio se eleva a SNP.</t>
  </si>
  <si>
    <t>Pendiente revisión de información, para determinar si se requiere información complementaria.
CBC III Carla La Torre
Priorizada para ser cerrada en noviembre 2026.</t>
  </si>
  <si>
    <t>Antecedentes Susana Varas
CBC III y VI Pablo Arrópsidee 09.02.26 al 23.02.26
Priorizada para ser cerrada en junio 2026. (Rev. RL)</t>
  </si>
  <si>
    <t>2025EXT0000052884-SUNEDU, 2026EXT0000016351-SUNEDU</t>
  </si>
  <si>
    <t>En tal sentido, a la fecha no se tiene certeza si la Universidad cuenta con infraestructura para atender la demanda del incremento de estudiantes matriculados (por la demanda de vacantes). Asimismo, no se tiene certeza si la Universidad culminó la adecuación del nuevo local, y si dio inició a las actividades académicas en dicho local.
En la Visista de setiembre 2025 no se debió tomar en cuenta este caso debido a la fcha de ingreso de la presenteb denuncia (validar con Pablo), se debe señalar que no fue incluido en los oficios anteriores.
Solicitar a Adrián su vinculación a expedientes anteriores</t>
  </si>
  <si>
    <t>Pendiente proyectar requerimiento de información.
Priorizada para ser cerrada en julio 2026. (Rev. RL)</t>
  </si>
  <si>
    <t>SOLICITA LA INTERVENCION DE LA UNIVERSIDAD ANTE LAS PRESUNTAS DEFICIENCIAS E IRREGULARIDADES QUE ESTARIAN AFECTANDO EL SERVICIO EDUCATIVO SUPERIOR UNIVERSITARIO, ENTRE LAS QUE SE MENCIONAN LA EXISTENCIA DE EQUIPOS DE COMPUTO OBSOLETOS Y LA FALTA DE IMPLEMENTACION DE LOS LABORATORIOS ACADEMICOS Y DE INVESTIGACION, ENTRE OTROS.
Se denuncia que:
1) Incapacidad de ejecución presupuestal del 50%. 
2) Creación de puestos laborales con sueldos altos para allegados. 
3) Equipos de cómputo obsoletos y falta de implementación de los laboratorios académicos y de investigación de Ingeniería Ambiental. 
4) Ineficiente servicio del comedor universitario. 
5) Falta de seguimiento en la construcción de la ciudad universitaria en Villa Ashaninka. 
6) Incapacidad en la gestión académica de la Vicepresidencia Académica en la contratación docente. 
7) Proceso CAS con presuntos actos de corrupción. 
8) Miembros de Comisión Organizadora, sus funcionarios y sus asesores denunciados por actos de corrupción, en sus lugares de origen y en la UNISCJSA. 
9) Persecución a los docentes con denuncias falsas e impulsos de denuncias maliciosamente para amedrentar. 
10) Nombramiento docente ilegal. 
11) Utilización de los buses para actividades no académicas. 
12) Reposición irregular de personal al Órgano de Control Institucional (OCI). 
13) Demora en el financiamiento de los proyectos de investigación por la Vicepresidencia de Investigación.
14) Inacción del OCI ante los presuntos actos de corrupción en la UNISCJSA. 
15) Irregularidades en la adquisición de bienes y servicios. 
16) Remoción sin motivo y como acto de represalia de los responsables de la Escuela Profesional de Ingeniería Ambiental.</t>
  </si>
  <si>
    <t>2025EXT0000057787-SUNEDU, 2025EXT0000060478-SUNEDU</t>
  </si>
  <si>
    <t>Respecto a la descripción de las denuncias, se identifica que estás son generales y abiertas. Tal es el caso de la denuncia del segundo numeral, respecto a que, “no existe oferta académica”; en el cual, no se tiene certeza si no cuenta con demanda en el mercado o no cuenta con recursos (físicos y/o tecnológico) para la oferta de los programas autorizados. 
Pendiente revisión del caso, vinculado con RQ-RC. Además de, coordinar con Herbert la vía de atención.</t>
  </si>
  <si>
    <t>OS CBC II, III, IV y V Ysella Arguedas (Mar-26)
Priorizada para ser cerrada en junio 2026. (Rev RL)</t>
  </si>
  <si>
    <t>Pendiente requerimiento inicial de Información en mayo 2026
Priorizada para ser cerrada en diciembre 2026.</t>
  </si>
  <si>
    <t>Visita del 28 de setiembre al 6 de octubre
Falta atender</t>
  </si>
  <si>
    <t>2025EXT0000013769-SUNEDU, 2025EXT0000042608-SUNEDU, 2024EXT0000026965-SUNEDU</t>
  </si>
  <si>
    <t>Pendiente revisión de insumos de Jenny Mendez
CBC III Carla La Torre
Priorizada para ser cerrada en diciembre 2026.</t>
  </si>
  <si>
    <t>PLAN 2026
Pendiente visita de inspección 16.03.26 al 20.03.26)
Pendiente ver estado de requerimiento de información
Priorizada para ser cerrada en noviembre 2026.</t>
  </si>
  <si>
    <t>Las acciones iniciaron a partir de la comunicación de cierre del local SL03 y traslado al local SL05, mediante OFICIO N° 065-2024-SG-UPNW del 14/06/2024. En función de ello, supervisión determinó iniciar acciones para verificar la reubicación de aulas, laboratorios y talleres.</t>
  </si>
  <si>
    <t>Pendiente de revisión de informe
Priorizada para ser cerrada en octubre 2026</t>
  </si>
  <si>
    <t>OS 
Antecedentes Barzen (Mar-26)
CBC III Manuel Hurtado (Mar-26)
Priorizada para ser cerrada en marzo 2026.
Priorizada para ser cerrada en agosto 2026. (Rev. RL)</t>
  </si>
  <si>
    <t>Alameda del Corregidor N° 1531, Urb. Los Sirius, III Etapa</t>
  </si>
  <si>
    <t>Pendiente de revisión de informe
Priorizada para ser cerrada en Noviembre 2026</t>
  </si>
  <si>
    <t>Atendido con el 
Informe N° 00585-2026-SUNEDU-DS-DIRESESU-UVE que cierra acciones indagatorias.</t>
  </si>
  <si>
    <t>Pendiente de elaboración de oficio que escala a SNP.
Falta programar</t>
  </si>
  <si>
    <t>Carta Nº 00627-2026-SUNEDU-DS-DIRESESU-UVE del 27 de febrero de 2026</t>
  </si>
  <si>
    <t>La denuncia será insumo de la SNP iniciada con Expediente N° 02521-2025-SUNEDU/02-13,</t>
  </si>
  <si>
    <t>Se cerró la denuncia mediante la Carta N° 00976-2026-SUNEDU-DS-DIRESESU-UVE. Aquí se indicó que se considerará en la SNP (Expediente N° 02521-2025-SUNEDU/02-13)</t>
  </si>
  <si>
    <t>REMITE DENUNCIA EN CONTRA DE LA UNIVERSIDAD CESAR VALLEJO POR UN CONVENIO ENTRE LA UNIVERSIDAD Y GOOGLE INC</t>
  </si>
  <si>
    <t>Pendiente realizar requerimiento de información en marzo 2026
Priorizada para ser cerrada en agosto 2026.</t>
  </si>
  <si>
    <t>CARTA Nº 00976-2026-SUNEDU-DS-DIRESESU-UVE</t>
  </si>
  <si>
    <t>DENUNCIA QUE LA UNIVERSIDAD HABRIA COMETIDO UN INCUMPLIMIENTO CONTRACTUAL RESPECTO A UNA DEUDA QUE LA UNIVERSIDAD MANTENDRIA CON ELLOS.</t>
  </si>
  <si>
    <t>Priorizada para ser cerrada en mayo 2026.</t>
  </si>
  <si>
    <t>Priorizada para ser cerrada en octubre 2026.</t>
  </si>
  <si>
    <t>2026EXT0000009159-SUNEDU, 2026EXT0000010825-SUNEDU</t>
  </si>
  <si>
    <t>2026INT0000001629-SUNEDU, 2026INT0000002835-SUNEDU</t>
  </si>
  <si>
    <t>SOLICITA MEDIDAS PROVISIONAL DE SUSPENSION DE LICENCIA Y POSTERIOR REVOCATORIA DE SEDE POR GRAVE INCUMPLIMIENTO DE LAS CONDICIONES BASICAS DE CALIDAD CONFORME A LA LEY N° 27444.</t>
  </si>
  <si>
    <t>Ingreso de Formato Único de Denuncia con fecha 23.04.26</t>
  </si>
  <si>
    <t>HEMOS TOMADO CONOCIMIENTO DE PRESUNTAS DEFICIENCIAS PRESENTADAS EN LOS LABORATORIOS DE LA FACULTAD DE MEDICINA, ASÍ COMO LA FALTA DE INSTALACIONES Y MOBILIARIO EN LA ESCUELA DE ARQUITECTURA. DICHOS ASPECTOS ESTARÍAN VINCULADOS AL MANTENIMIENTO DE LA CONDICIÓN BÁSICA DE CALIDAD III DEL MODELO DE LICENCIAMIENTO Y SU IMPLEMENTACIÓN EN EL SISTEMA UNIVERSITARIO PERUANO</t>
  </si>
  <si>
    <t>San Jerónimo (SL01) | Talavera de la Reyna (SL02)</t>
  </si>
  <si>
    <t>Av. José María Arguedas S/N (SL01) | Av. 28 de Julio N° 1103 (SL02)</t>
  </si>
  <si>
    <t>SL01,SL03,SL10,SL14: Lima | F06L02: La Libertad</t>
  </si>
  <si>
    <t>SL01,SL03,SL10,SL14: Lima | F06L02: Trujillo</t>
  </si>
  <si>
    <t>SL01: Av. Abel Bergasse Du Petit Thouars 114 y 116 Urb. Santa Beatriz | SL03: Av. Petit Thouars Mz. 3B Lt. 9 urbanización Fundo Santa Beatriz Cercado | SL10: Jirón Hernán Velarde N° 143, N° 149, N° 151 y N° 153; frente al Parque Hernán Velarde N° 33 y N° 35 | SL14: Jirón Manuel Nicolás Corpancho N° 358-360 Cercado | F06L02: Av. Nicolás de Piérola (antes Carretera Panamericana Norte) 1221- 1223-1225-1227- 1229-1231- 1235</t>
  </si>
  <si>
    <t>1.-SL01, cuya ubicación es Programa de Vivienda Urbanización San Juan Pampa Mz Q Lote 1 Sector Centro Comercial, distrito de Yanacancha, provincia de Pasco, departamento de Pasco. Contiene, entre otras, las facultades de Medicina Humana, Ingeniería de Minas, Ciencias de la Comunicación, Odontología, e Ingeniería. | - SL05, cuya ubicación es Terreno ubicado en Pucayacu, distrito de Yanacancha, provincia de Pasco, departamento de Pasco. Contiene la facultad de Medicina Humana e Ingeniería de Minas | 2.-FILIALES: | F01L01, cuya ubicación es Valle Oxapampa, Sector Miraflores S/N, distrito de Oxapampa, provincia de Oxapampa, departamento de Pasco. Contiene, entre otras, la facultad de Ingeniería. | F03L01, cuya ubicación es Av. Circunvalación Mz 0206 Lt. S/N, Urbanización Pampa del Carmen, distrito de Chanchamayo, provincia de Chanchamayo, departamento de Junín. Contiene, entre otras, la facultad de Ciencias de la Comunicación.</t>
  </si>
  <si>
    <t>SL03, SL04: Ayacucho | F01L01: Cusco</t>
  </si>
  <si>
    <t>SL03, SL04: Huamanga | F01L01: La Convención</t>
  </si>
  <si>
    <t>SL03, SL04: Ayacucho | F01L01: Pichari</t>
  </si>
  <si>
    <t>SL03 | SL04 | F01L01</t>
  </si>
  <si>
    <t>Local SL01 Ramiro Priale N°540 Huamachuco (conducente a grado academico) | Local SL02 Garcilaso de la Vega N°905- Huamachuco. (conducente a grado academico) | Local SL03 ubicado en el centro de la ciudad de Huamachuco, cuyo uso es para fines administrativos | Local SL04, Av. Los Sauces, predio Unidad Catastral N°31527 denominado “Tantapusha”, ubicado al sur de la ciudad de Huamachuco, a | aproximadamente 5.3 km del local SL01. En dicho local, la Universidad construirá su nuevo campus universitario.</t>
  </si>
  <si>
    <t>1.-Av. Nicolas de Pierola N° 262 / Cañete 710, Lima | 2.-Jr. Iquique N°127, 129, distrito de Breña, Lima</t>
  </si>
  <si>
    <t>SF Azángaro: Azángaro | SF Chucuito: Chucuito</t>
  </si>
  <si>
    <t>SF Azángaro: Azángaro | SF Chucuito: Juli</t>
  </si>
  <si>
    <t>SF Azángaro: Jr. Lima N°627 del Barrio Cultural Puente | SF Juli: Jr. Juli N°887/ Av. Bolognesi N°389</t>
  </si>
  <si>
    <t>SL03: Ubic. Rur. Sector Huancucro, AcobambaTarma-Junín | SL04: Predio denominado Huancucro | Acobamba-Tarma-Junín</t>
  </si>
  <si>
    <t>SL01:Juliaca | SL02: San Miguel</t>
  </si>
  <si>
    <t>SL01: Jr. Manco Inca s/n | SL02: Predio rural UNAJ-02 y UNAJ-04 Sector Ayabaca</t>
  </si>
  <si>
    <t>Avenida | Toribio Luzuriaga N° 376, Mz. J - Urbanización La Florida</t>
  </si>
  <si>
    <t>F03L01: Av. Centenario N° 1200 del Barrio Pueblo Nuevo | Local IES: Av. Esmeralda N.° 414, Barrio Bellavista</t>
  </si>
  <si>
    <t>i) Junín | ii) Junín | iii) Junín</t>
  </si>
  <si>
    <t>i) Chanchamayo | ii) Chanchamayo | iii) Chanchamayo</t>
  </si>
  <si>
    <t>i) Pichanaqui | ii) Perené | iii) Perené</t>
  </si>
  <si>
    <t>i) Calle 7 de junio N° 940 Zona Baja II Sector | ii) Carretera Central Km. 65.400 Pasaje N°1 S/N, CC.NN. Bajo Aldea, y | iii) Carretera Central Km 65.700 Calle Juan Santos Atahualpa S/N CC.NN. Bajo Aldea</t>
  </si>
  <si>
    <t>i) Jirón Carabaya 421 - 429 – 435 | ii) Avenida Emancipación 180, y | iii) Jr. Camaná 566.</t>
  </si>
  <si>
    <t>Av. Alfredo Mendiola N° 6062 MZ. C Lt. 11A Lot. Industrial Molitalia (F02L01) | Av. Alfredo Mendiola N° 6040 MZ. C Lt. 11A Lot. Industrial Molitalia (F02L03)</t>
  </si>
  <si>
    <t>Avenida Petit Thouars N° 2024, Lince (SL03) | Avenida Arenales N° 1555 (SL05)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</si>
</sst>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000000"/>
  </numFmts>
  <fonts count="20" x14ac:knownFonts="1">
    <font>
      <sz val="11"/>
      <color theme="1"/>
      <name val="Calibri"/>
      <family val="2"/>
      <scheme val="minor"/>
    </font>
    <font>
      <b/>
      <sz val="11"/>
      <name val="Calibri"/>
      <family val="2"/>
    </font>
    <font>
      <sz val="11"/>
      <name val="Calibri"/>
      <family val="2"/>
      <scheme val="minor"/>
    </font>
    <font>
      <b/>
      <sz val="11"/>
      <color theme="1"/>
      <name val="Calibri"/>
      <family val="2"/>
      <scheme val="minor"/>
    </font>
    <font>
      <sz val="10"/>
      <color theme="1"/>
      <name val="Calibri"/>
      <family val="2"/>
      <scheme val="minor"/>
    </font>
    <font>
      <sz val="11"/>
      <color rgb="FF0A0A0A"/>
      <name val="Courier New"/>
      <family val="3"/>
    </font>
    <font>
      <sz val="10"/>
      <color rgb="FF0A0A0A"/>
      <name val="Arial Unicode MS"/>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b/>
      <sz val="9"/>
      <color rgb="FF000000"/>
      <name val="Calibri"/>
      <family val="2"/>
      <scheme val="minor"/>
    </font>
    <font>
      <sz val="9"/>
      <color rgb="FF000000"/>
      <name val="Calibri"/>
      <family val="2"/>
      <scheme val="minor"/>
    </font>
    <font>
      <sz val="9"/>
      <color theme="0" tint="-0.249977111117893"/>
      <name val="Calibri"/>
      <family val="2"/>
      <scheme val="minor"/>
    </font>
    <font>
      <sz val="9"/>
      <color rgb="FFFF0000"/>
      <name val="Calibri"/>
      <family val="2"/>
      <scheme val="minor"/>
    </font>
    <font>
      <sz val="11"/>
      <color theme="1"/>
      <name val="Aptos Narrow"/>
    </font>
    <font>
      <b/>
      <sz val="11"/>
      <color theme="1"/>
      <name val="Aptos Narrow"/>
    </font>
    <font>
      <b/>
      <sz val="11"/>
      <color rgb="FFFFFFFF"/>
      <name val="Aptos Narrow"/>
    </font>
    <font>
      <b/>
      <sz val="11"/>
      <color rgb="FFFFFFFF"/>
      <name val="Calibri"/>
      <family val="2"/>
      <scheme val="minor"/>
    </font>
    <font>
      <b/>
      <sz val="12"/>
      <color theme="1"/>
      <name val="Calibri"/>
      <family val="2"/>
      <scheme val="minor"/>
    </font>
  </fonts>
  <fills count="28">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rgb="FFC00000"/>
        <bgColor indexed="64"/>
      </patternFill>
    </fill>
    <fill>
      <patternFill patternType="solid">
        <fgColor rgb="FFFFC000"/>
        <bgColor indexed="64"/>
      </patternFill>
    </fill>
    <fill>
      <patternFill patternType="solid">
        <fgColor rgb="FFFFFFFF"/>
        <bgColor rgb="FF000000"/>
      </patternFill>
    </fill>
    <fill>
      <patternFill patternType="solid">
        <fgColor rgb="FF00B050"/>
        <bgColor indexed="64"/>
      </patternFill>
    </fill>
    <fill>
      <patternFill patternType="solid">
        <fgColor rgb="FF92D050"/>
        <bgColor rgb="FF000000"/>
      </patternFill>
    </fill>
    <fill>
      <patternFill patternType="solid">
        <fgColor rgb="FF7030A0"/>
        <bgColor indexed="64"/>
      </patternFill>
    </fill>
    <fill>
      <patternFill patternType="solid">
        <fgColor theme="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tint="4.9989318521683403E-2"/>
        <bgColor indexed="64"/>
      </patternFill>
    </fill>
    <fill>
      <patternFill patternType="solid">
        <fgColor theme="7"/>
        <bgColor indexed="64"/>
      </patternFill>
    </fill>
    <fill>
      <patternFill patternType="solid">
        <fgColor theme="4" tint="0.79998168889431442"/>
        <bgColor indexed="64"/>
      </patternFill>
    </fill>
    <fill>
      <patternFill patternType="solid">
        <fgColor rgb="FFFFC000"/>
        <bgColor rgb="FF000000"/>
      </patternFill>
    </fill>
    <fill>
      <patternFill patternType="solid">
        <fgColor theme="0"/>
        <bgColor rgb="FF000000"/>
      </patternFill>
    </fill>
    <fill>
      <patternFill patternType="solid">
        <fgColor theme="5" tint="0.79998168889431442"/>
        <bgColor rgb="FF000000"/>
      </patternFill>
    </fill>
    <fill>
      <patternFill patternType="solid">
        <fgColor theme="0" tint="-0.34998626667073579"/>
        <bgColor indexed="64"/>
      </patternFill>
    </fill>
    <fill>
      <patternFill patternType="solid">
        <fgColor rgb="FF1F4E7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dashDotDot">
        <color auto="1"/>
      </left>
      <right style="dashDotDot">
        <color auto="1"/>
      </right>
      <top style="dashDotDot">
        <color auto="1"/>
      </top>
      <bottom style="dashDotDot">
        <color auto="1"/>
      </bottom>
      <diagonal/>
    </border>
    <border>
      <left style="dashDotDot">
        <color auto="1"/>
      </left>
      <right style="dashDotDot">
        <color auto="1"/>
      </right>
      <top style="dashDotDot">
        <color auto="1"/>
      </top>
      <bottom/>
      <diagonal/>
    </border>
    <border>
      <left style="thin">
        <color auto="1"/>
      </left>
      <right/>
      <top/>
      <bottom style="thin">
        <color indexed="64"/>
      </bottom>
      <diagonal/>
    </border>
    <border>
      <left style="thin">
        <color auto="1"/>
      </left>
      <right/>
      <top style="thin">
        <color indexed="64"/>
      </top>
      <bottom style="thin">
        <color indexed="64"/>
      </bottom>
      <diagonal/>
    </border>
  </borders>
  <cellStyleXfs count="2">
    <xf numFmtId="0" fontId="0" fillId="0" borderId="0"/>
    <xf numFmtId="0" fontId="15" fillId="0" borderId="0"/>
  </cellStyleXfs>
  <cellXfs count="140">
    <xf numFmtId="0" fontId="0" fillId="0" borderId="0" xfId="0"/>
    <xf numFmtId="0" fontId="0" fillId="0" borderId="0" xfId="0" applyAlignment="1">
      <alignment horizontal="center" vertical="center"/>
    </xf>
    <xf numFmtId="0" fontId="2" fillId="0" borderId="0" xfId="0" applyFont="1"/>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3" xfId="0" applyBorder="1" applyAlignment="1">
      <alignment horizontal="center" vertical="center" wrapText="1"/>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6" borderId="1" xfId="0" applyFont="1" applyFill="1" applyBorder="1" applyAlignment="1">
      <alignment horizontal="center" vertical="center"/>
    </xf>
    <xf numFmtId="0" fontId="6" fillId="0" borderId="1" xfId="0" applyFont="1" applyBorder="1" applyAlignment="1">
      <alignment horizontal="center" vertical="center"/>
    </xf>
    <xf numFmtId="0" fontId="1" fillId="5" borderId="2" xfId="0" applyFont="1" applyFill="1" applyBorder="1" applyAlignment="1">
      <alignment horizontal="center" vertical="center"/>
    </xf>
    <xf numFmtId="0" fontId="5" fillId="0" borderId="1" xfId="0" applyFont="1" applyBorder="1" applyAlignment="1">
      <alignment horizontal="lef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9" xfId="0" applyBorder="1" applyAlignment="1">
      <alignment horizontal="center" vertical="center" wrapText="1"/>
    </xf>
    <xf numFmtId="0" fontId="5" fillId="8" borderId="1" xfId="0" applyFont="1" applyFill="1" applyBorder="1" applyAlignment="1">
      <alignment horizontal="center" vertical="center"/>
    </xf>
    <xf numFmtId="0" fontId="0" fillId="0" borderId="10" xfId="0"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7" borderId="1" xfId="0" applyFill="1" applyBorder="1" applyAlignment="1">
      <alignment horizontal="center" vertical="center" wrapText="1"/>
    </xf>
    <xf numFmtId="49"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0" borderId="7" xfId="0" applyBorder="1"/>
    <xf numFmtId="0" fontId="1" fillId="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6" xfId="0" applyBorder="1"/>
    <xf numFmtId="0" fontId="0" fillId="0" borderId="7" xfId="0" applyBorder="1"/>
    <xf numFmtId="0" fontId="1" fillId="5" borderId="1" xfId="0" applyFont="1" applyFill="1" applyBorder="1" applyAlignment="1">
      <alignment horizontal="center" vertical="center" wrapText="1"/>
    </xf>
    <xf numFmtId="0" fontId="1" fillId="4" borderId="8" xfId="0" applyFont="1" applyFill="1" applyBorder="1" applyAlignment="1">
      <alignment horizontal="center" vertical="center"/>
    </xf>
    <xf numFmtId="0" fontId="0" fillId="0" borderId="4" xfId="0" applyBorder="1"/>
    <xf numFmtId="0" fontId="0" fillId="0" borderId="5" xfId="0" applyBorder="1"/>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left" vertical="center"/>
    </xf>
    <xf numFmtId="0" fontId="7" fillId="0" borderId="11" xfId="0" applyFont="1" applyBorder="1" applyAlignment="1">
      <alignment horizontal="left" vertical="center" wrapText="1"/>
    </xf>
    <xf numFmtId="0" fontId="4"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0" fontId="7" fillId="0" borderId="11" xfId="0" applyFont="1" applyBorder="1" applyAlignment="1">
      <alignment horizontal="center" vertical="center" wrapText="1"/>
    </xf>
    <xf numFmtId="0" fontId="8" fillId="10" borderId="11"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8" fillId="0" borderId="11" xfId="0" applyFont="1" applyBorder="1" applyAlignment="1">
      <alignment horizontal="center" vertical="center" wrapText="1"/>
    </xf>
    <xf numFmtId="0" fontId="10" fillId="11" borderId="1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7" borderId="11" xfId="0" applyFont="1" applyFill="1" applyBorder="1" applyAlignment="1">
      <alignment horizontal="left" vertical="center" wrapText="1"/>
    </xf>
    <xf numFmtId="0" fontId="7" fillId="12" borderId="11"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1" xfId="0" applyFont="1" applyFill="1" applyBorder="1" applyAlignment="1">
      <alignment horizontal="left" vertical="center" wrapText="1"/>
    </xf>
    <xf numFmtId="0" fontId="7" fillId="7" borderId="11" xfId="0" applyFont="1" applyFill="1" applyBorder="1" applyAlignment="1">
      <alignment vertical="center" wrapText="1"/>
    </xf>
    <xf numFmtId="0" fontId="10" fillId="14" borderId="11" xfId="0" applyFont="1" applyFill="1" applyBorder="1" applyAlignment="1">
      <alignment horizontal="center" vertical="center" wrapText="1"/>
    </xf>
    <xf numFmtId="0" fontId="11" fillId="10" borderId="11" xfId="0" applyFont="1" applyFill="1" applyBorder="1" applyAlignment="1">
      <alignment horizontal="center" vertical="center" wrapText="1"/>
    </xf>
    <xf numFmtId="0" fontId="7" fillId="0" borderId="11" xfId="0" applyFont="1" applyBorder="1" applyAlignment="1">
      <alignment vertical="center" wrapText="1"/>
    </xf>
    <xf numFmtId="0" fontId="11" fillId="15" borderId="11" xfId="0" applyFont="1" applyFill="1" applyBorder="1" applyAlignment="1">
      <alignment horizontal="center" vertical="center" wrapText="1"/>
    </xf>
    <xf numFmtId="0" fontId="7" fillId="16" borderId="11" xfId="0" applyFont="1" applyFill="1" applyBorder="1" applyAlignment="1">
      <alignment horizontal="center" vertical="center" wrapText="1"/>
    </xf>
    <xf numFmtId="0" fontId="12" fillId="7" borderId="11" xfId="0" applyFont="1" applyFill="1" applyBorder="1" applyAlignment="1">
      <alignment horizontal="left" vertical="center" wrapText="1"/>
    </xf>
    <xf numFmtId="0" fontId="13" fillId="17" borderId="11"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7" fillId="0" borderId="11" xfId="0" applyFont="1" applyBorder="1" applyAlignment="1">
      <alignment horizontal="left" vertical="top" wrapText="1"/>
    </xf>
    <xf numFmtId="0" fontId="9" fillId="13" borderId="11" xfId="0" applyFont="1" applyFill="1" applyBorder="1" applyAlignment="1">
      <alignment horizontal="center" vertical="center" wrapText="1"/>
    </xf>
    <xf numFmtId="0" fontId="12" fillId="13" borderId="11" xfId="0" applyFont="1" applyFill="1" applyBorder="1" applyAlignment="1">
      <alignment horizontal="center" vertical="center" wrapText="1"/>
    </xf>
    <xf numFmtId="0" fontId="7" fillId="7" borderId="11" xfId="0" quotePrefix="1" applyFont="1" applyFill="1" applyBorder="1" applyAlignment="1">
      <alignment horizontal="center" vertical="center" wrapText="1"/>
    </xf>
    <xf numFmtId="0" fontId="9" fillId="7" borderId="11" xfId="0" applyFont="1" applyFill="1" applyBorder="1" applyAlignment="1">
      <alignment horizontal="left" vertical="center" wrapText="1"/>
    </xf>
    <xf numFmtId="0" fontId="7" fillId="18" borderId="11" xfId="0" applyFont="1" applyFill="1" applyBorder="1" applyAlignment="1">
      <alignment horizontal="left" vertical="center" wrapText="1"/>
    </xf>
    <xf numFmtId="0" fontId="12" fillId="12" borderId="11" xfId="0" applyFont="1" applyFill="1" applyBorder="1" applyAlignment="1">
      <alignment horizontal="center" vertical="center" wrapText="1"/>
    </xf>
    <xf numFmtId="0" fontId="7" fillId="19" borderId="11" xfId="0" applyFont="1" applyFill="1" applyBorder="1" applyAlignment="1">
      <alignment horizontal="center" vertical="center" wrapText="1"/>
    </xf>
    <xf numFmtId="0" fontId="7" fillId="19" borderId="11" xfId="0" applyFont="1" applyFill="1" applyBorder="1" applyAlignment="1">
      <alignment horizontal="left" vertical="center" wrapText="1"/>
    </xf>
    <xf numFmtId="0" fontId="10" fillId="10" borderId="11" xfId="0" applyFont="1" applyFill="1" applyBorder="1" applyAlignment="1">
      <alignment horizontal="center" vertical="center" wrapText="1"/>
    </xf>
    <xf numFmtId="0" fontId="10" fillId="20" borderId="11" xfId="0" applyFont="1" applyFill="1" applyBorder="1" applyAlignment="1">
      <alignment horizontal="center" vertical="center" wrapText="1"/>
    </xf>
    <xf numFmtId="0" fontId="7" fillId="21" borderId="11" xfId="0" applyFont="1" applyFill="1" applyBorder="1" applyAlignment="1">
      <alignment horizontal="center" vertical="center" wrapText="1"/>
    </xf>
    <xf numFmtId="0" fontId="8" fillId="0" borderId="11" xfId="0" applyFont="1" applyBorder="1" applyAlignment="1">
      <alignment horizontal="left" vertical="center" wrapText="1"/>
    </xf>
    <xf numFmtId="0" fontId="7" fillId="22" borderId="11" xfId="0" applyFont="1" applyFill="1" applyBorder="1" applyAlignment="1">
      <alignment horizontal="left" vertical="center" wrapText="1"/>
    </xf>
    <xf numFmtId="0" fontId="7" fillId="9" borderId="11" xfId="0" applyFont="1" applyFill="1" applyBorder="1" applyAlignment="1">
      <alignment horizontal="center" vertical="center" wrapText="1"/>
    </xf>
    <xf numFmtId="0" fontId="8" fillId="12" borderId="11" xfId="0" applyFont="1" applyFill="1" applyBorder="1" applyAlignment="1">
      <alignment horizontal="center" vertical="center" wrapText="1"/>
    </xf>
    <xf numFmtId="0" fontId="10" fillId="13" borderId="11" xfId="0" applyFont="1" applyFill="1" applyBorder="1" applyAlignment="1">
      <alignment horizontal="left" vertical="center" wrapText="1"/>
    </xf>
    <xf numFmtId="0" fontId="14" fillId="13" borderId="11" xfId="0" applyFont="1" applyFill="1" applyBorder="1" applyAlignment="1">
      <alignment horizontal="center" vertical="center" wrapText="1"/>
    </xf>
    <xf numFmtId="0" fontId="12" fillId="0" borderId="11" xfId="0" applyFont="1" applyBorder="1" applyAlignment="1">
      <alignment horizontal="left" vertical="center" wrapText="1"/>
    </xf>
    <xf numFmtId="0" fontId="10" fillId="0" borderId="11" xfId="0" applyFont="1" applyBorder="1" applyAlignment="1">
      <alignment horizontal="center" vertical="center" wrapText="1"/>
    </xf>
    <xf numFmtId="0" fontId="9" fillId="13" borderId="11" xfId="0" applyFont="1" applyFill="1" applyBorder="1" applyAlignment="1">
      <alignment horizontal="left" vertical="center" wrapText="1"/>
    </xf>
    <xf numFmtId="0" fontId="9" fillId="7" borderId="11" xfId="0" applyFont="1" applyFill="1" applyBorder="1" applyAlignment="1">
      <alignment vertical="center" wrapText="1"/>
    </xf>
    <xf numFmtId="0" fontId="12" fillId="13" borderId="11" xfId="0" applyFont="1" applyFill="1" applyBorder="1" applyAlignment="1">
      <alignment horizontal="left" vertical="center" wrapText="1"/>
    </xf>
    <xf numFmtId="0" fontId="12" fillId="23" borderId="11" xfId="0" applyFont="1" applyFill="1" applyBorder="1" applyAlignment="1">
      <alignment horizontal="center" vertical="center" wrapText="1"/>
    </xf>
    <xf numFmtId="0" fontId="9" fillId="13" borderId="11" xfId="0" applyFont="1" applyFill="1" applyBorder="1" applyAlignment="1">
      <alignment vertical="center" wrapText="1"/>
    </xf>
    <xf numFmtId="14" fontId="12" fillId="0" borderId="11" xfId="0" applyNumberFormat="1" applyFont="1" applyBorder="1" applyAlignment="1">
      <alignment horizontal="center" vertical="center" wrapText="1"/>
    </xf>
    <xf numFmtId="0" fontId="12" fillId="0" borderId="11" xfId="0" applyFont="1" applyBorder="1" applyAlignment="1">
      <alignment horizontal="center" vertical="center" wrapText="1"/>
    </xf>
    <xf numFmtId="14" fontId="12" fillId="13" borderId="11" xfId="0" applyNumberFormat="1" applyFont="1" applyFill="1" applyBorder="1" applyAlignment="1">
      <alignment horizontal="center" vertical="center" wrapText="1"/>
    </xf>
    <xf numFmtId="0" fontId="9" fillId="24" borderId="11" xfId="0" applyFont="1" applyFill="1" applyBorder="1" applyAlignment="1">
      <alignment horizontal="center" vertical="center" wrapText="1"/>
    </xf>
    <xf numFmtId="0" fontId="9" fillId="25" borderId="11" xfId="0" applyFont="1" applyFill="1" applyBorder="1" applyAlignment="1">
      <alignment horizontal="left" vertical="center" wrapText="1"/>
    </xf>
    <xf numFmtId="0" fontId="9" fillId="0" borderId="11" xfId="0" applyFont="1" applyBorder="1" applyAlignment="1">
      <alignment horizontal="left" vertical="center" wrapText="1"/>
    </xf>
    <xf numFmtId="0" fontId="11" fillId="12" borderId="11" xfId="0" applyFont="1" applyFill="1" applyBorder="1" applyAlignment="1">
      <alignment horizontal="center" vertical="center" wrapText="1"/>
    </xf>
    <xf numFmtId="0" fontId="12" fillId="13" borderId="11" xfId="0" applyFont="1" applyFill="1" applyBorder="1" applyAlignment="1">
      <alignment vertical="top" wrapText="1"/>
    </xf>
    <xf numFmtId="0" fontId="9" fillId="24" borderId="11" xfId="0" applyFont="1" applyFill="1" applyBorder="1" applyAlignment="1">
      <alignment horizontal="left" vertical="center" wrapText="1"/>
    </xf>
    <xf numFmtId="0" fontId="10" fillId="26" borderId="1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7"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26" borderId="1" xfId="0" applyFont="1" applyFill="1" applyBorder="1" applyAlignment="1">
      <alignment horizontal="center" vertical="center" wrapText="1"/>
    </xf>
    <xf numFmtId="0" fontId="15" fillId="0" borderId="0" xfId="1" applyAlignment="1">
      <alignment horizontal="center" vertical="center"/>
    </xf>
    <xf numFmtId="0" fontId="15" fillId="0" borderId="0" xfId="1" applyAlignment="1">
      <alignment horizontal="left" vertical="center"/>
    </xf>
    <xf numFmtId="0" fontId="16" fillId="0" borderId="0" xfId="1" applyFont="1" applyAlignment="1">
      <alignment horizontal="left" vertical="center"/>
    </xf>
    <xf numFmtId="0" fontId="15" fillId="0" borderId="0" xfId="1"/>
    <xf numFmtId="166" fontId="15" fillId="0" borderId="0" xfId="1" applyNumberFormat="1"/>
    <xf numFmtId="0" fontId="15" fillId="0" borderId="0" xfId="1" applyAlignment="1">
      <alignment horizontal="left"/>
    </xf>
    <xf numFmtId="1" fontId="15" fillId="0" borderId="0" xfId="1" applyNumberFormat="1"/>
    <xf numFmtId="0" fontId="17" fillId="27" borderId="0" xfId="1" applyFont="1" applyFill="1"/>
    <xf numFmtId="166" fontId="17" fillId="27" borderId="0" xfId="1" applyNumberFormat="1" applyFont="1" applyFill="1"/>
    <xf numFmtId="0" fontId="17" fillId="27" borderId="0" xfId="1" applyFont="1" applyFill="1" applyAlignment="1">
      <alignment horizontal="left"/>
    </xf>
    <xf numFmtId="1" fontId="17" fillId="27" borderId="0" xfId="1" applyNumberFormat="1" applyFont="1" applyFill="1"/>
    <xf numFmtId="49" fontId="15" fillId="0" borderId="0" xfId="1" applyNumberFormat="1" applyAlignment="1">
      <alignment horizontal="center" vertical="center"/>
    </xf>
    <xf numFmtId="0" fontId="10" fillId="10" borderId="11" xfId="0" applyFont="1" applyFill="1" applyBorder="1" applyAlignment="1">
      <alignment vertical="center" wrapText="1"/>
    </xf>
    <xf numFmtId="0" fontId="7" fillId="6" borderId="1" xfId="0" applyFont="1" applyFill="1" applyBorder="1" applyAlignment="1">
      <alignment horizontal="center" vertical="center" wrapText="1"/>
    </xf>
    <xf numFmtId="0" fontId="19" fillId="0" borderId="0" xfId="0" applyFont="1"/>
    <xf numFmtId="0" fontId="18" fillId="27" borderId="5" xfId="0" applyFont="1" applyFill="1" applyBorder="1"/>
    <xf numFmtId="0" fontId="18" fillId="27" borderId="8" xfId="0" applyFont="1" applyFill="1" applyBorder="1"/>
    <xf numFmtId="0" fontId="18" fillId="27" borderId="13" xfId="0" applyFont="1" applyFill="1" applyBorder="1"/>
    <xf numFmtId="0" fontId="0" fillId="0" borderId="1" xfId="0" applyBorder="1"/>
    <xf numFmtId="0" fontId="0" fillId="0" borderId="14" xfId="0" applyBorder="1"/>
    <xf numFmtId="0" fontId="3" fillId="0" borderId="1" xfId="0" applyFont="1" applyBorder="1"/>
    <xf numFmtId="0" fontId="10" fillId="26" borderId="11" xfId="0" applyFont="1" applyFill="1" applyBorder="1" applyAlignment="1">
      <alignment vertical="center" wrapText="1"/>
    </xf>
    <xf numFmtId="0" fontId="10" fillId="14" borderId="12" xfId="0" applyFont="1" applyFill="1" applyBorder="1" applyAlignment="1">
      <alignment vertical="center" wrapText="1"/>
    </xf>
    <xf numFmtId="0" fontId="10" fillId="14" borderId="11" xfId="0" applyFont="1" applyFill="1" applyBorder="1" applyAlignment="1">
      <alignment vertical="center" wrapText="1"/>
    </xf>
    <xf numFmtId="14" fontId="14" fillId="13" borderId="11" xfId="0" applyNumberFormat="1" applyFont="1" applyFill="1" applyBorder="1" applyAlignment="1">
      <alignment horizontal="center" vertical="center" wrapText="1"/>
    </xf>
    <xf numFmtId="14" fontId="9" fillId="13" borderId="11" xfId="0" applyNumberFormat="1" applyFont="1" applyFill="1" applyBorder="1" applyAlignment="1">
      <alignment horizontal="center" vertical="center" wrapText="1"/>
    </xf>
  </cellXfs>
  <cellStyles count="2">
    <cellStyle name="Normal" xfId="0" builtinId="0"/>
    <cellStyle name="Normal 2" xfId="1" xr:uid="{6E27E64D-0523-4AF4-8B8A-E355BD39B388}"/>
  </cellStyles>
  <dxfs count="104">
    <dxf>
      <font>
        <b/>
        <color rgb="FFFF0000"/>
      </font>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color rgb="FFFF0000"/>
      </font>
    </dxf>
    <dxf>
      <font>
        <b/>
        <color rgb="FFFF0000"/>
      </font>
    </dxf>
    <dxf>
      <fill>
        <patternFill>
          <bgColor theme="0" tint="-0.24994659260841701"/>
        </patternFill>
      </fill>
    </dxf>
    <dxf>
      <fill>
        <patternFill patternType="solid">
          <fgColor rgb="FFFFEB9C"/>
          <bgColor rgb="FFFFEB9C"/>
        </patternFill>
      </fill>
    </dxf>
    <dxf>
      <fill>
        <patternFill>
          <bgColor theme="0" tint="-0.24994659260841701"/>
        </patternFill>
      </fill>
    </dxf>
    <dxf>
      <fill>
        <patternFill patternType="solid">
          <fgColor rgb="FFFFEB9C"/>
          <bgColor rgb="FFFFEB9C"/>
        </patternFill>
      </fill>
    </dxf>
    <dxf>
      <fill>
        <patternFill patternType="solid">
          <fgColor rgb="FFFFC7CE"/>
          <bgColor rgb="FFFFC7CE"/>
        </patternFill>
      </fill>
    </dxf>
    <dxf>
      <font>
        <b/>
        <color rgb="FFFF0000"/>
      </font>
    </dxf>
    <dxf>
      <fill>
        <patternFill>
          <bgColor theme="0" tint="-0.24994659260841701"/>
        </patternFill>
      </fill>
    </dxf>
    <dxf>
      <font>
        <b/>
        <color rgb="FFFF0000"/>
      </font>
    </dxf>
    <dxf>
      <fill>
        <patternFill>
          <bgColor theme="0" tint="-0.24994659260841701"/>
        </patternFill>
      </fill>
    </dxf>
    <dxf>
      <font>
        <b/>
        <color rgb="FFFF0000"/>
      </font>
    </dxf>
    <dxf>
      <fill>
        <patternFill>
          <bgColor theme="0" tint="-0.24994659260841701"/>
        </patternFill>
      </fill>
    </dxf>
    <dxf>
      <font>
        <b/>
        <color rgb="FFFF0000"/>
      </font>
    </dxf>
    <dxf>
      <font>
        <b/>
        <color rgb="FFFF0000"/>
      </font>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color rgb="FFFF0000"/>
      </font>
    </dxf>
    <dxf>
      <fill>
        <patternFill>
          <bgColor theme="0" tint="-0.24994659260841701"/>
        </patternFill>
      </fill>
    </dxf>
    <dxf>
      <font>
        <b/>
        <color rgb="FFFF0000"/>
      </font>
    </dxf>
    <dxf>
      <fill>
        <patternFill>
          <bgColor theme="0" tint="-0.24994659260841701"/>
        </patternFill>
      </fill>
    </dxf>
    <dxf>
      <font>
        <b/>
        <color rgb="FFFF0000"/>
      </font>
    </dxf>
    <dxf>
      <fill>
        <patternFill>
          <bgColor theme="0" tint="-0.24994659260841701"/>
        </patternFill>
      </fill>
    </dxf>
    <dxf>
      <font>
        <b/>
        <color rgb="FFFF0000"/>
      </font>
    </dxf>
    <dxf>
      <fill>
        <patternFill>
          <bgColor theme="0" tint="-0.24994659260841701"/>
        </patternFill>
      </fill>
    </dxf>
    <dxf>
      <font>
        <b/>
        <color rgb="FFFF0000"/>
      </font>
    </dxf>
    <dxf>
      <font>
        <b/>
        <color rgb="FFFF0000"/>
      </font>
    </dxf>
    <dxf>
      <fill>
        <patternFill>
          <bgColor theme="0" tint="-0.24994659260841701"/>
        </patternFill>
      </fill>
    </dxf>
    <dxf>
      <fill>
        <patternFill>
          <bgColor theme="0" tint="-0.24994659260841701"/>
        </patternFill>
      </fill>
    </dxf>
    <dxf>
      <font>
        <b/>
        <color rgb="FFFF0000"/>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ill>
        <patternFill>
          <bgColor theme="5" tint="0.59996337778862885"/>
        </patternFill>
      </fill>
    </dxf>
    <dxf>
      <fill>
        <patternFill>
          <bgColor theme="8" tint="0.39994506668294322"/>
        </patternFill>
      </fill>
    </dxf>
    <dxf>
      <font>
        <b/>
        <i val="0"/>
      </font>
    </dxf>
    <dxf>
      <font>
        <b/>
        <i val="0"/>
        <color theme="1"/>
      </font>
      <fill>
        <patternFill>
          <bgColor theme="0" tint="-0.24994659260841701"/>
        </patternFill>
      </fill>
    </dxf>
    <dxf>
      <font>
        <b/>
        <i val="0"/>
        <color theme="0" tint="-4.9989318521683403E-2"/>
      </font>
      <fill>
        <patternFill>
          <bgColor theme="1"/>
        </patternFill>
      </fill>
    </dxf>
    <dxf>
      <font>
        <b/>
        <i val="0"/>
        <color auto="1"/>
      </font>
      <fill>
        <patternFill>
          <bgColor rgb="FF92D050"/>
        </patternFill>
      </fill>
    </dxf>
    <dxf>
      <font>
        <b/>
        <i val="0"/>
        <color theme="1"/>
      </font>
      <fill>
        <patternFill>
          <bgColor rgb="FFFFC000"/>
        </patternFill>
      </fill>
    </dxf>
    <dxf>
      <font>
        <b/>
        <i val="0"/>
        <color theme="1"/>
      </font>
      <fill>
        <patternFill>
          <bgColor rgb="FFC00000"/>
        </patternFill>
      </fill>
    </dxf>
    <dxf>
      <font>
        <b/>
        <i val="0"/>
        <color theme="1"/>
      </font>
    </dxf>
    <dxf>
      <font>
        <b/>
        <i val="0"/>
      </font>
      <fill>
        <patternFill>
          <bgColor theme="9" tint="0.59996337778862885"/>
        </patternFill>
      </fill>
    </dxf>
    <dxf>
      <font>
        <b/>
        <i val="0"/>
      </font>
      <fill>
        <patternFill>
          <bgColor theme="9" tint="0.59996337778862885"/>
        </patternFill>
      </fill>
    </dxf>
    <dxf>
      <font>
        <b/>
        <i val="0"/>
      </font>
      <fill>
        <patternFill>
          <bgColor theme="5" tint="0.59996337778862885"/>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000000"/>
    </dxf>
    <dxf>
      <numFmt numFmtId="166" formatCode="0.0000000"/>
    </dxf>
    <dxf>
      <alignment horizontal="left" textRotation="0" wrapText="0" indent="0" justifyLastLine="0" shrinkToFit="0" readingOrder="0"/>
    </dxf>
    <dxf>
      <numFmt numFmtId="1" formatCode="0"/>
    </dxf>
    <dxf>
      <numFmt numFmtId="1" formatCode="0"/>
    </dxf>
    <dxf>
      <font>
        <b/>
        <i val="0"/>
        <strike val="0"/>
        <condense val="0"/>
        <extend val="0"/>
        <outline val="0"/>
        <shadow val="0"/>
        <u val="none"/>
        <vertAlign val="baseline"/>
        <sz val="11"/>
        <color rgb="FFFFFFFF"/>
        <name val="Aptos Narrow"/>
        <scheme val="none"/>
      </font>
      <fill>
        <patternFill patternType="solid">
          <fgColor indexed="64"/>
          <bgColor rgb="FF1F4E78"/>
        </patternFill>
      </fill>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9" defaultPivotStyle="PivotStyleLight16">
    <tableStyle name="Invisible" pivot="0" table="0" count="0" xr9:uid="{BA710045-AF87-4983-AE69-8C6D4494A6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31A41667-F29E-4BFC-AB82-7E8F3570544D}"/>
  <namedSheetView name="Vista 2" id="{80746F8D-97DD-4021-8B96-7F6722EACDD2}"/>
  <namedSheetView name="Vista 3" id="{6AAC35A7-3917-4C5E-8F7C-68586CEB6162}"/>
  <namedSheetView name="Vista 4" id="{D8561D48-E8AE-41D6-8400-CD3DF7503E30}"/>
  <namedSheetView name="Vista 5" id="{17C8A614-019F-4139-940E-CF598CD39B85}"/>
  <namedSheetView name="Vista 6" id="{404512EB-6B67-4DA3-861B-335C499FCCA7}"/>
  <namedSheetView name="Vista 7" id="{95CB40F2-BCAE-4262-899C-25AFB95C5E0E}"/>
  <namedSheetView name="Vista 8" id="{6D884236-6002-4F05-B266-91F3373929D9}"/>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9A5B66C8-E2E7-4B47-96CC-481F11AFD82F}"/>
  <namedSheetView name="Vista 2" id="{48EA46F6-0690-450A-A19B-E0DD9DF4C170}"/>
  <namedSheetView name="Vista 3" id="{6257E9B7-430D-4D89-87D6-87EDBC71FDE6}"/>
  <namedSheetView name="Vista 4" id="{4143B510-EAF1-4C93-9982-F7692BC43D8B}"/>
  <namedSheetView name="Vista 5" id="{1C529B72-F507-4B9D-B047-6FEE9D9B996A}"/>
  <namedSheetView name="Vista 6" id="{FFB5FF81-4542-436D-9CC2-20D0C9730400}"/>
  <namedSheetView name="Vista 7" id="{3C3560D2-6B06-42C5-AEE4-6A7AAB33B814}"/>
  <namedSheetView name="Vista 8" id="{85DCC386-FE09-43F4-8DF8-8917EDBD286D}"/>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0935CC-12C1-4571-A002-9987951B0CF3}" name="dimUniversidades" displayName="dimUniversidades" ref="A1:L150" headerRowDxfId="103" dataDxfId="102" totalsRowDxfId="101">
  <autoFilter ref="A1:L150" xr:uid="{00000000-0009-0000-0100-00000A000000}"/>
  <tableColumns count="12">
    <tableColumn id="1" xr3:uid="{00000000-0010-0000-0100-000001000000}" name="IdUniversidad" dataDxfId="100"/>
    <tableColumn id="2" xr3:uid="{00000000-0010-0000-0100-000002000000}" name="Nombre" dataDxfId="99"/>
    <tableColumn id="4" xr3:uid="{00000000-0010-0000-0100-000004000000}" name="Siglas" dataDxfId="98"/>
    <tableColumn id="3" xr3:uid="{00000000-0010-0000-0100-000003000000}" name="TipoGestion" dataDxfId="97"/>
    <tableColumn id="11" xr3:uid="{BF0CF298-237A-419C-BB72-843CAED05480}" name="Departamento" dataDxfId="95" totalsRowDxfId="96">
      <calculatedColumnFormula array="1">_xlfn.XLOOKUP(1,(dimLocales_v2[IdUniversidad]=$A2)*(dimLocales_v2[SedePrincipal]=TRUE),dimLocales_v2[Departamento],"")</calculatedColumnFormula>
    </tableColumn>
    <tableColumn id="12" xr3:uid="{1508E3C4-AC96-44C5-B88F-8D06915E177E}" name="Provincia" dataDxfId="93" totalsRowDxfId="94">
      <calculatedColumnFormula array="1">_xlfn.XLOOKUP(1,(dimLocales_v2[IdUniversidad]=$A2)*(dimLocales_v2[SedePrincipal]=TRUE),dimLocales_v2[Provincia],"")</calculatedColumnFormula>
    </tableColumn>
    <tableColumn id="13" xr3:uid="{56A798CE-DF55-4469-9046-905B21E05EE3}" name="Distrito" dataDxfId="91" totalsRowDxfId="92">
      <calculatedColumnFormula array="1">_xlfn.XLOOKUP(1,(dimLocales_v2[IdUniversidad]=$A2)*(dimLocales_v2[SedePrincipal]=TRUE),dimLocales_v2[Distrito],"")</calculatedColumnFormula>
    </tableColumn>
    <tableColumn id="14" xr3:uid="{2A76DDC3-7679-49B8-8516-F32441B6542E}" name="Direccion" dataDxfId="89" totalsRowDxfId="90">
      <calculatedColumnFormula array="1">_xlfn.XLOOKUP(1,(dimLocales_v2[IdUniversidad]=$A2)*(dimLocales_v2[SedePrincipal]=TRUE),dimLocales_v2[Direccion],"")</calculatedColumnFormula>
    </tableColumn>
    <tableColumn id="15" xr3:uid="{2536D6EB-644A-47BF-82F3-6E9AC93AEBD7}" name="Latitud" dataDxfId="87" totalsRowDxfId="88">
      <calculatedColumnFormula array="1">_xlfn.XLOOKUP(1,(dimLocales_v2[IdUniversidad]=$A2)*(dimLocales_v2[SedePrincipal]=TRUE),dimLocales_v2[Latitud],"")</calculatedColumnFormula>
    </tableColumn>
    <tableColumn id="16" xr3:uid="{97FA602A-A88D-4101-B5CF-1DF7648585AC}" name="Longitud" dataDxfId="85" totalsRowDxfId="86">
      <calculatedColumnFormula array="1">_xlfn.XLOOKUP(1,(dimLocales_v2[IdUniversidad]=$A2)*(dimLocales_v2[SedePrincipal]=TRUE),dimLocales_v2[Longitud],"")</calculatedColumnFormula>
    </tableColumn>
    <tableColumn id="17" xr3:uid="{BD490A0D-6D49-49E0-8ECB-1504B5E0B15B}" name="UbigeoRENIEC" dataDxfId="83" totalsRowDxfId="84">
      <calculatedColumnFormula array="1">_xlfn.XLOOKUP(1,(dimLocales_v2[IdUniversidad]=$A2)*(dimLocales_v2[SedePrincipal]=TRUE),dimLocales_v2[UbigeoRENIEC],"")</calculatedColumnFormula>
    </tableColumn>
    <tableColumn id="18" xr3:uid="{5E9FF243-34A0-4E58-9015-2FE8052F75E5}" name="UbigeoINEI" dataDxfId="81" totalsRowDxfId="82">
      <calculatedColumnFormula array="1">_xlfn.XLOOKUP(1,(dimLocales_v2[IdUniversidad]=$A2)*(dimLocales_v2[SedePrincipal]=TRUE),dimLocales_v2[UbigeoINEI],"")</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E01572-8FC3-438F-A44F-560C0EA89532}" name="dimLocales_v2" displayName="dimLocales_v2" ref="A1:M849" totalsRowShown="0" headerRowDxfId="80">
  <autoFilter ref="A1:M849" xr:uid="{12C51E73-3492-4941-8BA8-375527FE4BB8}"/>
  <tableColumns count="13">
    <tableColumn id="1" xr3:uid="{9C5DB9C1-119A-402A-96EF-6495DFA1F565}" name="IdLocal" dataDxfId="79"/>
    <tableColumn id="2" xr3:uid="{8F337C70-A60D-465C-98A5-070537BAA59A}" name="IdUniversidad" dataDxfId="78"/>
    <tableColumn id="3" xr3:uid="{78C5540F-5314-4BD6-86E3-D94DF668F68F}" name="NombreUniversidad">
      <calculatedColumnFormula>_xlfn.XLOOKUP(B2,dimUniversidades!$A:$A,dimUniversidades!$B:$B,"(sin universidad)")</calculatedColumnFormula>
    </tableColumn>
    <tableColumn id="4" xr3:uid="{C4309D00-7DE3-439E-BB14-2F5F56C0775D}" name="CodigoLocal"/>
    <tableColumn id="5" xr3:uid="{11F931BE-73F6-40FB-A44F-C8AF2E5F821C}" name="SedePrincipal" dataDxfId="77"/>
    <tableColumn id="6" xr3:uid="{B2E54850-3CA1-4D03-9D0D-4B44CAFD1E30}" name="Departamento"/>
    <tableColumn id="7" xr3:uid="{9ADE398D-1317-42A2-83B5-17724D0D656E}" name="Provincia"/>
    <tableColumn id="8" xr3:uid="{A8A4BD43-124A-4D1E-91B8-F16ACE2533DF}" name="Distrito"/>
    <tableColumn id="9" xr3:uid="{7A7F3FBA-ACCD-4757-9C2E-1FCE026C7647}" name="Direccion"/>
    <tableColumn id="10" xr3:uid="{4E5B14FF-9809-4F9D-8C10-DCA8C99AED5D}" name="Latitud" dataDxfId="76"/>
    <tableColumn id="11" xr3:uid="{EFED6CF8-8F41-4F45-B509-5CE52EEEE452}" name="Longitud" dataDxfId="75"/>
    <tableColumn id="12" xr3:uid="{952C3D40-AE9D-4E5B-8146-9ABFD1D615BA}" name="UbigeoRENIEC"/>
    <tableColumn id="13" xr3:uid="{89820522-7979-4DA1-AB97-27397A1BEC3A}" name="UbigeoINEI"/>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BC9629-60A7-4469-8A78-B2EDB33F7AF6}" name="dimIndicadores" displayName="dimIndicadores" ref="A1:N248" headerRowDxfId="74" dataDxfId="73" totalsRowDxfId="72">
  <autoFilter ref="A1:N248" xr:uid="{00000000-0009-0000-0100-000011000000}"/>
  <tableColumns count="14">
    <tableColumn id="1" xr3:uid="{00000000-0010-0000-0300-000001000000}" name="IdIndicador" dataDxfId="71"/>
    <tableColumn id="14" xr3:uid="{00000000-0010-0000-0300-00000E000000}" name="Modelo" dataDxfId="70"/>
    <tableColumn id="2" xr3:uid="{00000000-0010-0000-0300-000002000000}" name="CodigoIndicador" dataDxfId="69"/>
    <tableColumn id="3" xr3:uid="{00000000-0010-0000-0300-000003000000}" name="CBC" dataDxfId="68"/>
    <tableColumn id="4" xr3:uid="{00000000-0010-0000-0300-000004000000}" name="DenomCBC" dataDxfId="67"/>
    <tableColumn id="5" xr3:uid="{00000000-0010-0000-0300-000005000000}" name="Etiqueta" dataDxfId="66"/>
    <tableColumn id="6" xr3:uid="{00000000-0010-0000-0300-000006000000}" name="Componente" dataDxfId="65"/>
    <tableColumn id="13" xr3:uid="{00000000-0010-0000-0300-00000D000000}" name="NroIndicador" dataDxfId="64"/>
    <tableColumn id="7" xr3:uid="{00000000-0010-0000-0300-000007000000}" name="DenomIndicador" dataDxfId="63"/>
    <tableColumn id="16" xr3:uid="{00000000-0010-0000-0300-000010000000}" name="ResumenIndicador" dataDxfId="62"/>
    <tableColumn id="8" xr3:uid="{00000000-0010-0000-0300-000008000000}" name="MV" dataDxfId="61"/>
    <tableColumn id="9" xr3:uid="{00000000-0010-0000-0300-000009000000}" name="MedioVerificacion" dataDxfId="60"/>
    <tableColumn id="10" xr3:uid="{00000000-0010-0000-0300-00000A000000}" name="Finalidad" dataDxfId="59"/>
    <tableColumn id="11" xr3:uid="{00000000-0010-0000-0300-00000B000000}" name="Consideraciones" dataDxfId="58"/>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6"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9CA4F1-DA63-472F-B1E9-78E3E94783C8}">
  <we:reference id="wa200009404" version="1.0.0.8" store="en-US" storeType="OMEX"/>
  <we:alternateReferences>
    <we:reference id="WA200009404" version="1.0.0.8" store="" storeType="OMEX"/>
  </we:alternateReferences>
  <we:properties>
    <we:property name="claude.fileId" value="&quot;a9161303-1c36-4f0f-8a7b-c9be35d5c7b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30DA-78DE-4FDF-BD3D-F302DF30A531}">
  <dimension ref="A1:BC198"/>
  <sheetViews>
    <sheetView tabSelected="1" zoomScale="85" zoomScaleNormal="85" workbookViewId="0">
      <pane ySplit="1" topLeftCell="A2" activePane="bottomLeft" state="frozen"/>
      <selection activeCell="Y1" sqref="Y1"/>
      <selection pane="bottomLeft" activeCell="K1" sqref="K1:M1048576"/>
    </sheetView>
  </sheetViews>
  <sheetFormatPr baseColWidth="10" defaultColWidth="11.42578125" defaultRowHeight="12" x14ac:dyDescent="0.25"/>
  <cols>
    <col min="1" max="1" width="14.85546875" style="40" customWidth="1"/>
    <col min="2" max="2" width="14" style="40" customWidth="1"/>
    <col min="3" max="3" width="20" style="40" customWidth="1"/>
    <col min="4" max="4" width="20.5703125" style="44" customWidth="1"/>
    <col min="5" max="5" width="30.140625" style="40" customWidth="1"/>
    <col min="6" max="6" width="22.85546875" style="43" customWidth="1"/>
    <col min="7" max="7" width="35.28515625" style="40" customWidth="1"/>
    <col min="8" max="8" width="22.42578125" style="40" customWidth="1"/>
    <col min="9" max="9" width="14" style="40" customWidth="1"/>
    <col min="10" max="10" width="35.42578125" style="40" customWidth="1"/>
    <col min="11" max="13" width="17.5703125" style="40" customWidth="1"/>
    <col min="14" max="14" width="10.5703125" style="40" customWidth="1"/>
    <col min="15" max="15" width="15.85546875" style="40" customWidth="1"/>
    <col min="16" max="16" width="21" style="40" customWidth="1"/>
    <col min="17" max="17" width="54" style="40" customWidth="1"/>
    <col min="18" max="18" width="18.42578125" style="40" customWidth="1"/>
    <col min="19" max="19" width="13.5703125" style="40" customWidth="1"/>
    <col min="20" max="20" width="31.140625" style="40" customWidth="1"/>
    <col min="21" max="21" width="11.85546875" style="40" customWidth="1"/>
    <col min="22" max="22" width="94.5703125" style="40" customWidth="1"/>
    <col min="23" max="23" width="36" style="40" customWidth="1"/>
    <col min="24" max="24" width="46.140625" style="40" customWidth="1"/>
    <col min="25" max="25" width="36.85546875" style="40" customWidth="1"/>
    <col min="26" max="26" width="19" style="40" customWidth="1"/>
    <col min="27" max="27" width="16.28515625" style="40" customWidth="1"/>
    <col min="28" max="28" width="16.140625" style="40" customWidth="1"/>
    <col min="29" max="29" width="21.42578125" style="40" customWidth="1"/>
    <col min="30" max="30" width="53.28515625" style="41" customWidth="1"/>
    <col min="31" max="31" width="11.42578125" style="40" customWidth="1"/>
    <col min="32" max="16384" width="11.42578125" style="40"/>
  </cols>
  <sheetData>
    <row r="1" spans="1:55" s="41" customFormat="1" ht="57" customHeight="1" x14ac:dyDescent="0.25">
      <c r="A1" s="135" t="s">
        <v>3064</v>
      </c>
      <c r="B1" s="135" t="s">
        <v>3068</v>
      </c>
      <c r="C1" s="135" t="s">
        <v>3070</v>
      </c>
      <c r="D1" s="135" t="s">
        <v>3075</v>
      </c>
      <c r="E1" s="135" t="s">
        <v>3078</v>
      </c>
      <c r="F1" s="135" t="s">
        <v>3080</v>
      </c>
      <c r="G1" s="135" t="s">
        <v>3082</v>
      </c>
      <c r="H1" s="126" t="s">
        <v>3084</v>
      </c>
      <c r="I1" s="126" t="s">
        <v>3086</v>
      </c>
      <c r="J1" s="126" t="s">
        <v>3088</v>
      </c>
      <c r="K1" s="126" t="s">
        <v>3094</v>
      </c>
      <c r="L1" s="126" t="s">
        <v>3097</v>
      </c>
      <c r="M1" s="126" t="s">
        <v>3099</v>
      </c>
      <c r="N1" s="126" t="s">
        <v>3091</v>
      </c>
      <c r="O1" s="79" t="s">
        <v>3054</v>
      </c>
      <c r="P1" s="137" t="s">
        <v>3102</v>
      </c>
      <c r="Q1" s="137" t="s">
        <v>3105</v>
      </c>
      <c r="R1" s="136" t="s">
        <v>3108</v>
      </c>
      <c r="S1" s="135" t="s">
        <v>3110</v>
      </c>
      <c r="T1" s="135" t="s">
        <v>3113</v>
      </c>
      <c r="U1" s="135" t="s">
        <v>3115</v>
      </c>
      <c r="V1" s="135" t="s">
        <v>3116</v>
      </c>
      <c r="W1" s="135" t="s">
        <v>3120</v>
      </c>
      <c r="X1" s="135" t="s">
        <v>3123</v>
      </c>
      <c r="Y1" s="135" t="s">
        <v>3125</v>
      </c>
      <c r="Z1" s="135" t="s">
        <v>3128</v>
      </c>
      <c r="AA1" s="104" t="s">
        <v>3131</v>
      </c>
      <c r="AB1" s="104" t="s">
        <v>3133</v>
      </c>
      <c r="AC1" s="104" t="s">
        <v>3135</v>
      </c>
      <c r="AD1" s="104" t="s">
        <v>3136</v>
      </c>
      <c r="AE1" s="135" t="s">
        <v>3138</v>
      </c>
      <c r="AF1" s="5" t="s">
        <v>3154</v>
      </c>
      <c r="AG1" s="5" t="s">
        <v>3156</v>
      </c>
      <c r="AH1" s="5" t="s">
        <v>3159</v>
      </c>
      <c r="AI1" s="5" t="s">
        <v>3161</v>
      </c>
      <c r="AJ1" s="10" t="s">
        <v>3164</v>
      </c>
      <c r="AK1" s="8" t="s">
        <v>3166</v>
      </c>
      <c r="AL1" s="10" t="s">
        <v>3168</v>
      </c>
      <c r="AM1" s="8" t="s">
        <v>3170</v>
      </c>
      <c r="AN1" s="8" t="s">
        <v>3172</v>
      </c>
      <c r="AO1" s="32" t="s">
        <v>3175</v>
      </c>
      <c r="AP1" s="3" t="s">
        <v>3178</v>
      </c>
      <c r="AQ1" s="3" t="s">
        <v>3180</v>
      </c>
      <c r="AR1" s="3" t="s">
        <v>3183</v>
      </c>
      <c r="AS1" s="3" t="s">
        <v>3185</v>
      </c>
      <c r="AT1" s="32" t="s">
        <v>3187</v>
      </c>
      <c r="AU1" s="32" t="s">
        <v>3189</v>
      </c>
      <c r="AV1" s="32" t="s">
        <v>3191</v>
      </c>
      <c r="AW1" s="32" t="s">
        <v>3193</v>
      </c>
      <c r="AX1" s="32" t="s">
        <v>3195</v>
      </c>
      <c r="AY1" s="32" t="s">
        <v>3197</v>
      </c>
      <c r="AZ1" s="15" t="s">
        <v>3199</v>
      </c>
      <c r="BA1" s="9" t="s">
        <v>3201</v>
      </c>
      <c r="BB1" s="9" t="s">
        <v>3203</v>
      </c>
      <c r="BC1" s="9" t="s">
        <v>3185</v>
      </c>
    </row>
    <row r="2" spans="1:55" s="41" customFormat="1" ht="104.25" customHeight="1" x14ac:dyDescent="0.25">
      <c r="A2" s="48">
        <v>1</v>
      </c>
      <c r="B2" s="51">
        <v>2022</v>
      </c>
      <c r="C2" s="51" t="s">
        <v>277</v>
      </c>
      <c r="D2" s="51" t="s">
        <v>353</v>
      </c>
      <c r="E2" s="51" t="s">
        <v>723</v>
      </c>
      <c r="F2" s="53" t="s">
        <v>722</v>
      </c>
      <c r="G2" s="51"/>
      <c r="H2" s="108">
        <v>29</v>
      </c>
      <c r="I2" s="51" t="s">
        <v>266</v>
      </c>
      <c r="J2" s="51" t="s">
        <v>3204</v>
      </c>
      <c r="K2" s="51" t="s">
        <v>439</v>
      </c>
      <c r="L2" s="51" t="s">
        <v>719</v>
      </c>
      <c r="M2" s="51" t="s">
        <v>3356</v>
      </c>
      <c r="N2" s="51" t="s">
        <v>3357</v>
      </c>
      <c r="O2" s="51" t="s">
        <v>798</v>
      </c>
      <c r="P2" s="51" t="s">
        <v>3234</v>
      </c>
      <c r="Q2" s="51" t="s">
        <v>513</v>
      </c>
      <c r="R2" s="55" t="s">
        <v>3244</v>
      </c>
      <c r="S2" s="51" t="s">
        <v>347</v>
      </c>
      <c r="T2" s="50">
        <v>2</v>
      </c>
      <c r="U2" s="48" t="s">
        <v>718</v>
      </c>
      <c r="V2" s="47">
        <v>45974</v>
      </c>
      <c r="W2" s="45" t="s">
        <v>717</v>
      </c>
      <c r="X2" s="48" t="s">
        <v>716</v>
      </c>
      <c r="Y2" s="62" t="s">
        <v>3245</v>
      </c>
      <c r="Z2" s="62" t="s">
        <v>264</v>
      </c>
      <c r="AA2" s="47">
        <v>46101</v>
      </c>
      <c r="AB2" s="48" t="str">
        <f ca="1">IF(AA2&lt;TODAY(),"VENCIDO","POR VENCER")</f>
        <v>VENCIDO</v>
      </c>
      <c r="AC2" s="47">
        <v>46108</v>
      </c>
      <c r="AD2" s="46" t="s">
        <v>309</v>
      </c>
      <c r="AE2" s="45" t="s">
        <v>715</v>
      </c>
      <c r="AF2" s="41" t="str" cm="1">
        <f t="array" ref="AF2">IFERROR(_xlfn.XLOOKUP(TRIM($E2),TRIM('Año 2026'!$E$3:$E$66),'Año 2026'!$G$3:$G$66),"")</f>
        <v/>
      </c>
      <c r="AG2" s="41" t="str" cm="1">
        <f t="array" ref="AG2">IFERROR(_xlfn.XLOOKUP(TRIM($E2),TRIM('Año 2026'!$E$3:$E$66),'Año 2026'!$H$3:$H$66),"")</f>
        <v/>
      </c>
      <c r="AH2" s="41" t="str" cm="1">
        <f t="array" ref="AH2">IFERROR(_xlfn.XLOOKUP(TRIM($E2),TRIM('Año 2026'!$E$3:$E$66),'Año 2026'!$I$3:$I$66),"")</f>
        <v/>
      </c>
      <c r="AI2" s="41" t="str" cm="1">
        <f t="array" ref="AI2">IFERROR(_xlfn.XLOOKUP(TRIM($E2),TRIM('Año 2026'!$E$3:$E$66),'Año 2026'!$J$3:$J$66),"")</f>
        <v/>
      </c>
      <c r="AJ2" s="41" t="str" cm="1">
        <f t="array" ref="AJ2">IFERROR(_xlfn.XLOOKUP(TRIM($E2),TRIM('Año 2026'!$E$3:$E$66),'Año 2026'!$K$3:$K$66),"")</f>
        <v/>
      </c>
      <c r="AK2" s="41" t="str" cm="1">
        <f t="array" ref="AK2">IFERROR(_xlfn.XLOOKUP(TRIM($E2),TRIM('Año 2026'!$E$3:$E$66),'Año 2026'!$L$3:$L$66),"")</f>
        <v/>
      </c>
      <c r="AL2" s="41" t="str" cm="1">
        <f t="array" ref="AL2">IFERROR(_xlfn.XLOOKUP(TRIM($E2),TRIM('Año 2026'!$E$3:$E$66),'Año 2026'!$M$3:$M$66),"")</f>
        <v/>
      </c>
      <c r="AM2" s="41" t="str" cm="1">
        <f t="array" ref="AM2">IFERROR(_xlfn.XLOOKUP(TRIM($E2),TRIM('Año 2026'!$E$3:$E$66),'Año 2026'!$N$3:$N$66),"")</f>
        <v/>
      </c>
      <c r="AN2" s="41" t="str" cm="1">
        <f t="array" ref="AN2">IFERROR(_xlfn.XLOOKUP(TRIM($E2),TRIM('Año 2026'!$E$3:$E$66),'Año 2026'!$O$3:$O$66),"")</f>
        <v/>
      </c>
      <c r="AO2" s="41" t="str" cm="1">
        <f t="array" ref="AO2">IFERROR(_xlfn.XLOOKUP(TRIM($E2),TRIM('Año 2026'!$E$3:$E$66),'Año 2026'!$P$3:$P$66),"")</f>
        <v/>
      </c>
      <c r="AP2" s="41" t="str" cm="1">
        <f t="array" ref="AP2">IFERROR(_xlfn.XLOOKUP(TRIM($E2),TRIM('Año 2026'!$E$3:$E$66),'Año 2026'!$Q$3:$Q$66),"")</f>
        <v/>
      </c>
      <c r="AQ2" s="41" t="str" cm="1">
        <f t="array" ref="AQ2">IFERROR(_xlfn.XLOOKUP(TRIM($E2),TRIM('Año 2026'!$E$3:$E$66),'Año 2026'!$R$3:$R$66),"")</f>
        <v/>
      </c>
      <c r="AR2" s="41" t="str" cm="1">
        <f t="array" ref="AR2">IFERROR(_xlfn.XLOOKUP(TRIM($E2),TRIM('Año 2026'!$E$3:$E$66),'Año 2026'!$S$3:$S$66),"")</f>
        <v/>
      </c>
      <c r="AS2" s="41" t="str" cm="1">
        <f t="array" ref="AS2">IFERROR(_xlfn.XLOOKUP(TRIM($E2),TRIM('Año 2026'!$E$3:$E$66),'Año 2026'!$T$3:$T$66),"")</f>
        <v/>
      </c>
      <c r="AT2" s="41" t="str" cm="1">
        <f t="array" ref="AT2">IFERROR(_xlfn.XLOOKUP(TRIM($E2),TRIM('Año 2026'!$E$3:$E$66),'Año 2026'!$U$3:$U$66),"")</f>
        <v/>
      </c>
      <c r="AU2" s="41" t="str" cm="1">
        <f t="array" ref="AU2">IFERROR(_xlfn.XLOOKUP(TRIM($E2),TRIM('Año 2026'!$E$3:$E$66),'Año 2026'!$V$3:$V$66),"")</f>
        <v/>
      </c>
      <c r="AV2" s="41" t="str" cm="1">
        <f t="array" ref="AV2">IFERROR(_xlfn.XLOOKUP(TRIM($E2),TRIM('Año 2026'!$E$3:$E$66),'Año 2026'!$W$3:$W$66),"")</f>
        <v/>
      </c>
      <c r="AW2" s="41" t="str" cm="1">
        <f t="array" ref="AW2">IFERROR(_xlfn.XLOOKUP(TRIM($E2),TRIM('Año 2026'!$E$3:$E$66),'Año 2026'!$X$3:$X$66),"")</f>
        <v/>
      </c>
      <c r="AX2" s="41" t="str" cm="1">
        <f t="array" ref="AX2">IFERROR(_xlfn.XLOOKUP(TRIM($E2),TRIM('Año 2026'!$E$3:$E$66),'Año 2026'!$Y$3:$Y$66),"")</f>
        <v/>
      </c>
      <c r="AY2" s="41" t="str" cm="1">
        <f t="array" ref="AY2">IFERROR(_xlfn.XLOOKUP(TRIM($E2),TRIM('Año 2026'!$E$3:$E$66),'Año 2026'!$Z$3:$Z$66),"")</f>
        <v/>
      </c>
      <c r="AZ2" s="41" t="str" cm="1">
        <f t="array" ref="AZ2">IFERROR(_xlfn.XLOOKUP(TRIM($E2),TRIM('Año 2026'!$E$3:$E$66),'Año 2026'!$AA$3:$AA$66),"")</f>
        <v/>
      </c>
      <c r="BA2" s="41" t="str" cm="1">
        <f t="array" ref="BA2">IFERROR(_xlfn.XLOOKUP(TRIM($E2),TRIM('Año 2026'!$E$3:$E$66),'Año 2026'!$AB$3:$AB$66),"")</f>
        <v/>
      </c>
      <c r="BB2" s="41" t="str" cm="1">
        <f t="array" ref="BB2">IFERROR(_xlfn.XLOOKUP(TRIM($E2),TRIM('Año 2026'!$E$3:$E$66),'Año 2026'!$AC$3:$AC$66),"")</f>
        <v/>
      </c>
      <c r="BC2" s="41" t="str" cm="1">
        <f t="array" ref="BC2">IFERROR(_xlfn.XLOOKUP(TRIM($E2),TRIM('Año 2026'!$E$3:$E$66),'Año 2026'!$AD$3:$AD$66),"")</f>
        <v/>
      </c>
    </row>
    <row r="3" spans="1:55" s="41" customFormat="1" ht="126.75" customHeight="1" x14ac:dyDescent="0.25">
      <c r="A3" s="48">
        <v>2</v>
      </c>
      <c r="B3" s="51">
        <v>2022</v>
      </c>
      <c r="C3" s="51" t="s">
        <v>137</v>
      </c>
      <c r="D3" s="51" t="s">
        <v>353</v>
      </c>
      <c r="E3" s="51" t="s">
        <v>739</v>
      </c>
      <c r="F3" s="61" t="s">
        <v>431</v>
      </c>
      <c r="G3" s="51"/>
      <c r="H3" s="108">
        <v>28</v>
      </c>
      <c r="I3" s="51" t="s">
        <v>266</v>
      </c>
      <c r="J3" s="51" t="s">
        <v>735</v>
      </c>
      <c r="K3" s="51" t="s">
        <v>564</v>
      </c>
      <c r="L3" s="51" t="s">
        <v>733</v>
      </c>
      <c r="M3" s="51" t="s">
        <v>732</v>
      </c>
      <c r="N3" s="51" t="s">
        <v>734</v>
      </c>
      <c r="O3" s="51" t="s">
        <v>798</v>
      </c>
      <c r="P3" s="51" t="s">
        <v>3235</v>
      </c>
      <c r="Q3" s="51" t="s">
        <v>3218</v>
      </c>
      <c r="R3" s="55" t="s">
        <v>736</v>
      </c>
      <c r="S3" s="51" t="s">
        <v>347</v>
      </c>
      <c r="T3" s="50">
        <v>1</v>
      </c>
      <c r="U3" s="48" t="s">
        <v>3246</v>
      </c>
      <c r="V3" s="47">
        <v>45982</v>
      </c>
      <c r="W3" s="45" t="s">
        <v>3247</v>
      </c>
      <c r="X3" s="71" t="s">
        <v>731</v>
      </c>
      <c r="Y3" s="49" t="s">
        <v>3248</v>
      </c>
      <c r="Z3" s="62" t="s">
        <v>264</v>
      </c>
      <c r="AA3" s="47">
        <v>46141</v>
      </c>
      <c r="AB3" s="48" t="str">
        <f ca="1">IF(AA3&lt;TODAY(),"VENCIDO","POR VENCER")</f>
        <v>VENCIDO</v>
      </c>
      <c r="AC3" s="47">
        <v>46108</v>
      </c>
      <c r="AD3" s="46" t="s">
        <v>333</v>
      </c>
      <c r="AE3" s="45" t="s">
        <v>730</v>
      </c>
      <c r="AF3" s="41" t="str" cm="1">
        <f t="array" ref="AF3">IFERROR(_xlfn.XLOOKUP(TRIM($E3),TRIM('Año 2026'!$E$3:$E$66),'Año 2026'!$G$3:$G$66),"")</f>
        <v/>
      </c>
      <c r="AG3" s="41" t="str" cm="1">
        <f t="array" ref="AG3">IFERROR(_xlfn.XLOOKUP(TRIM($E3),TRIM('Año 2026'!$E$3:$E$66),'Año 2026'!$H$3:$H$66),"")</f>
        <v/>
      </c>
      <c r="AH3" s="41" t="str" cm="1">
        <f t="array" ref="AH3">IFERROR(_xlfn.XLOOKUP(TRIM($E3),TRIM('Año 2026'!$E$3:$E$66),'Año 2026'!$I$3:$I$66),"")</f>
        <v/>
      </c>
      <c r="AI3" s="41" t="str" cm="1">
        <f t="array" ref="AI3">IFERROR(_xlfn.XLOOKUP(TRIM($E3),TRIM('Año 2026'!$E$3:$E$66),'Año 2026'!$J$3:$J$66),"")</f>
        <v/>
      </c>
      <c r="AJ3" s="41" t="str" cm="1">
        <f t="array" ref="AJ3">IFERROR(_xlfn.XLOOKUP(TRIM($E3),TRIM('Año 2026'!$E$3:$E$66),'Año 2026'!$K$3:$K$66),"")</f>
        <v/>
      </c>
      <c r="AK3" s="41" t="str" cm="1">
        <f t="array" ref="AK3">IFERROR(_xlfn.XLOOKUP(TRIM($E3),TRIM('Año 2026'!$E$3:$E$66),'Año 2026'!$L$3:$L$66),"")</f>
        <v/>
      </c>
      <c r="AL3" s="41" t="str" cm="1">
        <f t="array" ref="AL3">IFERROR(_xlfn.XLOOKUP(TRIM($E3),TRIM('Año 2026'!$E$3:$E$66),'Año 2026'!$M$3:$M$66),"")</f>
        <v/>
      </c>
      <c r="AM3" s="41" t="str" cm="1">
        <f t="array" ref="AM3">IFERROR(_xlfn.XLOOKUP(TRIM($E3),TRIM('Año 2026'!$E$3:$E$66),'Año 2026'!$N$3:$N$66),"")</f>
        <v/>
      </c>
      <c r="AN3" s="41" t="str" cm="1">
        <f t="array" ref="AN3">IFERROR(_xlfn.XLOOKUP(TRIM($E3),TRIM('Año 2026'!$E$3:$E$66),'Año 2026'!$O$3:$O$66),"")</f>
        <v/>
      </c>
      <c r="AO3" s="41" t="str" cm="1">
        <f t="array" ref="AO3">IFERROR(_xlfn.XLOOKUP(TRIM($E3),TRIM('Año 2026'!$E$3:$E$66),'Año 2026'!$P$3:$P$66),"")</f>
        <v/>
      </c>
      <c r="AP3" s="41" t="str" cm="1">
        <f t="array" ref="AP3">IFERROR(_xlfn.XLOOKUP(TRIM($E3),TRIM('Año 2026'!$E$3:$E$66),'Año 2026'!$Q$3:$Q$66),"")</f>
        <v/>
      </c>
      <c r="AQ3" s="41" t="str" cm="1">
        <f t="array" ref="AQ3">IFERROR(_xlfn.XLOOKUP(TRIM($E3),TRIM('Año 2026'!$E$3:$E$66),'Año 2026'!$R$3:$R$66),"")</f>
        <v/>
      </c>
      <c r="AR3" s="41" t="str" cm="1">
        <f t="array" ref="AR3">IFERROR(_xlfn.XLOOKUP(TRIM($E3),TRIM('Año 2026'!$E$3:$E$66),'Año 2026'!$S$3:$S$66),"")</f>
        <v/>
      </c>
      <c r="AS3" s="41" t="str" cm="1">
        <f t="array" ref="AS3">IFERROR(_xlfn.XLOOKUP(TRIM($E3),TRIM('Año 2026'!$E$3:$E$66),'Año 2026'!$T$3:$T$66),"")</f>
        <v/>
      </c>
      <c r="AT3" s="41" t="str" cm="1">
        <f t="array" ref="AT3">IFERROR(_xlfn.XLOOKUP(TRIM($E3),TRIM('Año 2026'!$E$3:$E$66),'Año 2026'!$U$3:$U$66),"")</f>
        <v/>
      </c>
      <c r="AU3" s="41" t="str" cm="1">
        <f t="array" ref="AU3">IFERROR(_xlfn.XLOOKUP(TRIM($E3),TRIM('Año 2026'!$E$3:$E$66),'Año 2026'!$V$3:$V$66),"")</f>
        <v/>
      </c>
      <c r="AV3" s="41" t="str" cm="1">
        <f t="array" ref="AV3">IFERROR(_xlfn.XLOOKUP(TRIM($E3),TRIM('Año 2026'!$E$3:$E$66),'Año 2026'!$W$3:$W$66),"")</f>
        <v/>
      </c>
      <c r="AW3" s="41" t="str" cm="1">
        <f t="array" ref="AW3">IFERROR(_xlfn.XLOOKUP(TRIM($E3),TRIM('Año 2026'!$E$3:$E$66),'Año 2026'!$X$3:$X$66),"")</f>
        <v/>
      </c>
      <c r="AX3" s="41" t="str" cm="1">
        <f t="array" ref="AX3">IFERROR(_xlfn.XLOOKUP(TRIM($E3),TRIM('Año 2026'!$E$3:$E$66),'Año 2026'!$Y$3:$Y$66),"")</f>
        <v/>
      </c>
      <c r="AY3" s="41" t="str" cm="1">
        <f t="array" ref="AY3">IFERROR(_xlfn.XLOOKUP(TRIM($E3),TRIM('Año 2026'!$E$3:$E$66),'Año 2026'!$Z$3:$Z$66),"")</f>
        <v/>
      </c>
      <c r="AZ3" s="41" t="str" cm="1">
        <f t="array" ref="AZ3">IFERROR(_xlfn.XLOOKUP(TRIM($E3),TRIM('Año 2026'!$E$3:$E$66),'Año 2026'!$AA$3:$AA$66),"")</f>
        <v/>
      </c>
      <c r="BA3" s="41" t="str" cm="1">
        <f t="array" ref="BA3">IFERROR(_xlfn.XLOOKUP(TRIM($E3),TRIM('Año 2026'!$E$3:$E$66),'Año 2026'!$AB$3:$AB$66),"")</f>
        <v/>
      </c>
      <c r="BB3" s="41" t="str" cm="1">
        <f t="array" ref="BB3">IFERROR(_xlfn.XLOOKUP(TRIM($E3),TRIM('Año 2026'!$E$3:$E$66),'Año 2026'!$AC$3:$AC$66),"")</f>
        <v/>
      </c>
      <c r="BC3" s="41" t="str" cm="1">
        <f t="array" ref="BC3">IFERROR(_xlfn.XLOOKUP(TRIM($E3),TRIM('Año 2026'!$E$3:$E$66),'Año 2026'!$AD$3:$AD$66),"")</f>
        <v/>
      </c>
    </row>
    <row r="4" spans="1:55" s="41" customFormat="1" ht="126.75" customHeight="1" x14ac:dyDescent="0.25">
      <c r="A4" s="48">
        <v>3</v>
      </c>
      <c r="B4" s="51">
        <v>2022</v>
      </c>
      <c r="C4" s="51" t="s">
        <v>137</v>
      </c>
      <c r="D4" s="51" t="s">
        <v>526</v>
      </c>
      <c r="E4" s="51" t="s">
        <v>729</v>
      </c>
      <c r="F4" s="61" t="s">
        <v>431</v>
      </c>
      <c r="G4" s="51"/>
      <c r="H4" s="108">
        <v>25</v>
      </c>
      <c r="I4" s="51" t="s">
        <v>295</v>
      </c>
      <c r="J4" s="51" t="s">
        <v>3205</v>
      </c>
      <c r="K4" s="51" t="s">
        <v>3358</v>
      </c>
      <c r="L4" s="51" t="s">
        <v>3359</v>
      </c>
      <c r="M4" s="51" t="s">
        <v>3359</v>
      </c>
      <c r="N4" s="55" t="s">
        <v>3360</v>
      </c>
      <c r="O4" s="51" t="s">
        <v>798</v>
      </c>
      <c r="P4" s="51" t="s">
        <v>360</v>
      </c>
      <c r="Q4" s="51" t="s">
        <v>3219</v>
      </c>
      <c r="R4" s="55" t="s">
        <v>728</v>
      </c>
      <c r="S4" s="51" t="s">
        <v>372</v>
      </c>
      <c r="T4" s="50">
        <v>1</v>
      </c>
      <c r="U4" s="48" t="s">
        <v>727</v>
      </c>
      <c r="V4" s="47">
        <v>44977</v>
      </c>
      <c r="W4" s="45" t="s">
        <v>726</v>
      </c>
      <c r="X4" s="71" t="s">
        <v>725</v>
      </c>
      <c r="Y4" s="76" t="s">
        <v>3249</v>
      </c>
      <c r="Z4" s="101" t="s">
        <v>264</v>
      </c>
      <c r="AA4" s="47">
        <v>46101</v>
      </c>
      <c r="AB4" s="48" t="str">
        <f ca="1">IF(AA4&lt;TODAY(),"VENCIDO","POR VENCER")</f>
        <v>VENCIDO</v>
      </c>
      <c r="AC4" s="47">
        <v>46108</v>
      </c>
      <c r="AD4" s="46" t="s">
        <v>333</v>
      </c>
      <c r="AE4" s="48" t="s">
        <v>724</v>
      </c>
      <c r="AF4" s="41" t="str" cm="1">
        <f t="array" ref="AF4">IFERROR(_xlfn.XLOOKUP(TRIM($E4),TRIM('Año 2026'!$E$3:$E$66),'Año 2026'!$G$3:$G$66),"")</f>
        <v/>
      </c>
      <c r="AG4" s="41" t="str" cm="1">
        <f t="array" ref="AG4">IFERROR(_xlfn.XLOOKUP(TRIM($E4),TRIM('Año 2026'!$E$3:$E$66),'Año 2026'!$H$3:$H$66),"")</f>
        <v/>
      </c>
      <c r="AH4" s="41" t="str" cm="1">
        <f t="array" ref="AH4">IFERROR(_xlfn.XLOOKUP(TRIM($E4),TRIM('Año 2026'!$E$3:$E$66),'Año 2026'!$I$3:$I$66),"")</f>
        <v/>
      </c>
      <c r="AI4" s="41" t="str" cm="1">
        <f t="array" ref="AI4">IFERROR(_xlfn.XLOOKUP(TRIM($E4),TRIM('Año 2026'!$E$3:$E$66),'Año 2026'!$J$3:$J$66),"")</f>
        <v/>
      </c>
      <c r="AJ4" s="41" t="str" cm="1">
        <f t="array" ref="AJ4">IFERROR(_xlfn.XLOOKUP(TRIM($E4),TRIM('Año 2026'!$E$3:$E$66),'Año 2026'!$K$3:$K$66),"")</f>
        <v/>
      </c>
      <c r="AK4" s="41" t="str" cm="1">
        <f t="array" ref="AK4">IFERROR(_xlfn.XLOOKUP(TRIM($E4),TRIM('Año 2026'!$E$3:$E$66),'Año 2026'!$L$3:$L$66),"")</f>
        <v/>
      </c>
      <c r="AL4" s="41" t="str" cm="1">
        <f t="array" ref="AL4">IFERROR(_xlfn.XLOOKUP(TRIM($E4),TRIM('Año 2026'!$E$3:$E$66),'Año 2026'!$M$3:$M$66),"")</f>
        <v/>
      </c>
      <c r="AM4" s="41" t="str" cm="1">
        <f t="array" ref="AM4">IFERROR(_xlfn.XLOOKUP(TRIM($E4),TRIM('Año 2026'!$E$3:$E$66),'Año 2026'!$N$3:$N$66),"")</f>
        <v/>
      </c>
      <c r="AN4" s="41" t="str" cm="1">
        <f t="array" ref="AN4">IFERROR(_xlfn.XLOOKUP(TRIM($E4),TRIM('Año 2026'!$E$3:$E$66),'Año 2026'!$O$3:$O$66),"")</f>
        <v/>
      </c>
      <c r="AO4" s="41" t="str" cm="1">
        <f t="array" ref="AO4">IFERROR(_xlfn.XLOOKUP(TRIM($E4),TRIM('Año 2026'!$E$3:$E$66),'Año 2026'!$P$3:$P$66),"")</f>
        <v/>
      </c>
      <c r="AP4" s="41" t="str" cm="1">
        <f t="array" ref="AP4">IFERROR(_xlfn.XLOOKUP(TRIM($E4),TRIM('Año 2026'!$E$3:$E$66),'Año 2026'!$Q$3:$Q$66),"")</f>
        <v/>
      </c>
      <c r="AQ4" s="41" t="str" cm="1">
        <f t="array" ref="AQ4">IFERROR(_xlfn.XLOOKUP(TRIM($E4),TRIM('Año 2026'!$E$3:$E$66),'Año 2026'!$R$3:$R$66),"")</f>
        <v/>
      </c>
      <c r="AR4" s="41" t="str" cm="1">
        <f t="array" ref="AR4">IFERROR(_xlfn.XLOOKUP(TRIM($E4),TRIM('Año 2026'!$E$3:$E$66),'Año 2026'!$S$3:$S$66),"")</f>
        <v/>
      </c>
      <c r="AS4" s="41" t="str" cm="1">
        <f t="array" ref="AS4">IFERROR(_xlfn.XLOOKUP(TRIM($E4),TRIM('Año 2026'!$E$3:$E$66),'Año 2026'!$T$3:$T$66),"")</f>
        <v/>
      </c>
      <c r="AT4" s="41" t="str" cm="1">
        <f t="array" ref="AT4">IFERROR(_xlfn.XLOOKUP(TRIM($E4),TRIM('Año 2026'!$E$3:$E$66),'Año 2026'!$U$3:$U$66),"")</f>
        <v/>
      </c>
      <c r="AU4" s="41" t="str" cm="1">
        <f t="array" ref="AU4">IFERROR(_xlfn.XLOOKUP(TRIM($E4),TRIM('Año 2026'!$E$3:$E$66),'Año 2026'!$V$3:$V$66),"")</f>
        <v/>
      </c>
      <c r="AV4" s="41" t="str" cm="1">
        <f t="array" ref="AV4">IFERROR(_xlfn.XLOOKUP(TRIM($E4),TRIM('Año 2026'!$E$3:$E$66),'Año 2026'!$W$3:$W$66),"")</f>
        <v/>
      </c>
      <c r="AW4" s="41" t="str" cm="1">
        <f t="array" ref="AW4">IFERROR(_xlfn.XLOOKUP(TRIM($E4),TRIM('Año 2026'!$E$3:$E$66),'Año 2026'!$X$3:$X$66),"")</f>
        <v/>
      </c>
      <c r="AX4" s="41" t="str" cm="1">
        <f t="array" ref="AX4">IFERROR(_xlfn.XLOOKUP(TRIM($E4),TRIM('Año 2026'!$E$3:$E$66),'Año 2026'!$Y$3:$Y$66),"")</f>
        <v/>
      </c>
      <c r="AY4" s="41" t="str" cm="1">
        <f t="array" ref="AY4">IFERROR(_xlfn.XLOOKUP(TRIM($E4),TRIM('Año 2026'!$E$3:$E$66),'Año 2026'!$Z$3:$Z$66),"")</f>
        <v/>
      </c>
      <c r="AZ4" s="41" t="str" cm="1">
        <f t="array" ref="AZ4">IFERROR(_xlfn.XLOOKUP(TRIM($E4),TRIM('Año 2026'!$E$3:$E$66),'Año 2026'!$AA$3:$AA$66),"")</f>
        <v/>
      </c>
      <c r="BA4" s="41" t="str" cm="1">
        <f t="array" ref="BA4">IFERROR(_xlfn.XLOOKUP(TRIM($E4),TRIM('Año 2026'!$E$3:$E$66),'Año 2026'!$AB$3:$AB$66),"")</f>
        <v/>
      </c>
      <c r="BB4" s="41" t="str" cm="1">
        <f t="array" ref="BB4">IFERROR(_xlfn.XLOOKUP(TRIM($E4),TRIM('Año 2026'!$E$3:$E$66),'Año 2026'!$AC$3:$AC$66),"")</f>
        <v/>
      </c>
      <c r="BC4" s="41" t="str" cm="1">
        <f t="array" ref="BC4">IFERROR(_xlfn.XLOOKUP(TRIM($E4),TRIM('Año 2026'!$E$3:$E$66),'Año 2026'!$AD$3:$AD$66),"")</f>
        <v/>
      </c>
    </row>
    <row r="5" spans="1:55" s="41" customFormat="1" ht="135" customHeight="1" x14ac:dyDescent="0.25">
      <c r="A5" s="48">
        <v>4</v>
      </c>
      <c r="B5" s="51">
        <v>2024</v>
      </c>
      <c r="C5" s="51" t="s">
        <v>69</v>
      </c>
      <c r="D5" s="51" t="s">
        <v>353</v>
      </c>
      <c r="E5" s="51" t="s">
        <v>661</v>
      </c>
      <c r="F5" s="53" t="s">
        <v>269</v>
      </c>
      <c r="G5" s="51" t="s">
        <v>259</v>
      </c>
      <c r="H5" s="108">
        <v>42</v>
      </c>
      <c r="I5" s="72" t="s">
        <v>295</v>
      </c>
      <c r="J5" s="71" t="s">
        <v>324</v>
      </c>
      <c r="K5" s="71" t="s">
        <v>385</v>
      </c>
      <c r="L5" s="71" t="s">
        <v>385</v>
      </c>
      <c r="M5" s="71" t="s">
        <v>428</v>
      </c>
      <c r="N5" s="94" t="s">
        <v>658</v>
      </c>
      <c r="O5" s="51" t="s">
        <v>798</v>
      </c>
      <c r="P5" s="71" t="s">
        <v>821</v>
      </c>
      <c r="Q5" s="71">
        <v>27</v>
      </c>
      <c r="R5" s="90" t="s">
        <v>3250</v>
      </c>
      <c r="S5" s="51" t="s">
        <v>372</v>
      </c>
      <c r="T5" s="50">
        <v>2</v>
      </c>
      <c r="U5" s="72" t="s">
        <v>3251</v>
      </c>
      <c r="V5" s="95">
        <v>45841</v>
      </c>
      <c r="W5" s="90" t="s">
        <v>3252</v>
      </c>
      <c r="X5" s="71"/>
      <c r="Y5" s="56" t="s">
        <v>3253</v>
      </c>
      <c r="Z5" s="49" t="s">
        <v>264</v>
      </c>
      <c r="AA5" s="47">
        <v>46227</v>
      </c>
      <c r="AB5" s="48" t="str">
        <f ca="1">IF(AA5&lt;TODAY(),"VENCIDO","POR VENCER")</f>
        <v>POR VENCER</v>
      </c>
      <c r="AC5" s="47">
        <v>46234</v>
      </c>
      <c r="AD5" s="46" t="s">
        <v>309</v>
      </c>
      <c r="AE5" s="48" t="s">
        <v>308</v>
      </c>
      <c r="AF5" s="41" t="str" cm="1">
        <f t="array" ref="AF5">IFERROR(_xlfn.XLOOKUP(TRIM($E5),TRIM('Año 2026'!$E$3:$E$66),'Año 2026'!$G$3:$G$66),"")</f>
        <v>OFICIO Nº 02404-2025-SUNEDU-DS-DIRESESU-UVE</v>
      </c>
      <c r="AG5" s="41" cm="1">
        <f t="array" ref="AG5">IFERROR(_xlfn.XLOOKUP(TRIM($E5),TRIM('Año 2026'!$E$3:$E$66),'Año 2026'!$H$3:$H$66),"")</f>
        <v>0</v>
      </c>
      <c r="AH5" s="41" cm="1">
        <f t="array" ref="AH5">IFERROR(_xlfn.XLOOKUP(TRIM($E5),TRIM('Año 2026'!$E$3:$E$66),'Año 2026'!$I$3:$I$66),"")</f>
        <v>0</v>
      </c>
      <c r="AI5" s="41" cm="1">
        <f t="array" ref="AI5">IFERROR(_xlfn.XLOOKUP(TRIM($E5),TRIM('Año 2026'!$E$3:$E$66),'Año 2026'!$J$3:$J$66),"")</f>
        <v>0</v>
      </c>
      <c r="AJ5" s="41" cm="1">
        <f t="array" ref="AJ5">IFERROR(_xlfn.XLOOKUP(TRIM($E5),TRIM('Año 2026'!$E$3:$E$66),'Año 2026'!$K$3:$K$66),"")</f>
        <v>0</v>
      </c>
      <c r="AK5" s="41" cm="1">
        <f t="array" ref="AK5">IFERROR(_xlfn.XLOOKUP(TRIM($E5),TRIM('Año 2026'!$E$3:$E$66),'Año 2026'!$L$3:$L$66),"")</f>
        <v>0</v>
      </c>
      <c r="AL5" s="41" cm="1">
        <f t="array" ref="AL5">IFERROR(_xlfn.XLOOKUP(TRIM($E5),TRIM('Año 2026'!$E$3:$E$66),'Año 2026'!$M$3:$M$66),"")</f>
        <v>0</v>
      </c>
      <c r="AM5" s="41" cm="1">
        <f t="array" ref="AM5">IFERROR(_xlfn.XLOOKUP(TRIM($E5),TRIM('Año 2026'!$E$3:$E$66),'Año 2026'!$N$3:$N$66),"")</f>
        <v>0</v>
      </c>
      <c r="AN5" s="41" cm="1">
        <f t="array" ref="AN5">IFERROR(_xlfn.XLOOKUP(TRIM($E5),TRIM('Año 2026'!$E$3:$E$66),'Año 2026'!$O$3:$O$66),"")</f>
        <v>0</v>
      </c>
      <c r="AO5" s="41" cm="1">
        <f t="array" ref="AO5">IFERROR(_xlfn.XLOOKUP(TRIM($E5),TRIM('Año 2026'!$E$3:$E$66),'Año 2026'!$P$3:$P$66),"")</f>
        <v>0</v>
      </c>
      <c r="AP5" s="41" cm="1">
        <f t="array" ref="AP5">IFERROR(_xlfn.XLOOKUP(TRIM($E5),TRIM('Año 2026'!$E$3:$E$66),'Año 2026'!$Q$3:$Q$66),"")</f>
        <v>0</v>
      </c>
      <c r="AQ5" s="41" cm="1">
        <f t="array" ref="AQ5">IFERROR(_xlfn.XLOOKUP(TRIM($E5),TRIM('Año 2026'!$E$3:$E$66),'Año 2026'!$R$3:$R$66),"")</f>
        <v>0</v>
      </c>
      <c r="AR5" s="41" cm="1">
        <f t="array" ref="AR5">IFERROR(_xlfn.XLOOKUP(TRIM($E5),TRIM('Año 2026'!$E$3:$E$66),'Año 2026'!$S$3:$S$66),"")</f>
        <v>0</v>
      </c>
      <c r="AS5" s="41" cm="1">
        <f t="array" ref="AS5">IFERROR(_xlfn.XLOOKUP(TRIM($E5),TRIM('Año 2026'!$E$3:$E$66),'Año 2026'!$T$3:$T$66),"")</f>
        <v>0</v>
      </c>
      <c r="AT5" s="41" cm="1">
        <f t="array" ref="AT5">IFERROR(_xlfn.XLOOKUP(TRIM($E5),TRIM('Año 2026'!$E$3:$E$66),'Año 2026'!$U$3:$U$66),"")</f>
        <v>0</v>
      </c>
      <c r="AU5" s="41" cm="1">
        <f t="array" ref="AU5">IFERROR(_xlfn.XLOOKUP(TRIM($E5),TRIM('Año 2026'!$E$3:$E$66),'Año 2026'!$V$3:$V$66),"")</f>
        <v>0</v>
      </c>
      <c r="AV5" s="41" cm="1">
        <f t="array" ref="AV5">IFERROR(_xlfn.XLOOKUP(TRIM($E5),TRIM('Año 2026'!$E$3:$E$66),'Año 2026'!$W$3:$W$66),"")</f>
        <v>0</v>
      </c>
      <c r="AW5" s="41" cm="1">
        <f t="array" ref="AW5">IFERROR(_xlfn.XLOOKUP(TRIM($E5),TRIM('Año 2026'!$E$3:$E$66),'Año 2026'!$X$3:$X$66),"")</f>
        <v>0</v>
      </c>
      <c r="AX5" s="41" cm="1">
        <f t="array" ref="AX5">IFERROR(_xlfn.XLOOKUP(TRIM($E5),TRIM('Año 2026'!$E$3:$E$66),'Año 2026'!$Y$3:$Y$66),"")</f>
        <v>0</v>
      </c>
      <c r="AY5" s="41" cm="1">
        <f t="array" ref="AY5">IFERROR(_xlfn.XLOOKUP(TRIM($E5),TRIM('Año 2026'!$E$3:$E$66),'Año 2026'!$Z$3:$Z$66),"")</f>
        <v>0</v>
      </c>
      <c r="AZ5" s="41" cm="1">
        <f t="array" ref="AZ5">IFERROR(_xlfn.XLOOKUP(TRIM($E5),TRIM('Año 2026'!$E$3:$E$66),'Año 2026'!$AA$3:$AA$66),"")</f>
        <v>0</v>
      </c>
      <c r="BA5" s="41" cm="1">
        <f t="array" ref="BA5">IFERROR(_xlfn.XLOOKUP(TRIM($E5),TRIM('Año 2026'!$E$3:$E$66),'Año 2026'!$AB$3:$AB$66),"")</f>
        <v>0</v>
      </c>
      <c r="BB5" s="41" cm="1">
        <f t="array" ref="BB5">IFERROR(_xlfn.XLOOKUP(TRIM($E5),TRIM('Año 2026'!$E$3:$E$66),'Año 2026'!$AC$3:$AC$66),"")</f>
        <v>0</v>
      </c>
      <c r="BC5" s="41" cm="1">
        <f t="array" ref="BC5">IFERROR(_xlfn.XLOOKUP(TRIM($E5),TRIM('Año 2026'!$E$3:$E$66),'Año 2026'!$AD$3:$AD$66),"")</f>
        <v>0</v>
      </c>
    </row>
    <row r="6" spans="1:55" s="41" customFormat="1" ht="144.75" customHeight="1" x14ac:dyDescent="0.25">
      <c r="A6" s="48">
        <v>5</v>
      </c>
      <c r="B6" s="51">
        <v>2023</v>
      </c>
      <c r="C6" s="51" t="s">
        <v>137</v>
      </c>
      <c r="D6" s="51" t="s">
        <v>284</v>
      </c>
      <c r="E6" s="51" t="s">
        <v>699</v>
      </c>
      <c r="F6" s="53" t="s">
        <v>269</v>
      </c>
      <c r="G6" s="51" t="s">
        <v>3254</v>
      </c>
      <c r="H6" s="108">
        <v>31</v>
      </c>
      <c r="I6" s="72" t="s">
        <v>266</v>
      </c>
      <c r="J6" s="71" t="s">
        <v>3206</v>
      </c>
      <c r="K6" s="72" t="s">
        <v>506</v>
      </c>
      <c r="L6" s="72" t="s">
        <v>506</v>
      </c>
      <c r="M6" s="72" t="s">
        <v>505</v>
      </c>
      <c r="N6" s="102" t="s">
        <v>3361</v>
      </c>
      <c r="O6" s="51" t="s">
        <v>798</v>
      </c>
      <c r="P6" s="71" t="s">
        <v>3235</v>
      </c>
      <c r="Q6" s="72">
        <v>19</v>
      </c>
      <c r="R6" s="103" t="s">
        <v>3255</v>
      </c>
      <c r="S6" s="51" t="s">
        <v>372</v>
      </c>
      <c r="T6" s="50">
        <v>2</v>
      </c>
      <c r="U6" s="72" t="s">
        <v>3256</v>
      </c>
      <c r="V6" s="47">
        <v>45797</v>
      </c>
      <c r="W6" s="92" t="s">
        <v>3257</v>
      </c>
      <c r="X6" s="71"/>
      <c r="Y6" s="64" t="s">
        <v>3258</v>
      </c>
      <c r="Z6" s="64" t="s">
        <v>264</v>
      </c>
      <c r="AA6" s="47">
        <v>46129</v>
      </c>
      <c r="AB6" s="48" t="str">
        <f ca="1">IF(AA6&lt;TODAY(),"VENCIDO","POR VENCER")</f>
        <v>VENCIDO</v>
      </c>
      <c r="AC6" s="47">
        <v>46136</v>
      </c>
      <c r="AD6" s="46" t="s">
        <v>309</v>
      </c>
      <c r="AE6" s="48" t="s">
        <v>503</v>
      </c>
      <c r="AF6" s="41" t="str" cm="1">
        <f t="array" ref="AF6">IFERROR(_xlfn.XLOOKUP(TRIM($E6),TRIM('Año 2026'!$E$3:$E$66),'Año 2026'!$G$3:$G$66),"")</f>
        <v/>
      </c>
      <c r="AG6" s="41" t="str" cm="1">
        <f t="array" ref="AG6">IFERROR(_xlfn.XLOOKUP(TRIM($E6),TRIM('Año 2026'!$E$3:$E$66),'Año 2026'!$H$3:$H$66),"")</f>
        <v/>
      </c>
      <c r="AH6" s="41" t="str" cm="1">
        <f t="array" ref="AH6">IFERROR(_xlfn.XLOOKUP(TRIM($E6),TRIM('Año 2026'!$E$3:$E$66),'Año 2026'!$I$3:$I$66),"")</f>
        <v/>
      </c>
      <c r="AI6" s="41" t="str" cm="1">
        <f t="array" ref="AI6">IFERROR(_xlfn.XLOOKUP(TRIM($E6),TRIM('Año 2026'!$E$3:$E$66),'Año 2026'!$J$3:$J$66),"")</f>
        <v/>
      </c>
      <c r="AJ6" s="41" t="str" cm="1">
        <f t="array" ref="AJ6">IFERROR(_xlfn.XLOOKUP(TRIM($E6),TRIM('Año 2026'!$E$3:$E$66),'Año 2026'!$K$3:$K$66),"")</f>
        <v/>
      </c>
      <c r="AK6" s="41" t="str" cm="1">
        <f t="array" ref="AK6">IFERROR(_xlfn.XLOOKUP(TRIM($E6),TRIM('Año 2026'!$E$3:$E$66),'Año 2026'!$L$3:$L$66),"")</f>
        <v/>
      </c>
      <c r="AL6" s="41" t="str" cm="1">
        <f t="array" ref="AL6">IFERROR(_xlfn.XLOOKUP(TRIM($E6),TRIM('Año 2026'!$E$3:$E$66),'Año 2026'!$M$3:$M$66),"")</f>
        <v/>
      </c>
      <c r="AM6" s="41" t="str" cm="1">
        <f t="array" ref="AM6">IFERROR(_xlfn.XLOOKUP(TRIM($E6),TRIM('Año 2026'!$E$3:$E$66),'Año 2026'!$N$3:$N$66),"")</f>
        <v/>
      </c>
      <c r="AN6" s="41" t="str" cm="1">
        <f t="array" ref="AN6">IFERROR(_xlfn.XLOOKUP(TRIM($E6),TRIM('Año 2026'!$E$3:$E$66),'Año 2026'!$O$3:$O$66),"")</f>
        <v/>
      </c>
      <c r="AO6" s="41" t="str" cm="1">
        <f t="array" ref="AO6">IFERROR(_xlfn.XLOOKUP(TRIM($E6),TRIM('Año 2026'!$E$3:$E$66),'Año 2026'!$P$3:$P$66),"")</f>
        <v/>
      </c>
      <c r="AP6" s="41" t="str" cm="1">
        <f t="array" ref="AP6">IFERROR(_xlfn.XLOOKUP(TRIM($E6),TRIM('Año 2026'!$E$3:$E$66),'Año 2026'!$Q$3:$Q$66),"")</f>
        <v/>
      </c>
      <c r="AQ6" s="41" t="str" cm="1">
        <f t="array" ref="AQ6">IFERROR(_xlfn.XLOOKUP(TRIM($E6),TRIM('Año 2026'!$E$3:$E$66),'Año 2026'!$R$3:$R$66),"")</f>
        <v/>
      </c>
      <c r="AR6" s="41" t="str" cm="1">
        <f t="array" ref="AR6">IFERROR(_xlfn.XLOOKUP(TRIM($E6),TRIM('Año 2026'!$E$3:$E$66),'Año 2026'!$S$3:$S$66),"")</f>
        <v/>
      </c>
      <c r="AS6" s="41" t="str" cm="1">
        <f t="array" ref="AS6">IFERROR(_xlfn.XLOOKUP(TRIM($E6),TRIM('Año 2026'!$E$3:$E$66),'Año 2026'!$T$3:$T$66),"")</f>
        <v/>
      </c>
      <c r="AT6" s="41" t="str" cm="1">
        <f t="array" ref="AT6">IFERROR(_xlfn.XLOOKUP(TRIM($E6),TRIM('Año 2026'!$E$3:$E$66),'Año 2026'!$U$3:$U$66),"")</f>
        <v/>
      </c>
      <c r="AU6" s="41" t="str" cm="1">
        <f t="array" ref="AU6">IFERROR(_xlfn.XLOOKUP(TRIM($E6),TRIM('Año 2026'!$E$3:$E$66),'Año 2026'!$V$3:$V$66),"")</f>
        <v/>
      </c>
      <c r="AV6" s="41" t="str" cm="1">
        <f t="array" ref="AV6">IFERROR(_xlfn.XLOOKUP(TRIM($E6),TRIM('Año 2026'!$E$3:$E$66),'Año 2026'!$W$3:$W$66),"")</f>
        <v/>
      </c>
      <c r="AW6" s="41" t="str" cm="1">
        <f t="array" ref="AW6">IFERROR(_xlfn.XLOOKUP(TRIM($E6),TRIM('Año 2026'!$E$3:$E$66),'Año 2026'!$X$3:$X$66),"")</f>
        <v/>
      </c>
      <c r="AX6" s="41" t="str" cm="1">
        <f t="array" ref="AX6">IFERROR(_xlfn.XLOOKUP(TRIM($E6),TRIM('Año 2026'!$E$3:$E$66),'Año 2026'!$Y$3:$Y$66),"")</f>
        <v/>
      </c>
      <c r="AY6" s="41" t="str" cm="1">
        <f t="array" ref="AY6">IFERROR(_xlfn.XLOOKUP(TRIM($E6),TRIM('Año 2026'!$E$3:$E$66),'Año 2026'!$Z$3:$Z$66),"")</f>
        <v/>
      </c>
      <c r="AZ6" s="41" t="str" cm="1">
        <f t="array" ref="AZ6">IFERROR(_xlfn.XLOOKUP(TRIM($E6),TRIM('Año 2026'!$E$3:$E$66),'Año 2026'!$AA$3:$AA$66),"")</f>
        <v/>
      </c>
      <c r="BA6" s="41" t="str" cm="1">
        <f t="array" ref="BA6">IFERROR(_xlfn.XLOOKUP(TRIM($E6),TRIM('Año 2026'!$E$3:$E$66),'Año 2026'!$AB$3:$AB$66),"")</f>
        <v/>
      </c>
      <c r="BB6" s="41" t="str" cm="1">
        <f t="array" ref="BB6">IFERROR(_xlfn.XLOOKUP(TRIM($E6),TRIM('Año 2026'!$E$3:$E$66),'Año 2026'!$AC$3:$AC$66),"")</f>
        <v/>
      </c>
      <c r="BC6" s="41" t="str" cm="1">
        <f t="array" ref="BC6">IFERROR(_xlfn.XLOOKUP(TRIM($E6),TRIM('Año 2026'!$E$3:$E$66),'Año 2026'!$AD$3:$AD$66),"")</f>
        <v/>
      </c>
    </row>
    <row r="7" spans="1:55" s="41" customFormat="1" ht="125.25" customHeight="1" x14ac:dyDescent="0.25">
      <c r="A7" s="48">
        <v>6</v>
      </c>
      <c r="B7" s="51">
        <v>2023</v>
      </c>
      <c r="C7" s="51" t="s">
        <v>277</v>
      </c>
      <c r="D7" s="51" t="s">
        <v>353</v>
      </c>
      <c r="E7" s="51" t="s">
        <v>698</v>
      </c>
      <c r="F7" s="61" t="s">
        <v>431</v>
      </c>
      <c r="G7" s="51"/>
      <c r="H7" s="108">
        <v>17</v>
      </c>
      <c r="I7" s="51" t="s">
        <v>266</v>
      </c>
      <c r="J7" s="51" t="s">
        <v>324</v>
      </c>
      <c r="K7" s="51" t="s">
        <v>385</v>
      </c>
      <c r="L7" s="51" t="s">
        <v>385</v>
      </c>
      <c r="M7" s="60" t="s">
        <v>695</v>
      </c>
      <c r="N7" s="51" t="s">
        <v>696</v>
      </c>
      <c r="O7" s="51" t="s">
        <v>798</v>
      </c>
      <c r="P7" s="51" t="s">
        <v>3235</v>
      </c>
      <c r="Q7" s="51" t="s">
        <v>694</v>
      </c>
      <c r="R7" s="55" t="s">
        <v>3259</v>
      </c>
      <c r="S7" s="51" t="s">
        <v>359</v>
      </c>
      <c r="T7" s="50">
        <v>1</v>
      </c>
      <c r="U7" s="48" t="s">
        <v>693</v>
      </c>
      <c r="V7" s="47">
        <v>45911</v>
      </c>
      <c r="W7" s="45" t="s">
        <v>692</v>
      </c>
      <c r="X7" s="71"/>
      <c r="Y7" s="57" t="s">
        <v>691</v>
      </c>
      <c r="Z7" s="85" t="s">
        <v>264</v>
      </c>
      <c r="AA7" s="47">
        <v>46101</v>
      </c>
      <c r="AB7" s="48" t="str">
        <f ca="1">IF(AA7&lt;TODAY(),"VENCIDO","POR VENCER")</f>
        <v>VENCIDO</v>
      </c>
      <c r="AC7" s="47">
        <v>46108</v>
      </c>
      <c r="AD7" s="46" t="s">
        <v>333</v>
      </c>
      <c r="AE7" s="48" t="s">
        <v>690</v>
      </c>
      <c r="AF7" s="41" t="str" cm="1">
        <f t="array" ref="AF7">IFERROR(_xlfn.XLOOKUP(TRIM($E7),TRIM('Año 2026'!$E$3:$E$66),'Año 2026'!$G$3:$G$66),"")</f>
        <v/>
      </c>
      <c r="AG7" s="41" t="str" cm="1">
        <f t="array" ref="AG7">IFERROR(_xlfn.XLOOKUP(TRIM($E7),TRIM('Año 2026'!$E$3:$E$66),'Año 2026'!$H$3:$H$66),"")</f>
        <v/>
      </c>
      <c r="AH7" s="41" t="str" cm="1">
        <f t="array" ref="AH7">IFERROR(_xlfn.XLOOKUP(TRIM($E7),TRIM('Año 2026'!$E$3:$E$66),'Año 2026'!$I$3:$I$66),"")</f>
        <v/>
      </c>
      <c r="AI7" s="41" t="str" cm="1">
        <f t="array" ref="AI7">IFERROR(_xlfn.XLOOKUP(TRIM($E7),TRIM('Año 2026'!$E$3:$E$66),'Año 2026'!$J$3:$J$66),"")</f>
        <v/>
      </c>
      <c r="AJ7" s="41" t="str" cm="1">
        <f t="array" ref="AJ7">IFERROR(_xlfn.XLOOKUP(TRIM($E7),TRIM('Año 2026'!$E$3:$E$66),'Año 2026'!$K$3:$K$66),"")</f>
        <v/>
      </c>
      <c r="AK7" s="41" t="str" cm="1">
        <f t="array" ref="AK7">IFERROR(_xlfn.XLOOKUP(TRIM($E7),TRIM('Año 2026'!$E$3:$E$66),'Año 2026'!$L$3:$L$66),"")</f>
        <v/>
      </c>
      <c r="AL7" s="41" t="str" cm="1">
        <f t="array" ref="AL7">IFERROR(_xlfn.XLOOKUP(TRIM($E7),TRIM('Año 2026'!$E$3:$E$66),'Año 2026'!$M$3:$M$66),"")</f>
        <v/>
      </c>
      <c r="AM7" s="41" t="str" cm="1">
        <f t="array" ref="AM7">IFERROR(_xlfn.XLOOKUP(TRIM($E7),TRIM('Año 2026'!$E$3:$E$66),'Año 2026'!$N$3:$N$66),"")</f>
        <v/>
      </c>
      <c r="AN7" s="41" t="str" cm="1">
        <f t="array" ref="AN7">IFERROR(_xlfn.XLOOKUP(TRIM($E7),TRIM('Año 2026'!$E$3:$E$66),'Año 2026'!$O$3:$O$66),"")</f>
        <v/>
      </c>
      <c r="AO7" s="41" t="str" cm="1">
        <f t="array" ref="AO7">IFERROR(_xlfn.XLOOKUP(TRIM($E7),TRIM('Año 2026'!$E$3:$E$66),'Año 2026'!$P$3:$P$66),"")</f>
        <v/>
      </c>
      <c r="AP7" s="41" t="str" cm="1">
        <f t="array" ref="AP7">IFERROR(_xlfn.XLOOKUP(TRIM($E7),TRIM('Año 2026'!$E$3:$E$66),'Año 2026'!$Q$3:$Q$66),"")</f>
        <v/>
      </c>
      <c r="AQ7" s="41" t="str" cm="1">
        <f t="array" ref="AQ7">IFERROR(_xlfn.XLOOKUP(TRIM($E7),TRIM('Año 2026'!$E$3:$E$66),'Año 2026'!$R$3:$R$66),"")</f>
        <v/>
      </c>
      <c r="AR7" s="41" t="str" cm="1">
        <f t="array" ref="AR7">IFERROR(_xlfn.XLOOKUP(TRIM($E7),TRIM('Año 2026'!$E$3:$E$66),'Año 2026'!$S$3:$S$66),"")</f>
        <v/>
      </c>
      <c r="AS7" s="41" t="str" cm="1">
        <f t="array" ref="AS7">IFERROR(_xlfn.XLOOKUP(TRIM($E7),TRIM('Año 2026'!$E$3:$E$66),'Año 2026'!$T$3:$T$66),"")</f>
        <v/>
      </c>
      <c r="AT7" s="41" t="str" cm="1">
        <f t="array" ref="AT7">IFERROR(_xlfn.XLOOKUP(TRIM($E7),TRIM('Año 2026'!$E$3:$E$66),'Año 2026'!$U$3:$U$66),"")</f>
        <v/>
      </c>
      <c r="AU7" s="41" t="str" cm="1">
        <f t="array" ref="AU7">IFERROR(_xlfn.XLOOKUP(TRIM($E7),TRIM('Año 2026'!$E$3:$E$66),'Año 2026'!$V$3:$V$66),"")</f>
        <v/>
      </c>
      <c r="AV7" s="41" t="str" cm="1">
        <f t="array" ref="AV7">IFERROR(_xlfn.XLOOKUP(TRIM($E7),TRIM('Año 2026'!$E$3:$E$66),'Año 2026'!$W$3:$W$66),"")</f>
        <v/>
      </c>
      <c r="AW7" s="41" t="str" cm="1">
        <f t="array" ref="AW7">IFERROR(_xlfn.XLOOKUP(TRIM($E7),TRIM('Año 2026'!$E$3:$E$66),'Año 2026'!$X$3:$X$66),"")</f>
        <v/>
      </c>
      <c r="AX7" s="41" t="str" cm="1">
        <f t="array" ref="AX7">IFERROR(_xlfn.XLOOKUP(TRIM($E7),TRIM('Año 2026'!$E$3:$E$66),'Año 2026'!$Y$3:$Y$66),"")</f>
        <v/>
      </c>
      <c r="AY7" s="41" t="str" cm="1">
        <f t="array" ref="AY7">IFERROR(_xlfn.XLOOKUP(TRIM($E7),TRIM('Año 2026'!$E$3:$E$66),'Año 2026'!$Z$3:$Z$66),"")</f>
        <v/>
      </c>
      <c r="AZ7" s="41" t="str" cm="1">
        <f t="array" ref="AZ7">IFERROR(_xlfn.XLOOKUP(TRIM($E7),TRIM('Año 2026'!$E$3:$E$66),'Año 2026'!$AA$3:$AA$66),"")</f>
        <v/>
      </c>
      <c r="BA7" s="41" t="str" cm="1">
        <f t="array" ref="BA7">IFERROR(_xlfn.XLOOKUP(TRIM($E7),TRIM('Año 2026'!$E$3:$E$66),'Año 2026'!$AB$3:$AB$66),"")</f>
        <v/>
      </c>
      <c r="BB7" s="41" t="str" cm="1">
        <f t="array" ref="BB7">IFERROR(_xlfn.XLOOKUP(TRIM($E7),TRIM('Año 2026'!$E$3:$E$66),'Año 2026'!$AC$3:$AC$66),"")</f>
        <v/>
      </c>
      <c r="BC7" s="41" t="str" cm="1">
        <f t="array" ref="BC7">IFERROR(_xlfn.XLOOKUP(TRIM($E7),TRIM('Año 2026'!$E$3:$E$66),'Año 2026'!$AD$3:$AD$66),"")</f>
        <v/>
      </c>
    </row>
    <row r="8" spans="1:55" s="41" customFormat="1" ht="108" customHeight="1" x14ac:dyDescent="0.25">
      <c r="A8" s="48">
        <v>7</v>
      </c>
      <c r="B8" s="51">
        <v>2023</v>
      </c>
      <c r="C8" s="51" t="s">
        <v>277</v>
      </c>
      <c r="D8" s="51" t="s">
        <v>353</v>
      </c>
      <c r="E8" s="54" t="s">
        <v>689</v>
      </c>
      <c r="F8" s="53" t="s">
        <v>368</v>
      </c>
      <c r="G8" s="51"/>
      <c r="H8" s="108">
        <v>21</v>
      </c>
      <c r="I8" s="51" t="s">
        <v>266</v>
      </c>
      <c r="J8" s="51" t="s">
        <v>324</v>
      </c>
      <c r="K8" s="51" t="s">
        <v>374</v>
      </c>
      <c r="L8" s="51" t="s">
        <v>687</v>
      </c>
      <c r="M8" s="60" t="s">
        <v>686</v>
      </c>
      <c r="N8" s="51" t="s">
        <v>688</v>
      </c>
      <c r="O8" s="51" t="s">
        <v>798</v>
      </c>
      <c r="P8" s="51" t="s">
        <v>3236</v>
      </c>
      <c r="Q8" s="51" t="s">
        <v>684</v>
      </c>
      <c r="R8" s="55" t="s">
        <v>3260</v>
      </c>
      <c r="S8" s="51" t="s">
        <v>347</v>
      </c>
      <c r="T8" s="50">
        <v>2</v>
      </c>
      <c r="U8" s="48" t="s">
        <v>683</v>
      </c>
      <c r="V8" s="47">
        <v>45946</v>
      </c>
      <c r="W8" s="45" t="s">
        <v>682</v>
      </c>
      <c r="X8" s="71"/>
      <c r="Y8" s="101" t="s">
        <v>3261</v>
      </c>
      <c r="Z8" s="49" t="s">
        <v>264</v>
      </c>
      <c r="AA8" s="47">
        <v>46164</v>
      </c>
      <c r="AB8" s="48" t="str">
        <f ca="1">IF(AA8&lt;TODAY(),"VENCIDO","POR VENCER")</f>
        <v>VENCIDO</v>
      </c>
      <c r="AC8" s="47">
        <v>46171</v>
      </c>
      <c r="AD8" s="46" t="s">
        <v>333</v>
      </c>
      <c r="AE8" s="48" t="s">
        <v>681</v>
      </c>
      <c r="AF8" s="41" t="str" cm="1">
        <f t="array" ref="AF8">IFERROR(_xlfn.XLOOKUP(TRIM($E8),TRIM('Año 2026'!$E$3:$E$66),'Año 2026'!$G$3:$G$66),"")</f>
        <v/>
      </c>
      <c r="AG8" s="41" t="str" cm="1">
        <f t="array" ref="AG8">IFERROR(_xlfn.XLOOKUP(TRIM($E8),TRIM('Año 2026'!$E$3:$E$66),'Año 2026'!$H$3:$H$66),"")</f>
        <v/>
      </c>
      <c r="AH8" s="41" t="str" cm="1">
        <f t="array" ref="AH8">IFERROR(_xlfn.XLOOKUP(TRIM($E8),TRIM('Año 2026'!$E$3:$E$66),'Año 2026'!$I$3:$I$66),"")</f>
        <v/>
      </c>
      <c r="AI8" s="41" t="str" cm="1">
        <f t="array" ref="AI8">IFERROR(_xlfn.XLOOKUP(TRIM($E8),TRIM('Año 2026'!$E$3:$E$66),'Año 2026'!$J$3:$J$66),"")</f>
        <v/>
      </c>
      <c r="AJ8" s="41" t="str" cm="1">
        <f t="array" ref="AJ8">IFERROR(_xlfn.XLOOKUP(TRIM($E8),TRIM('Año 2026'!$E$3:$E$66),'Año 2026'!$K$3:$K$66),"")</f>
        <v/>
      </c>
      <c r="AK8" s="41" t="str" cm="1">
        <f t="array" ref="AK8">IFERROR(_xlfn.XLOOKUP(TRIM($E8),TRIM('Año 2026'!$E$3:$E$66),'Año 2026'!$L$3:$L$66),"")</f>
        <v/>
      </c>
      <c r="AL8" s="41" t="str" cm="1">
        <f t="array" ref="AL8">IFERROR(_xlfn.XLOOKUP(TRIM($E8),TRIM('Año 2026'!$E$3:$E$66),'Año 2026'!$M$3:$M$66),"")</f>
        <v/>
      </c>
      <c r="AM8" s="41" t="str" cm="1">
        <f t="array" ref="AM8">IFERROR(_xlfn.XLOOKUP(TRIM($E8),TRIM('Año 2026'!$E$3:$E$66),'Año 2026'!$N$3:$N$66),"")</f>
        <v/>
      </c>
      <c r="AN8" s="41" t="str" cm="1">
        <f t="array" ref="AN8">IFERROR(_xlfn.XLOOKUP(TRIM($E8),TRIM('Año 2026'!$E$3:$E$66),'Año 2026'!$O$3:$O$66),"")</f>
        <v/>
      </c>
      <c r="AO8" s="41" t="str" cm="1">
        <f t="array" ref="AO8">IFERROR(_xlfn.XLOOKUP(TRIM($E8),TRIM('Año 2026'!$E$3:$E$66),'Año 2026'!$P$3:$P$66),"")</f>
        <v/>
      </c>
      <c r="AP8" s="41" t="str" cm="1">
        <f t="array" ref="AP8">IFERROR(_xlfn.XLOOKUP(TRIM($E8),TRIM('Año 2026'!$E$3:$E$66),'Año 2026'!$Q$3:$Q$66),"")</f>
        <v/>
      </c>
      <c r="AQ8" s="41" t="str" cm="1">
        <f t="array" ref="AQ8">IFERROR(_xlfn.XLOOKUP(TRIM($E8),TRIM('Año 2026'!$E$3:$E$66),'Año 2026'!$R$3:$R$66),"")</f>
        <v/>
      </c>
      <c r="AR8" s="41" t="str" cm="1">
        <f t="array" ref="AR8">IFERROR(_xlfn.XLOOKUP(TRIM($E8),TRIM('Año 2026'!$E$3:$E$66),'Año 2026'!$S$3:$S$66),"")</f>
        <v/>
      </c>
      <c r="AS8" s="41" t="str" cm="1">
        <f t="array" ref="AS8">IFERROR(_xlfn.XLOOKUP(TRIM($E8),TRIM('Año 2026'!$E$3:$E$66),'Año 2026'!$T$3:$T$66),"")</f>
        <v/>
      </c>
      <c r="AT8" s="41" t="str" cm="1">
        <f t="array" ref="AT8">IFERROR(_xlfn.XLOOKUP(TRIM($E8),TRIM('Año 2026'!$E$3:$E$66),'Año 2026'!$U$3:$U$66),"")</f>
        <v/>
      </c>
      <c r="AU8" s="41" t="str" cm="1">
        <f t="array" ref="AU8">IFERROR(_xlfn.XLOOKUP(TRIM($E8),TRIM('Año 2026'!$E$3:$E$66),'Año 2026'!$V$3:$V$66),"")</f>
        <v/>
      </c>
      <c r="AV8" s="41" t="str" cm="1">
        <f t="array" ref="AV8">IFERROR(_xlfn.XLOOKUP(TRIM($E8),TRIM('Año 2026'!$E$3:$E$66),'Año 2026'!$W$3:$W$66),"")</f>
        <v/>
      </c>
      <c r="AW8" s="41" t="str" cm="1">
        <f t="array" ref="AW8">IFERROR(_xlfn.XLOOKUP(TRIM($E8),TRIM('Año 2026'!$E$3:$E$66),'Año 2026'!$X$3:$X$66),"")</f>
        <v/>
      </c>
      <c r="AX8" s="41" t="str" cm="1">
        <f t="array" ref="AX8">IFERROR(_xlfn.XLOOKUP(TRIM($E8),TRIM('Año 2026'!$E$3:$E$66),'Año 2026'!$Y$3:$Y$66),"")</f>
        <v/>
      </c>
      <c r="AY8" s="41" t="str" cm="1">
        <f t="array" ref="AY8">IFERROR(_xlfn.XLOOKUP(TRIM($E8),TRIM('Año 2026'!$E$3:$E$66),'Año 2026'!$Z$3:$Z$66),"")</f>
        <v/>
      </c>
      <c r="AZ8" s="41" t="str" cm="1">
        <f t="array" ref="AZ8">IFERROR(_xlfn.XLOOKUP(TRIM($E8),TRIM('Año 2026'!$E$3:$E$66),'Año 2026'!$AA$3:$AA$66),"")</f>
        <v/>
      </c>
      <c r="BA8" s="41" t="str" cm="1">
        <f t="array" ref="BA8">IFERROR(_xlfn.XLOOKUP(TRIM($E8),TRIM('Año 2026'!$E$3:$E$66),'Año 2026'!$AB$3:$AB$66),"")</f>
        <v/>
      </c>
      <c r="BB8" s="41" t="str" cm="1">
        <f t="array" ref="BB8">IFERROR(_xlfn.XLOOKUP(TRIM($E8),TRIM('Año 2026'!$E$3:$E$66),'Año 2026'!$AC$3:$AC$66),"")</f>
        <v/>
      </c>
      <c r="BC8" s="41" t="str" cm="1">
        <f t="array" ref="BC8">IFERROR(_xlfn.XLOOKUP(TRIM($E8),TRIM('Año 2026'!$E$3:$E$66),'Año 2026'!$AD$3:$AD$66),"")</f>
        <v/>
      </c>
    </row>
    <row r="9" spans="1:55" s="41" customFormat="1" ht="97.5" customHeight="1" x14ac:dyDescent="0.25">
      <c r="A9" s="48">
        <v>8</v>
      </c>
      <c r="B9" s="51">
        <v>2023</v>
      </c>
      <c r="C9" s="51" t="s">
        <v>137</v>
      </c>
      <c r="D9" s="51" t="s">
        <v>526</v>
      </c>
      <c r="E9" s="51" t="s">
        <v>708</v>
      </c>
      <c r="F9" s="53" t="s">
        <v>269</v>
      </c>
      <c r="G9" s="51"/>
      <c r="H9" s="127">
        <v>49</v>
      </c>
      <c r="I9" s="51" t="s">
        <v>266</v>
      </c>
      <c r="J9" s="51" t="s">
        <v>678</v>
      </c>
      <c r="K9" s="51" t="s">
        <v>374</v>
      </c>
      <c r="L9" s="51" t="s">
        <v>705</v>
      </c>
      <c r="M9" s="51" t="s">
        <v>704</v>
      </c>
      <c r="N9" s="51" t="s">
        <v>706</v>
      </c>
      <c r="O9" s="51" t="s">
        <v>798</v>
      </c>
      <c r="P9" s="51" t="s">
        <v>3234</v>
      </c>
      <c r="Q9" s="51" t="s">
        <v>3220</v>
      </c>
      <c r="R9" s="55" t="s">
        <v>707</v>
      </c>
      <c r="S9" s="51" t="s">
        <v>347</v>
      </c>
      <c r="T9" s="50"/>
      <c r="U9" s="48" t="s">
        <v>702</v>
      </c>
      <c r="V9" s="47">
        <v>46022</v>
      </c>
      <c r="W9" s="45" t="s">
        <v>701</v>
      </c>
      <c r="X9" s="71" t="s">
        <v>700</v>
      </c>
      <c r="Y9" s="49" t="s">
        <v>3262</v>
      </c>
      <c r="Z9" s="49" t="s">
        <v>264</v>
      </c>
      <c r="AA9" s="47">
        <v>46129</v>
      </c>
      <c r="AB9" s="48" t="str">
        <f ca="1">IF(AA9&lt;TODAY(),"VENCIDO","POR VENCER")</f>
        <v>VENCIDO</v>
      </c>
      <c r="AC9" s="47">
        <v>46136</v>
      </c>
      <c r="AD9" s="46" t="s">
        <v>309</v>
      </c>
      <c r="AE9" s="48" t="s">
        <v>503</v>
      </c>
      <c r="AF9" s="41" t="str" cm="1">
        <f t="array" ref="AF9">IFERROR(_xlfn.XLOOKUP(TRIM($E9),TRIM('Año 2026'!$E$3:$E$66),'Año 2026'!$G$3:$G$66),"")</f>
        <v/>
      </c>
      <c r="AG9" s="41" t="str" cm="1">
        <f t="array" ref="AG9">IFERROR(_xlfn.XLOOKUP(TRIM($E9),TRIM('Año 2026'!$E$3:$E$66),'Año 2026'!$H$3:$H$66),"")</f>
        <v/>
      </c>
      <c r="AH9" s="41" t="str" cm="1">
        <f t="array" ref="AH9">IFERROR(_xlfn.XLOOKUP(TRIM($E9),TRIM('Año 2026'!$E$3:$E$66),'Año 2026'!$I$3:$I$66),"")</f>
        <v/>
      </c>
      <c r="AI9" s="41" t="str" cm="1">
        <f t="array" ref="AI9">IFERROR(_xlfn.XLOOKUP(TRIM($E9),TRIM('Año 2026'!$E$3:$E$66),'Año 2026'!$J$3:$J$66),"")</f>
        <v/>
      </c>
      <c r="AJ9" s="41" t="str" cm="1">
        <f t="array" ref="AJ9">IFERROR(_xlfn.XLOOKUP(TRIM($E9),TRIM('Año 2026'!$E$3:$E$66),'Año 2026'!$K$3:$K$66),"")</f>
        <v/>
      </c>
      <c r="AK9" s="41" t="str" cm="1">
        <f t="array" ref="AK9">IFERROR(_xlfn.XLOOKUP(TRIM($E9),TRIM('Año 2026'!$E$3:$E$66),'Año 2026'!$L$3:$L$66),"")</f>
        <v/>
      </c>
      <c r="AL9" s="41" t="str" cm="1">
        <f t="array" ref="AL9">IFERROR(_xlfn.XLOOKUP(TRIM($E9),TRIM('Año 2026'!$E$3:$E$66),'Año 2026'!$M$3:$M$66),"")</f>
        <v/>
      </c>
      <c r="AM9" s="41" t="str" cm="1">
        <f t="array" ref="AM9">IFERROR(_xlfn.XLOOKUP(TRIM($E9),TRIM('Año 2026'!$E$3:$E$66),'Año 2026'!$N$3:$N$66),"")</f>
        <v/>
      </c>
      <c r="AN9" s="41" t="str" cm="1">
        <f t="array" ref="AN9">IFERROR(_xlfn.XLOOKUP(TRIM($E9),TRIM('Año 2026'!$E$3:$E$66),'Año 2026'!$O$3:$O$66),"")</f>
        <v/>
      </c>
      <c r="AO9" s="41" t="str" cm="1">
        <f t="array" ref="AO9">IFERROR(_xlfn.XLOOKUP(TRIM($E9),TRIM('Año 2026'!$E$3:$E$66),'Año 2026'!$P$3:$P$66),"")</f>
        <v/>
      </c>
      <c r="AP9" s="41" t="str" cm="1">
        <f t="array" ref="AP9">IFERROR(_xlfn.XLOOKUP(TRIM($E9),TRIM('Año 2026'!$E$3:$E$66),'Año 2026'!$Q$3:$Q$66),"")</f>
        <v/>
      </c>
      <c r="AQ9" s="41" t="str" cm="1">
        <f t="array" ref="AQ9">IFERROR(_xlfn.XLOOKUP(TRIM($E9),TRIM('Año 2026'!$E$3:$E$66),'Año 2026'!$R$3:$R$66),"")</f>
        <v/>
      </c>
      <c r="AR9" s="41" t="str" cm="1">
        <f t="array" ref="AR9">IFERROR(_xlfn.XLOOKUP(TRIM($E9),TRIM('Año 2026'!$E$3:$E$66),'Año 2026'!$S$3:$S$66),"")</f>
        <v/>
      </c>
      <c r="AS9" s="41" t="str" cm="1">
        <f t="array" ref="AS9">IFERROR(_xlfn.XLOOKUP(TRIM($E9),TRIM('Año 2026'!$E$3:$E$66),'Año 2026'!$T$3:$T$66),"")</f>
        <v/>
      </c>
      <c r="AT9" s="41" t="str" cm="1">
        <f t="array" ref="AT9">IFERROR(_xlfn.XLOOKUP(TRIM($E9),TRIM('Año 2026'!$E$3:$E$66),'Año 2026'!$U$3:$U$66),"")</f>
        <v/>
      </c>
      <c r="AU9" s="41" t="str" cm="1">
        <f t="array" ref="AU9">IFERROR(_xlfn.XLOOKUP(TRIM($E9),TRIM('Año 2026'!$E$3:$E$66),'Año 2026'!$V$3:$V$66),"")</f>
        <v/>
      </c>
      <c r="AV9" s="41" t="str" cm="1">
        <f t="array" ref="AV9">IFERROR(_xlfn.XLOOKUP(TRIM($E9),TRIM('Año 2026'!$E$3:$E$66),'Año 2026'!$W$3:$W$66),"")</f>
        <v/>
      </c>
      <c r="AW9" s="41" t="str" cm="1">
        <f t="array" ref="AW9">IFERROR(_xlfn.XLOOKUP(TRIM($E9),TRIM('Año 2026'!$E$3:$E$66),'Año 2026'!$X$3:$X$66),"")</f>
        <v/>
      </c>
      <c r="AX9" s="41" t="str" cm="1">
        <f t="array" ref="AX9">IFERROR(_xlfn.XLOOKUP(TRIM($E9),TRIM('Año 2026'!$E$3:$E$66),'Año 2026'!$Y$3:$Y$66),"")</f>
        <v/>
      </c>
      <c r="AY9" s="41" t="str" cm="1">
        <f t="array" ref="AY9">IFERROR(_xlfn.XLOOKUP(TRIM($E9),TRIM('Año 2026'!$E$3:$E$66),'Año 2026'!$Z$3:$Z$66),"")</f>
        <v/>
      </c>
      <c r="AZ9" s="41" t="str" cm="1">
        <f t="array" ref="AZ9">IFERROR(_xlfn.XLOOKUP(TRIM($E9),TRIM('Año 2026'!$E$3:$E$66),'Año 2026'!$AA$3:$AA$66),"")</f>
        <v/>
      </c>
      <c r="BA9" s="41" t="str" cm="1">
        <f t="array" ref="BA9">IFERROR(_xlfn.XLOOKUP(TRIM($E9),TRIM('Año 2026'!$E$3:$E$66),'Año 2026'!$AB$3:$AB$66),"")</f>
        <v/>
      </c>
      <c r="BB9" s="41" t="str" cm="1">
        <f t="array" ref="BB9">IFERROR(_xlfn.XLOOKUP(TRIM($E9),TRIM('Año 2026'!$E$3:$E$66),'Año 2026'!$AC$3:$AC$66),"")</f>
        <v/>
      </c>
      <c r="BC9" s="41" t="str" cm="1">
        <f t="array" ref="BC9">IFERROR(_xlfn.XLOOKUP(TRIM($E9),TRIM('Año 2026'!$E$3:$E$66),'Año 2026'!$AD$3:$AD$66),"")</f>
        <v/>
      </c>
    </row>
    <row r="10" spans="1:55" s="41" customFormat="1" ht="240" x14ac:dyDescent="0.25">
      <c r="A10" s="48">
        <v>9</v>
      </c>
      <c r="B10" s="51">
        <v>2024</v>
      </c>
      <c r="C10" s="51" t="s">
        <v>69</v>
      </c>
      <c r="D10" s="51" t="s">
        <v>284</v>
      </c>
      <c r="E10" s="51" t="s">
        <v>650</v>
      </c>
      <c r="F10" s="53" t="s">
        <v>269</v>
      </c>
      <c r="G10" s="51" t="s">
        <v>649</v>
      </c>
      <c r="H10" s="127">
        <v>44</v>
      </c>
      <c r="I10" s="72" t="s">
        <v>266</v>
      </c>
      <c r="J10" s="71"/>
      <c r="K10" s="71" t="s">
        <v>385</v>
      </c>
      <c r="L10" s="71" t="s">
        <v>487</v>
      </c>
      <c r="M10" s="71" t="s">
        <v>487</v>
      </c>
      <c r="N10" s="94" t="s">
        <v>648</v>
      </c>
      <c r="O10" s="51" t="s">
        <v>798</v>
      </c>
      <c r="P10" s="71" t="s">
        <v>419</v>
      </c>
      <c r="Q10" s="71"/>
      <c r="R10" s="90" t="s">
        <v>3263</v>
      </c>
      <c r="S10" s="51" t="s">
        <v>359</v>
      </c>
      <c r="T10" s="50">
        <v>1</v>
      </c>
      <c r="U10" s="98" t="s">
        <v>3264</v>
      </c>
      <c r="V10" s="97">
        <v>45988</v>
      </c>
      <c r="W10" s="90" t="s">
        <v>3265</v>
      </c>
      <c r="X10" s="71"/>
      <c r="Y10" s="56" t="s">
        <v>3266</v>
      </c>
      <c r="Z10" s="85" t="s">
        <v>264</v>
      </c>
      <c r="AA10" s="47">
        <v>46073</v>
      </c>
      <c r="AB10" s="48" t="str">
        <f ca="1">IF(AA10&lt;TODAY(),"VENCIDO","POR VENCER")</f>
        <v>VENCIDO</v>
      </c>
      <c r="AC10" s="47">
        <v>46080</v>
      </c>
      <c r="AD10" s="46" t="s">
        <v>309</v>
      </c>
      <c r="AE10" s="48" t="s">
        <v>308</v>
      </c>
      <c r="AF10" s="41" t="str" cm="1">
        <f t="array" ref="AF10">IFERROR(_xlfn.XLOOKUP(TRIM($E10),TRIM('Año 2026'!$E$3:$E$66),'Año 2026'!$G$3:$G$66),"")</f>
        <v/>
      </c>
      <c r="AG10" s="41" t="str" cm="1">
        <f t="array" ref="AG10">IFERROR(_xlfn.XLOOKUP(TRIM($E10),TRIM('Año 2026'!$E$3:$E$66),'Año 2026'!$H$3:$H$66),"")</f>
        <v/>
      </c>
      <c r="AH10" s="41" t="str" cm="1">
        <f t="array" ref="AH10">IFERROR(_xlfn.XLOOKUP(TRIM($E10),TRIM('Año 2026'!$E$3:$E$66),'Año 2026'!$I$3:$I$66),"")</f>
        <v/>
      </c>
      <c r="AI10" s="41" t="str" cm="1">
        <f t="array" ref="AI10">IFERROR(_xlfn.XLOOKUP(TRIM($E10),TRIM('Año 2026'!$E$3:$E$66),'Año 2026'!$J$3:$J$66),"")</f>
        <v/>
      </c>
      <c r="AJ10" s="41" t="str" cm="1">
        <f t="array" ref="AJ10">IFERROR(_xlfn.XLOOKUP(TRIM($E10),TRIM('Año 2026'!$E$3:$E$66),'Año 2026'!$K$3:$K$66),"")</f>
        <v/>
      </c>
      <c r="AK10" s="41" t="str" cm="1">
        <f t="array" ref="AK10">IFERROR(_xlfn.XLOOKUP(TRIM($E10),TRIM('Año 2026'!$E$3:$E$66),'Año 2026'!$L$3:$L$66),"")</f>
        <v/>
      </c>
      <c r="AL10" s="41" t="str" cm="1">
        <f t="array" ref="AL10">IFERROR(_xlfn.XLOOKUP(TRIM($E10),TRIM('Año 2026'!$E$3:$E$66),'Año 2026'!$M$3:$M$66),"")</f>
        <v/>
      </c>
      <c r="AM10" s="41" t="str" cm="1">
        <f t="array" ref="AM10">IFERROR(_xlfn.XLOOKUP(TRIM($E10),TRIM('Año 2026'!$E$3:$E$66),'Año 2026'!$N$3:$N$66),"")</f>
        <v/>
      </c>
      <c r="AN10" s="41" t="str" cm="1">
        <f t="array" ref="AN10">IFERROR(_xlfn.XLOOKUP(TRIM($E10),TRIM('Año 2026'!$E$3:$E$66),'Año 2026'!$O$3:$O$66),"")</f>
        <v/>
      </c>
      <c r="AO10" s="41" t="str" cm="1">
        <f t="array" ref="AO10">IFERROR(_xlfn.XLOOKUP(TRIM($E10),TRIM('Año 2026'!$E$3:$E$66),'Año 2026'!$P$3:$P$66),"")</f>
        <v/>
      </c>
      <c r="AP10" s="41" t="str" cm="1">
        <f t="array" ref="AP10">IFERROR(_xlfn.XLOOKUP(TRIM($E10),TRIM('Año 2026'!$E$3:$E$66),'Año 2026'!$Q$3:$Q$66),"")</f>
        <v/>
      </c>
      <c r="AQ10" s="41" t="str" cm="1">
        <f t="array" ref="AQ10">IFERROR(_xlfn.XLOOKUP(TRIM($E10),TRIM('Año 2026'!$E$3:$E$66),'Año 2026'!$R$3:$R$66),"")</f>
        <v/>
      </c>
      <c r="AR10" s="41" t="str" cm="1">
        <f t="array" ref="AR10">IFERROR(_xlfn.XLOOKUP(TRIM($E10),TRIM('Año 2026'!$E$3:$E$66),'Año 2026'!$S$3:$S$66),"")</f>
        <v/>
      </c>
      <c r="AS10" s="41" t="str" cm="1">
        <f t="array" ref="AS10">IFERROR(_xlfn.XLOOKUP(TRIM($E10),TRIM('Año 2026'!$E$3:$E$66),'Año 2026'!$T$3:$T$66),"")</f>
        <v/>
      </c>
      <c r="AT10" s="41" t="str" cm="1">
        <f t="array" ref="AT10">IFERROR(_xlfn.XLOOKUP(TRIM($E10),TRIM('Año 2026'!$E$3:$E$66),'Año 2026'!$U$3:$U$66),"")</f>
        <v/>
      </c>
      <c r="AU10" s="41" t="str" cm="1">
        <f t="array" ref="AU10">IFERROR(_xlfn.XLOOKUP(TRIM($E10),TRIM('Año 2026'!$E$3:$E$66),'Año 2026'!$V$3:$V$66),"")</f>
        <v/>
      </c>
      <c r="AV10" s="41" t="str" cm="1">
        <f t="array" ref="AV10">IFERROR(_xlfn.XLOOKUP(TRIM($E10),TRIM('Año 2026'!$E$3:$E$66),'Año 2026'!$W$3:$W$66),"")</f>
        <v/>
      </c>
      <c r="AW10" s="41" t="str" cm="1">
        <f t="array" ref="AW10">IFERROR(_xlfn.XLOOKUP(TRIM($E10),TRIM('Año 2026'!$E$3:$E$66),'Año 2026'!$X$3:$X$66),"")</f>
        <v/>
      </c>
      <c r="AX10" s="41" t="str" cm="1">
        <f t="array" ref="AX10">IFERROR(_xlfn.XLOOKUP(TRIM($E10),TRIM('Año 2026'!$E$3:$E$66),'Año 2026'!$Y$3:$Y$66),"")</f>
        <v/>
      </c>
      <c r="AY10" s="41" t="str" cm="1">
        <f t="array" ref="AY10">IFERROR(_xlfn.XLOOKUP(TRIM($E10),TRIM('Año 2026'!$E$3:$E$66),'Año 2026'!$Z$3:$Z$66),"")</f>
        <v/>
      </c>
      <c r="AZ10" s="41" t="str" cm="1">
        <f t="array" ref="AZ10">IFERROR(_xlfn.XLOOKUP(TRIM($E10),TRIM('Año 2026'!$E$3:$E$66),'Año 2026'!$AA$3:$AA$66),"")</f>
        <v/>
      </c>
      <c r="BA10" s="41" t="str" cm="1">
        <f t="array" ref="BA10">IFERROR(_xlfn.XLOOKUP(TRIM($E10),TRIM('Año 2026'!$E$3:$E$66),'Año 2026'!$AB$3:$AB$66),"")</f>
        <v/>
      </c>
      <c r="BB10" s="41" t="str" cm="1">
        <f t="array" ref="BB10">IFERROR(_xlfn.XLOOKUP(TRIM($E10),TRIM('Año 2026'!$E$3:$E$66),'Año 2026'!$AC$3:$AC$66),"")</f>
        <v/>
      </c>
      <c r="BC10" s="41" t="str" cm="1">
        <f t="array" ref="BC10">IFERROR(_xlfn.XLOOKUP(TRIM($E10),TRIM('Año 2026'!$E$3:$E$66),'Año 2026'!$AD$3:$AD$66),"")</f>
        <v/>
      </c>
    </row>
    <row r="11" spans="1:55" s="41" customFormat="1" ht="409.5" x14ac:dyDescent="0.25">
      <c r="A11" s="48">
        <v>10</v>
      </c>
      <c r="B11" s="51">
        <v>2023</v>
      </c>
      <c r="C11" s="51" t="s">
        <v>137</v>
      </c>
      <c r="D11" s="51" t="s">
        <v>526</v>
      </c>
      <c r="E11" s="51" t="s">
        <v>714</v>
      </c>
      <c r="F11" s="53" t="s">
        <v>269</v>
      </c>
      <c r="G11" s="51"/>
      <c r="H11" s="108">
        <v>30</v>
      </c>
      <c r="I11" s="51" t="s">
        <v>266</v>
      </c>
      <c r="J11" s="51" t="s">
        <v>3207</v>
      </c>
      <c r="K11" s="51" t="s">
        <v>3362</v>
      </c>
      <c r="L11" s="51" t="s">
        <v>3363</v>
      </c>
      <c r="M11" s="51" t="s">
        <v>3364</v>
      </c>
      <c r="N11" s="51" t="s">
        <v>3365</v>
      </c>
      <c r="O11" s="51" t="s">
        <v>798</v>
      </c>
      <c r="P11" s="51" t="s">
        <v>3234</v>
      </c>
      <c r="Q11" s="51" t="s">
        <v>3221</v>
      </c>
      <c r="R11" s="55" t="s">
        <v>711</v>
      </c>
      <c r="S11" s="51" t="s">
        <v>347</v>
      </c>
      <c r="T11" s="50">
        <v>2</v>
      </c>
      <c r="U11" s="48" t="s">
        <v>710</v>
      </c>
      <c r="V11" s="47">
        <v>46002</v>
      </c>
      <c r="W11" s="45" t="s">
        <v>709</v>
      </c>
      <c r="X11" s="71"/>
      <c r="Y11" s="76" t="s">
        <v>3267</v>
      </c>
      <c r="Z11" s="64" t="s">
        <v>264</v>
      </c>
      <c r="AA11" s="47">
        <v>46129</v>
      </c>
      <c r="AB11" s="48" t="str">
        <f ca="1">IF(AA11&lt;TODAY(),"VENCIDO","POR VENCER")</f>
        <v>VENCIDO</v>
      </c>
      <c r="AC11" s="47">
        <v>46136</v>
      </c>
      <c r="AD11" s="46" t="s">
        <v>309</v>
      </c>
      <c r="AE11" s="48" t="s">
        <v>503</v>
      </c>
      <c r="AF11" s="41" t="str" cm="1">
        <f t="array" ref="AF11">IFERROR(_xlfn.XLOOKUP(TRIM($E11),TRIM('Año 2026'!$E$3:$E$66),'Año 2026'!$G$3:$G$66),"")</f>
        <v/>
      </c>
      <c r="AG11" s="41" t="str" cm="1">
        <f t="array" ref="AG11">IFERROR(_xlfn.XLOOKUP(TRIM($E11),TRIM('Año 2026'!$E$3:$E$66),'Año 2026'!$H$3:$H$66),"")</f>
        <v/>
      </c>
      <c r="AH11" s="41" t="str" cm="1">
        <f t="array" ref="AH11">IFERROR(_xlfn.XLOOKUP(TRIM($E11),TRIM('Año 2026'!$E$3:$E$66),'Año 2026'!$I$3:$I$66),"")</f>
        <v/>
      </c>
      <c r="AI11" s="41" t="str" cm="1">
        <f t="array" ref="AI11">IFERROR(_xlfn.XLOOKUP(TRIM($E11),TRIM('Año 2026'!$E$3:$E$66),'Año 2026'!$J$3:$J$66),"")</f>
        <v/>
      </c>
      <c r="AJ11" s="41" t="str" cm="1">
        <f t="array" ref="AJ11">IFERROR(_xlfn.XLOOKUP(TRIM($E11),TRIM('Año 2026'!$E$3:$E$66),'Año 2026'!$K$3:$K$66),"")</f>
        <v/>
      </c>
      <c r="AK11" s="41" t="str" cm="1">
        <f t="array" ref="AK11">IFERROR(_xlfn.XLOOKUP(TRIM($E11),TRIM('Año 2026'!$E$3:$E$66),'Año 2026'!$L$3:$L$66),"")</f>
        <v/>
      </c>
      <c r="AL11" s="41" t="str" cm="1">
        <f t="array" ref="AL11">IFERROR(_xlfn.XLOOKUP(TRIM($E11),TRIM('Año 2026'!$E$3:$E$66),'Año 2026'!$M$3:$M$66),"")</f>
        <v/>
      </c>
      <c r="AM11" s="41" t="str" cm="1">
        <f t="array" ref="AM11">IFERROR(_xlfn.XLOOKUP(TRIM($E11),TRIM('Año 2026'!$E$3:$E$66),'Año 2026'!$N$3:$N$66),"")</f>
        <v/>
      </c>
      <c r="AN11" s="41" t="str" cm="1">
        <f t="array" ref="AN11">IFERROR(_xlfn.XLOOKUP(TRIM($E11),TRIM('Año 2026'!$E$3:$E$66),'Año 2026'!$O$3:$O$66),"")</f>
        <v/>
      </c>
      <c r="AO11" s="41" t="str" cm="1">
        <f t="array" ref="AO11">IFERROR(_xlfn.XLOOKUP(TRIM($E11),TRIM('Año 2026'!$E$3:$E$66),'Año 2026'!$P$3:$P$66),"")</f>
        <v/>
      </c>
      <c r="AP11" s="41" t="str" cm="1">
        <f t="array" ref="AP11">IFERROR(_xlfn.XLOOKUP(TRIM($E11),TRIM('Año 2026'!$E$3:$E$66),'Año 2026'!$Q$3:$Q$66),"")</f>
        <v/>
      </c>
      <c r="AQ11" s="41" t="str" cm="1">
        <f t="array" ref="AQ11">IFERROR(_xlfn.XLOOKUP(TRIM($E11),TRIM('Año 2026'!$E$3:$E$66),'Año 2026'!$R$3:$R$66),"")</f>
        <v/>
      </c>
      <c r="AR11" s="41" t="str" cm="1">
        <f t="array" ref="AR11">IFERROR(_xlfn.XLOOKUP(TRIM($E11),TRIM('Año 2026'!$E$3:$E$66),'Año 2026'!$S$3:$S$66),"")</f>
        <v/>
      </c>
      <c r="AS11" s="41" t="str" cm="1">
        <f t="array" ref="AS11">IFERROR(_xlfn.XLOOKUP(TRIM($E11),TRIM('Año 2026'!$E$3:$E$66),'Año 2026'!$T$3:$T$66),"")</f>
        <v/>
      </c>
      <c r="AT11" s="41" t="str" cm="1">
        <f t="array" ref="AT11">IFERROR(_xlfn.XLOOKUP(TRIM($E11),TRIM('Año 2026'!$E$3:$E$66),'Año 2026'!$U$3:$U$66),"")</f>
        <v/>
      </c>
      <c r="AU11" s="41" t="str" cm="1">
        <f t="array" ref="AU11">IFERROR(_xlfn.XLOOKUP(TRIM($E11),TRIM('Año 2026'!$E$3:$E$66),'Año 2026'!$V$3:$V$66),"")</f>
        <v/>
      </c>
      <c r="AV11" s="41" t="str" cm="1">
        <f t="array" ref="AV11">IFERROR(_xlfn.XLOOKUP(TRIM($E11),TRIM('Año 2026'!$E$3:$E$66),'Año 2026'!$W$3:$W$66),"")</f>
        <v/>
      </c>
      <c r="AW11" s="41" t="str" cm="1">
        <f t="array" ref="AW11">IFERROR(_xlfn.XLOOKUP(TRIM($E11),TRIM('Año 2026'!$E$3:$E$66),'Año 2026'!$X$3:$X$66),"")</f>
        <v/>
      </c>
      <c r="AX11" s="41" t="str" cm="1">
        <f t="array" ref="AX11">IFERROR(_xlfn.XLOOKUP(TRIM($E11),TRIM('Año 2026'!$E$3:$E$66),'Año 2026'!$Y$3:$Y$66),"")</f>
        <v/>
      </c>
      <c r="AY11" s="41" t="str" cm="1">
        <f t="array" ref="AY11">IFERROR(_xlfn.XLOOKUP(TRIM($E11),TRIM('Año 2026'!$E$3:$E$66),'Año 2026'!$Z$3:$Z$66),"")</f>
        <v/>
      </c>
      <c r="AZ11" s="41" t="str" cm="1">
        <f t="array" ref="AZ11">IFERROR(_xlfn.XLOOKUP(TRIM($E11),TRIM('Año 2026'!$E$3:$E$66),'Año 2026'!$AA$3:$AA$66),"")</f>
        <v/>
      </c>
      <c r="BA11" s="41" t="str" cm="1">
        <f t="array" ref="BA11">IFERROR(_xlfn.XLOOKUP(TRIM($E11),TRIM('Año 2026'!$E$3:$E$66),'Año 2026'!$AB$3:$AB$66),"")</f>
        <v/>
      </c>
      <c r="BB11" s="41" t="str" cm="1">
        <f t="array" ref="BB11">IFERROR(_xlfn.XLOOKUP(TRIM($E11),TRIM('Año 2026'!$E$3:$E$66),'Año 2026'!$AC$3:$AC$66),"")</f>
        <v/>
      </c>
      <c r="BC11" s="41" t="str" cm="1">
        <f t="array" ref="BC11">IFERROR(_xlfn.XLOOKUP(TRIM($E11),TRIM('Año 2026'!$E$3:$E$66),'Año 2026'!$AD$3:$AD$66),"")</f>
        <v/>
      </c>
    </row>
    <row r="12" spans="1:55" s="41" customFormat="1" ht="184.5" customHeight="1" x14ac:dyDescent="0.25">
      <c r="A12" s="48">
        <v>11</v>
      </c>
      <c r="B12" s="51">
        <v>2024</v>
      </c>
      <c r="C12" s="51" t="s">
        <v>69</v>
      </c>
      <c r="D12" s="51" t="s">
        <v>353</v>
      </c>
      <c r="E12" s="51" t="s">
        <v>671</v>
      </c>
      <c r="F12" s="53" t="s">
        <v>269</v>
      </c>
      <c r="G12" s="48" t="s">
        <v>670</v>
      </c>
      <c r="H12" s="108">
        <v>41</v>
      </c>
      <c r="I12" s="71" t="s">
        <v>266</v>
      </c>
      <c r="J12" s="71" t="s">
        <v>3208</v>
      </c>
      <c r="K12" s="71" t="s">
        <v>397</v>
      </c>
      <c r="L12" s="71" t="s">
        <v>493</v>
      </c>
      <c r="M12" s="71" t="s">
        <v>572</v>
      </c>
      <c r="N12" s="66" t="s">
        <v>3366</v>
      </c>
      <c r="O12" s="51" t="s">
        <v>798</v>
      </c>
      <c r="P12" s="71" t="s">
        <v>3237</v>
      </c>
      <c r="Q12" s="71" t="s">
        <v>513</v>
      </c>
      <c r="R12" s="100" t="s">
        <v>669</v>
      </c>
      <c r="S12" s="51" t="s">
        <v>347</v>
      </c>
      <c r="T12" s="50">
        <v>2</v>
      </c>
      <c r="U12" s="72" t="s">
        <v>3268</v>
      </c>
      <c r="V12" s="97">
        <v>45905</v>
      </c>
      <c r="W12" s="92" t="s">
        <v>3269</v>
      </c>
      <c r="X12" s="71" t="s">
        <v>534</v>
      </c>
      <c r="Y12" s="49" t="s">
        <v>3270</v>
      </c>
      <c r="Z12" s="49" t="s">
        <v>264</v>
      </c>
      <c r="AA12" s="47">
        <v>46227</v>
      </c>
      <c r="AB12" s="48" t="str">
        <f ca="1">IF(AA12&lt;TODAY(),"VENCIDO","POR VENCER")</f>
        <v>POR VENCER</v>
      </c>
      <c r="AC12" s="47">
        <v>46234</v>
      </c>
      <c r="AD12" s="46" t="s">
        <v>309</v>
      </c>
      <c r="AE12" s="48" t="s">
        <v>308</v>
      </c>
      <c r="AF12" s="41" t="str" cm="1">
        <f t="array" ref="AF12">IFERROR(_xlfn.XLOOKUP(TRIM($E12),TRIM('Año 2026'!$E$3:$E$66),'Año 2026'!$G$3:$G$66),"")</f>
        <v/>
      </c>
      <c r="AG12" s="41" t="str" cm="1">
        <f t="array" ref="AG12">IFERROR(_xlfn.XLOOKUP(TRIM($E12),TRIM('Año 2026'!$E$3:$E$66),'Año 2026'!$H$3:$H$66),"")</f>
        <v/>
      </c>
      <c r="AH12" s="41" t="str" cm="1">
        <f t="array" ref="AH12">IFERROR(_xlfn.XLOOKUP(TRIM($E12),TRIM('Año 2026'!$E$3:$E$66),'Año 2026'!$I$3:$I$66),"")</f>
        <v/>
      </c>
      <c r="AI12" s="41" t="str" cm="1">
        <f t="array" ref="AI12">IFERROR(_xlfn.XLOOKUP(TRIM($E12),TRIM('Año 2026'!$E$3:$E$66),'Año 2026'!$J$3:$J$66),"")</f>
        <v/>
      </c>
      <c r="AJ12" s="41" t="str" cm="1">
        <f t="array" ref="AJ12">IFERROR(_xlfn.XLOOKUP(TRIM($E12),TRIM('Año 2026'!$E$3:$E$66),'Año 2026'!$K$3:$K$66),"")</f>
        <v/>
      </c>
      <c r="AK12" s="41" t="str" cm="1">
        <f t="array" ref="AK12">IFERROR(_xlfn.XLOOKUP(TRIM($E12),TRIM('Año 2026'!$E$3:$E$66),'Año 2026'!$L$3:$L$66),"")</f>
        <v/>
      </c>
      <c r="AL12" s="41" t="str" cm="1">
        <f t="array" ref="AL12">IFERROR(_xlfn.XLOOKUP(TRIM($E12),TRIM('Año 2026'!$E$3:$E$66),'Año 2026'!$M$3:$M$66),"")</f>
        <v/>
      </c>
      <c r="AM12" s="41" t="str" cm="1">
        <f t="array" ref="AM12">IFERROR(_xlfn.XLOOKUP(TRIM($E12),TRIM('Año 2026'!$E$3:$E$66),'Año 2026'!$N$3:$N$66),"")</f>
        <v/>
      </c>
      <c r="AN12" s="41" t="str" cm="1">
        <f t="array" ref="AN12">IFERROR(_xlfn.XLOOKUP(TRIM($E12),TRIM('Año 2026'!$E$3:$E$66),'Año 2026'!$O$3:$O$66),"")</f>
        <v/>
      </c>
      <c r="AO12" s="41" t="str" cm="1">
        <f t="array" ref="AO12">IFERROR(_xlfn.XLOOKUP(TRIM($E12),TRIM('Año 2026'!$E$3:$E$66),'Año 2026'!$P$3:$P$66),"")</f>
        <v/>
      </c>
      <c r="AP12" s="41" t="str" cm="1">
        <f t="array" ref="AP12">IFERROR(_xlfn.XLOOKUP(TRIM($E12),TRIM('Año 2026'!$E$3:$E$66),'Año 2026'!$Q$3:$Q$66),"")</f>
        <v/>
      </c>
      <c r="AQ12" s="41" t="str" cm="1">
        <f t="array" ref="AQ12">IFERROR(_xlfn.XLOOKUP(TRIM($E12),TRIM('Año 2026'!$E$3:$E$66),'Año 2026'!$R$3:$R$66),"")</f>
        <v/>
      </c>
      <c r="AR12" s="41" t="str" cm="1">
        <f t="array" ref="AR12">IFERROR(_xlfn.XLOOKUP(TRIM($E12),TRIM('Año 2026'!$E$3:$E$66),'Año 2026'!$S$3:$S$66),"")</f>
        <v/>
      </c>
      <c r="AS12" s="41" t="str" cm="1">
        <f t="array" ref="AS12">IFERROR(_xlfn.XLOOKUP(TRIM($E12),TRIM('Año 2026'!$E$3:$E$66),'Año 2026'!$T$3:$T$66),"")</f>
        <v/>
      </c>
      <c r="AT12" s="41" t="str" cm="1">
        <f t="array" ref="AT12">IFERROR(_xlfn.XLOOKUP(TRIM($E12),TRIM('Año 2026'!$E$3:$E$66),'Año 2026'!$U$3:$U$66),"")</f>
        <v/>
      </c>
      <c r="AU12" s="41" t="str" cm="1">
        <f t="array" ref="AU12">IFERROR(_xlfn.XLOOKUP(TRIM($E12),TRIM('Año 2026'!$E$3:$E$66),'Año 2026'!$V$3:$V$66),"")</f>
        <v/>
      </c>
      <c r="AV12" s="41" t="str" cm="1">
        <f t="array" ref="AV12">IFERROR(_xlfn.XLOOKUP(TRIM($E12),TRIM('Año 2026'!$E$3:$E$66),'Año 2026'!$W$3:$W$66),"")</f>
        <v/>
      </c>
      <c r="AW12" s="41" t="str" cm="1">
        <f t="array" ref="AW12">IFERROR(_xlfn.XLOOKUP(TRIM($E12),TRIM('Año 2026'!$E$3:$E$66),'Año 2026'!$X$3:$X$66),"")</f>
        <v/>
      </c>
      <c r="AX12" s="41" t="str" cm="1">
        <f t="array" ref="AX12">IFERROR(_xlfn.XLOOKUP(TRIM($E12),TRIM('Año 2026'!$E$3:$E$66),'Año 2026'!$Y$3:$Y$66),"")</f>
        <v/>
      </c>
      <c r="AY12" s="41" t="str" cm="1">
        <f t="array" ref="AY12">IFERROR(_xlfn.XLOOKUP(TRIM($E12),TRIM('Año 2026'!$E$3:$E$66),'Año 2026'!$Z$3:$Z$66),"")</f>
        <v/>
      </c>
      <c r="AZ12" s="41" t="str" cm="1">
        <f t="array" ref="AZ12">IFERROR(_xlfn.XLOOKUP(TRIM($E12),TRIM('Año 2026'!$E$3:$E$66),'Año 2026'!$AA$3:$AA$66),"")</f>
        <v/>
      </c>
      <c r="BA12" s="41" t="str" cm="1">
        <f t="array" ref="BA12">IFERROR(_xlfn.XLOOKUP(TRIM($E12),TRIM('Año 2026'!$E$3:$E$66),'Año 2026'!$AB$3:$AB$66),"")</f>
        <v/>
      </c>
      <c r="BB12" s="41" t="str" cm="1">
        <f t="array" ref="BB12">IFERROR(_xlfn.XLOOKUP(TRIM($E12),TRIM('Año 2026'!$E$3:$E$66),'Año 2026'!$AC$3:$AC$66),"")</f>
        <v/>
      </c>
      <c r="BC12" s="41" t="str" cm="1">
        <f t="array" ref="BC12">IFERROR(_xlfn.XLOOKUP(TRIM($E12),TRIM('Año 2026'!$E$3:$E$66),'Año 2026'!$AD$3:$AD$66),"")</f>
        <v/>
      </c>
    </row>
    <row r="13" spans="1:55" s="41" customFormat="1" ht="155.25" customHeight="1" x14ac:dyDescent="0.25">
      <c r="A13" s="48">
        <v>12</v>
      </c>
      <c r="B13" s="51">
        <v>2024</v>
      </c>
      <c r="C13" s="51" t="s">
        <v>69</v>
      </c>
      <c r="D13" s="51" t="s">
        <v>284</v>
      </c>
      <c r="E13" s="51" t="s">
        <v>250</v>
      </c>
      <c r="F13" s="53" t="s">
        <v>269</v>
      </c>
      <c r="G13" s="51" t="s">
        <v>3271</v>
      </c>
      <c r="H13" s="108">
        <v>2</v>
      </c>
      <c r="I13" s="51" t="s">
        <v>266</v>
      </c>
      <c r="J13" s="92" t="s">
        <v>3209</v>
      </c>
      <c r="K13" s="71" t="s">
        <v>385</v>
      </c>
      <c r="L13" s="71" t="s">
        <v>385</v>
      </c>
      <c r="M13" s="50" t="s">
        <v>385</v>
      </c>
      <c r="N13" s="92" t="s">
        <v>3367</v>
      </c>
      <c r="O13" s="51" t="s">
        <v>798</v>
      </c>
      <c r="P13" s="71" t="s">
        <v>360</v>
      </c>
      <c r="Q13" s="71" t="s">
        <v>673</v>
      </c>
      <c r="R13" s="74" t="s">
        <v>3272</v>
      </c>
      <c r="S13" s="51" t="s">
        <v>372</v>
      </c>
      <c r="T13" s="50">
        <v>1</v>
      </c>
      <c r="U13" s="72" t="s">
        <v>3273</v>
      </c>
      <c r="V13" s="97">
        <v>45614</v>
      </c>
      <c r="W13" s="92" t="s">
        <v>672</v>
      </c>
      <c r="X13" s="71"/>
      <c r="Y13" s="56" t="s">
        <v>3274</v>
      </c>
      <c r="Z13" s="56"/>
      <c r="AA13" s="47">
        <v>46374</v>
      </c>
      <c r="AB13" s="48" t="str">
        <f ca="1">IF(AA13&lt;TODAY(),"VENCIDO","POR VENCER")</f>
        <v>POR VENCER</v>
      </c>
      <c r="AC13" s="47">
        <v>46379</v>
      </c>
      <c r="AD13" s="46" t="s">
        <v>309</v>
      </c>
      <c r="AE13" s="48" t="s">
        <v>308</v>
      </c>
      <c r="AF13" s="41" t="str" cm="1">
        <f t="array" ref="AF13">IFERROR(_xlfn.XLOOKUP(TRIM($E13),TRIM('Año 2026'!$E$3:$E$66),'Año 2026'!$G$3:$G$66),"")</f>
        <v>OFICIO Nº 02249-2026-SUNEDU-DS-DIRESESU-UVE</v>
      </c>
      <c r="AG13" s="41" cm="1">
        <f t="array" ref="AG13">IFERROR(_xlfn.XLOOKUP(TRIM($E13),TRIM('Año 2026'!$E$3:$E$66),'Año 2026'!$H$3:$H$66),"")</f>
        <v>0</v>
      </c>
      <c r="AH13" s="41" cm="1">
        <f t="array" ref="AH13">IFERROR(_xlfn.XLOOKUP(TRIM($E13),TRIM('Año 2026'!$E$3:$E$66),'Año 2026'!$I$3:$I$66),"")</f>
        <v>0</v>
      </c>
      <c r="AI13" s="41" cm="1">
        <f t="array" ref="AI13">IFERROR(_xlfn.XLOOKUP(TRIM($E13),TRIM('Año 2026'!$E$3:$E$66),'Año 2026'!$J$3:$J$66),"")</f>
        <v>0</v>
      </c>
      <c r="AJ13" s="41" cm="1">
        <f t="array" ref="AJ13">IFERROR(_xlfn.XLOOKUP(TRIM($E13),TRIM('Año 2026'!$E$3:$E$66),'Año 2026'!$K$3:$K$66),"")</f>
        <v>0</v>
      </c>
      <c r="AK13" s="41" cm="1">
        <f t="array" ref="AK13">IFERROR(_xlfn.XLOOKUP(TRIM($E13),TRIM('Año 2026'!$E$3:$E$66),'Año 2026'!$L$3:$L$66),"")</f>
        <v>0</v>
      </c>
      <c r="AL13" s="41" cm="1">
        <f t="array" ref="AL13">IFERROR(_xlfn.XLOOKUP(TRIM($E13),TRIM('Año 2026'!$E$3:$E$66),'Año 2026'!$M$3:$M$66),"")</f>
        <v>0</v>
      </c>
      <c r="AM13" s="41" cm="1">
        <f t="array" ref="AM13">IFERROR(_xlfn.XLOOKUP(TRIM($E13),TRIM('Año 2026'!$E$3:$E$66),'Año 2026'!$N$3:$N$66),"")</f>
        <v>0</v>
      </c>
      <c r="AN13" s="41" cm="1">
        <f t="array" ref="AN13">IFERROR(_xlfn.XLOOKUP(TRIM($E13),TRIM('Año 2026'!$E$3:$E$66),'Año 2026'!$O$3:$O$66),"")</f>
        <v>0</v>
      </c>
      <c r="AO13" s="41" cm="1">
        <f t="array" ref="AO13">IFERROR(_xlfn.XLOOKUP(TRIM($E13),TRIM('Año 2026'!$E$3:$E$66),'Año 2026'!$P$3:$P$66),"")</f>
        <v>0</v>
      </c>
      <c r="AP13" s="41" cm="1">
        <f t="array" ref="AP13">IFERROR(_xlfn.XLOOKUP(TRIM($E13),TRIM('Año 2026'!$E$3:$E$66),'Año 2026'!$Q$3:$Q$66),"")</f>
        <v>0</v>
      </c>
      <c r="AQ13" s="41" cm="1">
        <f t="array" ref="AQ13">IFERROR(_xlfn.XLOOKUP(TRIM($E13),TRIM('Año 2026'!$E$3:$E$66),'Año 2026'!$R$3:$R$66),"")</f>
        <v>0</v>
      </c>
      <c r="AR13" s="41" cm="1">
        <f t="array" ref="AR13">IFERROR(_xlfn.XLOOKUP(TRIM($E13),TRIM('Año 2026'!$E$3:$E$66),'Año 2026'!$S$3:$S$66),"")</f>
        <v>0</v>
      </c>
      <c r="AS13" s="41" cm="1">
        <f t="array" ref="AS13">IFERROR(_xlfn.XLOOKUP(TRIM($E13),TRIM('Año 2026'!$E$3:$E$66),'Año 2026'!$T$3:$T$66),"")</f>
        <v>0</v>
      </c>
      <c r="AT13" s="41" cm="1">
        <f t="array" ref="AT13">IFERROR(_xlfn.XLOOKUP(TRIM($E13),TRIM('Año 2026'!$E$3:$E$66),'Año 2026'!$U$3:$U$66),"")</f>
        <v>0</v>
      </c>
      <c r="AU13" s="41" cm="1">
        <f t="array" ref="AU13">IFERROR(_xlfn.XLOOKUP(TRIM($E13),TRIM('Año 2026'!$E$3:$E$66),'Año 2026'!$V$3:$V$66),"")</f>
        <v>0</v>
      </c>
      <c r="AV13" s="41" cm="1">
        <f t="array" ref="AV13">IFERROR(_xlfn.XLOOKUP(TRIM($E13),TRIM('Año 2026'!$E$3:$E$66),'Año 2026'!$W$3:$W$66),"")</f>
        <v>0</v>
      </c>
      <c r="AW13" s="41" cm="1">
        <f t="array" ref="AW13">IFERROR(_xlfn.XLOOKUP(TRIM($E13),TRIM('Año 2026'!$E$3:$E$66),'Año 2026'!$X$3:$X$66),"")</f>
        <v>0</v>
      </c>
      <c r="AX13" s="41" cm="1">
        <f t="array" ref="AX13">IFERROR(_xlfn.XLOOKUP(TRIM($E13),TRIM('Año 2026'!$E$3:$E$66),'Año 2026'!$Y$3:$Y$66),"")</f>
        <v>0</v>
      </c>
      <c r="AY13" s="41" cm="1">
        <f t="array" ref="AY13">IFERROR(_xlfn.XLOOKUP(TRIM($E13),TRIM('Año 2026'!$E$3:$E$66),'Año 2026'!$Z$3:$Z$66),"")</f>
        <v>0</v>
      </c>
      <c r="AZ13" s="41" cm="1">
        <f t="array" ref="AZ13">IFERROR(_xlfn.XLOOKUP(TRIM($E13),TRIM('Año 2026'!$E$3:$E$66),'Año 2026'!$AA$3:$AA$66),"")</f>
        <v>0</v>
      </c>
      <c r="BA13" s="41" cm="1">
        <f t="array" ref="BA13">IFERROR(_xlfn.XLOOKUP(TRIM($E13),TRIM('Año 2026'!$E$3:$E$66),'Año 2026'!$AB$3:$AB$66),"")</f>
        <v>0</v>
      </c>
      <c r="BB13" s="41" cm="1">
        <f t="array" ref="BB13">IFERROR(_xlfn.XLOOKUP(TRIM($E13),TRIM('Año 2026'!$E$3:$E$66),'Año 2026'!$AC$3:$AC$66),"")</f>
        <v>0</v>
      </c>
      <c r="BC13" s="41" cm="1">
        <f t="array" ref="BC13">IFERROR(_xlfn.XLOOKUP(TRIM($E13),TRIM('Año 2026'!$E$3:$E$66),'Año 2026'!$AD$3:$AD$66),"")</f>
        <v>0</v>
      </c>
    </row>
    <row r="14" spans="1:55" s="41" customFormat="1" ht="116.25" customHeight="1" x14ac:dyDescent="0.25">
      <c r="A14" s="48">
        <v>13</v>
      </c>
      <c r="B14" s="51">
        <v>2024</v>
      </c>
      <c r="C14" s="51" t="s">
        <v>137</v>
      </c>
      <c r="D14" s="51" t="s">
        <v>526</v>
      </c>
      <c r="E14" s="51" t="s">
        <v>680</v>
      </c>
      <c r="F14" s="53" t="s">
        <v>269</v>
      </c>
      <c r="G14" s="51"/>
      <c r="H14" s="108">
        <v>36</v>
      </c>
      <c r="I14" s="51" t="s">
        <v>266</v>
      </c>
      <c r="J14" s="51" t="s">
        <v>678</v>
      </c>
      <c r="K14" s="51" t="s">
        <v>420</v>
      </c>
      <c r="L14" s="51" t="s">
        <v>676</v>
      </c>
      <c r="M14" s="51" t="s">
        <v>676</v>
      </c>
      <c r="N14" s="51" t="s">
        <v>677</v>
      </c>
      <c r="O14" s="51" t="s">
        <v>798</v>
      </c>
      <c r="P14" s="51" t="s">
        <v>360</v>
      </c>
      <c r="Q14" s="51">
        <v>17</v>
      </c>
      <c r="R14" s="55" t="s">
        <v>679</v>
      </c>
      <c r="S14" s="51" t="s">
        <v>359</v>
      </c>
      <c r="T14" s="50">
        <v>1</v>
      </c>
      <c r="U14" s="48" t="s">
        <v>675</v>
      </c>
      <c r="V14" s="47">
        <v>45771</v>
      </c>
      <c r="W14" s="45" t="s">
        <v>674</v>
      </c>
      <c r="X14" s="71"/>
      <c r="Y14" s="76" t="s">
        <v>3275</v>
      </c>
      <c r="Z14" s="49" t="s">
        <v>264</v>
      </c>
      <c r="AA14" s="47">
        <v>46192</v>
      </c>
      <c r="AB14" s="48" t="str">
        <f ca="1">IF(AA14&lt;TODAY(),"VENCIDO","POR VENCER")</f>
        <v>POR VENCER</v>
      </c>
      <c r="AC14" s="47">
        <v>46199</v>
      </c>
      <c r="AD14" s="46" t="s">
        <v>309</v>
      </c>
      <c r="AE14" s="48" t="s">
        <v>503</v>
      </c>
      <c r="AF14" s="41" t="str" cm="1">
        <f t="array" ref="AF14">IFERROR(_xlfn.XLOOKUP(TRIM($E14),TRIM('Año 2026'!$E$3:$E$66),'Año 2026'!$G$3:$G$66),"")</f>
        <v/>
      </c>
      <c r="AG14" s="41" t="str" cm="1">
        <f t="array" ref="AG14">IFERROR(_xlfn.XLOOKUP(TRIM($E14),TRIM('Año 2026'!$E$3:$E$66),'Año 2026'!$H$3:$H$66),"")</f>
        <v/>
      </c>
      <c r="AH14" s="41" t="str" cm="1">
        <f t="array" ref="AH14">IFERROR(_xlfn.XLOOKUP(TRIM($E14),TRIM('Año 2026'!$E$3:$E$66),'Año 2026'!$I$3:$I$66),"")</f>
        <v/>
      </c>
      <c r="AI14" s="41" t="str" cm="1">
        <f t="array" ref="AI14">IFERROR(_xlfn.XLOOKUP(TRIM($E14),TRIM('Año 2026'!$E$3:$E$66),'Año 2026'!$J$3:$J$66),"")</f>
        <v/>
      </c>
      <c r="AJ14" s="41" t="str" cm="1">
        <f t="array" ref="AJ14">IFERROR(_xlfn.XLOOKUP(TRIM($E14),TRIM('Año 2026'!$E$3:$E$66),'Año 2026'!$K$3:$K$66),"")</f>
        <v/>
      </c>
      <c r="AK14" s="41" t="str" cm="1">
        <f t="array" ref="AK14">IFERROR(_xlfn.XLOOKUP(TRIM($E14),TRIM('Año 2026'!$E$3:$E$66),'Año 2026'!$L$3:$L$66),"")</f>
        <v/>
      </c>
      <c r="AL14" s="41" t="str" cm="1">
        <f t="array" ref="AL14">IFERROR(_xlfn.XLOOKUP(TRIM($E14),TRIM('Año 2026'!$E$3:$E$66),'Año 2026'!$M$3:$M$66),"")</f>
        <v/>
      </c>
      <c r="AM14" s="41" t="str" cm="1">
        <f t="array" ref="AM14">IFERROR(_xlfn.XLOOKUP(TRIM($E14),TRIM('Año 2026'!$E$3:$E$66),'Año 2026'!$N$3:$N$66),"")</f>
        <v/>
      </c>
      <c r="AN14" s="41" t="str" cm="1">
        <f t="array" ref="AN14">IFERROR(_xlfn.XLOOKUP(TRIM($E14),TRIM('Año 2026'!$E$3:$E$66),'Año 2026'!$O$3:$O$66),"")</f>
        <v/>
      </c>
      <c r="AO14" s="41" t="str" cm="1">
        <f t="array" ref="AO14">IFERROR(_xlfn.XLOOKUP(TRIM($E14),TRIM('Año 2026'!$E$3:$E$66),'Año 2026'!$P$3:$P$66),"")</f>
        <v/>
      </c>
      <c r="AP14" s="41" t="str" cm="1">
        <f t="array" ref="AP14">IFERROR(_xlfn.XLOOKUP(TRIM($E14),TRIM('Año 2026'!$E$3:$E$66),'Año 2026'!$Q$3:$Q$66),"")</f>
        <v/>
      </c>
      <c r="AQ14" s="41" t="str" cm="1">
        <f t="array" ref="AQ14">IFERROR(_xlfn.XLOOKUP(TRIM($E14),TRIM('Año 2026'!$E$3:$E$66),'Año 2026'!$R$3:$R$66),"")</f>
        <v/>
      </c>
      <c r="AR14" s="41" t="str" cm="1">
        <f t="array" ref="AR14">IFERROR(_xlfn.XLOOKUP(TRIM($E14),TRIM('Año 2026'!$E$3:$E$66),'Año 2026'!$S$3:$S$66),"")</f>
        <v/>
      </c>
      <c r="AS14" s="41" t="str" cm="1">
        <f t="array" ref="AS14">IFERROR(_xlfn.XLOOKUP(TRIM($E14),TRIM('Año 2026'!$E$3:$E$66),'Año 2026'!$T$3:$T$66),"")</f>
        <v/>
      </c>
      <c r="AT14" s="41" t="str" cm="1">
        <f t="array" ref="AT14">IFERROR(_xlfn.XLOOKUP(TRIM($E14),TRIM('Año 2026'!$E$3:$E$66),'Año 2026'!$U$3:$U$66),"")</f>
        <v/>
      </c>
      <c r="AU14" s="41" t="str" cm="1">
        <f t="array" ref="AU14">IFERROR(_xlfn.XLOOKUP(TRIM($E14),TRIM('Año 2026'!$E$3:$E$66),'Año 2026'!$V$3:$V$66),"")</f>
        <v/>
      </c>
      <c r="AV14" s="41" t="str" cm="1">
        <f t="array" ref="AV14">IFERROR(_xlfn.XLOOKUP(TRIM($E14),TRIM('Año 2026'!$E$3:$E$66),'Año 2026'!$W$3:$W$66),"")</f>
        <v/>
      </c>
      <c r="AW14" s="41" t="str" cm="1">
        <f t="array" ref="AW14">IFERROR(_xlfn.XLOOKUP(TRIM($E14),TRIM('Año 2026'!$E$3:$E$66),'Año 2026'!$X$3:$X$66),"")</f>
        <v/>
      </c>
      <c r="AX14" s="41" t="str" cm="1">
        <f t="array" ref="AX14">IFERROR(_xlfn.XLOOKUP(TRIM($E14),TRIM('Año 2026'!$E$3:$E$66),'Año 2026'!$Y$3:$Y$66),"")</f>
        <v/>
      </c>
      <c r="AY14" s="41" t="str" cm="1">
        <f t="array" ref="AY14">IFERROR(_xlfn.XLOOKUP(TRIM($E14),TRIM('Año 2026'!$E$3:$E$66),'Año 2026'!$Z$3:$Z$66),"")</f>
        <v/>
      </c>
      <c r="AZ14" s="41" t="str" cm="1">
        <f t="array" ref="AZ14">IFERROR(_xlfn.XLOOKUP(TRIM($E14),TRIM('Año 2026'!$E$3:$E$66),'Año 2026'!$AA$3:$AA$66),"")</f>
        <v/>
      </c>
      <c r="BA14" s="41" t="str" cm="1">
        <f t="array" ref="BA14">IFERROR(_xlfn.XLOOKUP(TRIM($E14),TRIM('Año 2026'!$E$3:$E$66),'Año 2026'!$AB$3:$AB$66),"")</f>
        <v/>
      </c>
      <c r="BB14" s="41" t="str" cm="1">
        <f t="array" ref="BB14">IFERROR(_xlfn.XLOOKUP(TRIM($E14),TRIM('Año 2026'!$E$3:$E$66),'Año 2026'!$AC$3:$AC$66),"")</f>
        <v/>
      </c>
      <c r="BC14" s="41" t="str" cm="1">
        <f t="array" ref="BC14">IFERROR(_xlfn.XLOOKUP(TRIM($E14),TRIM('Año 2026'!$E$3:$E$66),'Año 2026'!$AD$3:$AD$66),"")</f>
        <v/>
      </c>
    </row>
    <row r="15" spans="1:55" s="41" customFormat="1" ht="117" customHeight="1" x14ac:dyDescent="0.25">
      <c r="A15" s="48">
        <v>14</v>
      </c>
      <c r="B15" s="51">
        <v>2024</v>
      </c>
      <c r="C15" s="51" t="s">
        <v>69</v>
      </c>
      <c r="D15" s="51" t="s">
        <v>353</v>
      </c>
      <c r="E15" s="51" t="s">
        <v>647</v>
      </c>
      <c r="F15" s="53" t="s">
        <v>431</v>
      </c>
      <c r="G15" s="51" t="s">
        <v>646</v>
      </c>
      <c r="H15" s="108">
        <v>2</v>
      </c>
      <c r="I15" s="72" t="s">
        <v>266</v>
      </c>
      <c r="J15" s="71" t="s">
        <v>643</v>
      </c>
      <c r="K15" s="71" t="s">
        <v>385</v>
      </c>
      <c r="L15" s="71" t="s">
        <v>385</v>
      </c>
      <c r="M15" s="71" t="s">
        <v>641</v>
      </c>
      <c r="N15" s="94" t="s">
        <v>642</v>
      </c>
      <c r="O15" s="51" t="s">
        <v>798</v>
      </c>
      <c r="P15" s="71" t="s">
        <v>360</v>
      </c>
      <c r="Q15" s="71">
        <v>27</v>
      </c>
      <c r="R15" s="90" t="s">
        <v>644</v>
      </c>
      <c r="S15" s="51" t="s">
        <v>372</v>
      </c>
      <c r="T15" s="50">
        <v>2</v>
      </c>
      <c r="U15" s="96" t="s">
        <v>640</v>
      </c>
      <c r="V15" s="95">
        <v>45994</v>
      </c>
      <c r="W15" s="74" t="s">
        <v>639</v>
      </c>
      <c r="X15" s="71"/>
      <c r="Y15" s="62" t="s">
        <v>3276</v>
      </c>
      <c r="Z15" s="62" t="s">
        <v>264</v>
      </c>
      <c r="AA15" s="47">
        <v>46255</v>
      </c>
      <c r="AB15" s="48" t="str">
        <f ca="1">IF(AA15&lt;TODAY(),"VENCIDO","POR VENCER")</f>
        <v>POR VENCER</v>
      </c>
      <c r="AC15" s="47">
        <v>46262</v>
      </c>
      <c r="AD15" s="46" t="s">
        <v>333</v>
      </c>
      <c r="AE15" s="48" t="s">
        <v>638</v>
      </c>
      <c r="AF15" s="41" t="str" cm="1">
        <f t="array" ref="AF15">IFERROR(_xlfn.XLOOKUP(TRIM($E15),TRIM('Año 2026'!$E$3:$E$66),'Año 2026'!$G$3:$G$66),"")</f>
        <v/>
      </c>
      <c r="AG15" s="41" t="str" cm="1">
        <f t="array" ref="AG15">IFERROR(_xlfn.XLOOKUP(TRIM($E15),TRIM('Año 2026'!$E$3:$E$66),'Año 2026'!$H$3:$H$66),"")</f>
        <v/>
      </c>
      <c r="AH15" s="41" t="str" cm="1">
        <f t="array" ref="AH15">IFERROR(_xlfn.XLOOKUP(TRIM($E15),TRIM('Año 2026'!$E$3:$E$66),'Año 2026'!$I$3:$I$66),"")</f>
        <v/>
      </c>
      <c r="AI15" s="41" t="str" cm="1">
        <f t="array" ref="AI15">IFERROR(_xlfn.XLOOKUP(TRIM($E15),TRIM('Año 2026'!$E$3:$E$66),'Año 2026'!$J$3:$J$66),"")</f>
        <v/>
      </c>
      <c r="AJ15" s="41" t="str" cm="1">
        <f t="array" ref="AJ15">IFERROR(_xlfn.XLOOKUP(TRIM($E15),TRIM('Año 2026'!$E$3:$E$66),'Año 2026'!$K$3:$K$66),"")</f>
        <v/>
      </c>
      <c r="AK15" s="41" t="str" cm="1">
        <f t="array" ref="AK15">IFERROR(_xlfn.XLOOKUP(TRIM($E15),TRIM('Año 2026'!$E$3:$E$66),'Año 2026'!$L$3:$L$66),"")</f>
        <v/>
      </c>
      <c r="AL15" s="41" t="str" cm="1">
        <f t="array" ref="AL15">IFERROR(_xlfn.XLOOKUP(TRIM($E15),TRIM('Año 2026'!$E$3:$E$66),'Año 2026'!$M$3:$M$66),"")</f>
        <v/>
      </c>
      <c r="AM15" s="41" t="str" cm="1">
        <f t="array" ref="AM15">IFERROR(_xlfn.XLOOKUP(TRIM($E15),TRIM('Año 2026'!$E$3:$E$66),'Año 2026'!$N$3:$N$66),"")</f>
        <v/>
      </c>
      <c r="AN15" s="41" t="str" cm="1">
        <f t="array" ref="AN15">IFERROR(_xlfn.XLOOKUP(TRIM($E15),TRIM('Año 2026'!$E$3:$E$66),'Año 2026'!$O$3:$O$66),"")</f>
        <v/>
      </c>
      <c r="AO15" s="41" t="str" cm="1">
        <f t="array" ref="AO15">IFERROR(_xlfn.XLOOKUP(TRIM($E15),TRIM('Año 2026'!$E$3:$E$66),'Año 2026'!$P$3:$P$66),"")</f>
        <v/>
      </c>
      <c r="AP15" s="41" t="str" cm="1">
        <f t="array" ref="AP15">IFERROR(_xlfn.XLOOKUP(TRIM($E15),TRIM('Año 2026'!$E$3:$E$66),'Año 2026'!$Q$3:$Q$66),"")</f>
        <v/>
      </c>
      <c r="AQ15" s="41" t="str" cm="1">
        <f t="array" ref="AQ15">IFERROR(_xlfn.XLOOKUP(TRIM($E15),TRIM('Año 2026'!$E$3:$E$66),'Año 2026'!$R$3:$R$66),"")</f>
        <v/>
      </c>
      <c r="AR15" s="41" t="str" cm="1">
        <f t="array" ref="AR15">IFERROR(_xlfn.XLOOKUP(TRIM($E15),TRIM('Año 2026'!$E$3:$E$66),'Año 2026'!$S$3:$S$66),"")</f>
        <v/>
      </c>
      <c r="AS15" s="41" t="str" cm="1">
        <f t="array" ref="AS15">IFERROR(_xlfn.XLOOKUP(TRIM($E15),TRIM('Año 2026'!$E$3:$E$66),'Año 2026'!$T$3:$T$66),"")</f>
        <v/>
      </c>
      <c r="AT15" s="41" t="str" cm="1">
        <f t="array" ref="AT15">IFERROR(_xlfn.XLOOKUP(TRIM($E15),TRIM('Año 2026'!$E$3:$E$66),'Año 2026'!$U$3:$U$66),"")</f>
        <v/>
      </c>
      <c r="AU15" s="41" t="str" cm="1">
        <f t="array" ref="AU15">IFERROR(_xlfn.XLOOKUP(TRIM($E15),TRIM('Año 2026'!$E$3:$E$66),'Año 2026'!$V$3:$V$66),"")</f>
        <v/>
      </c>
      <c r="AV15" s="41" t="str" cm="1">
        <f t="array" ref="AV15">IFERROR(_xlfn.XLOOKUP(TRIM($E15),TRIM('Año 2026'!$E$3:$E$66),'Año 2026'!$W$3:$W$66),"")</f>
        <v/>
      </c>
      <c r="AW15" s="41" t="str" cm="1">
        <f t="array" ref="AW15">IFERROR(_xlfn.XLOOKUP(TRIM($E15),TRIM('Año 2026'!$E$3:$E$66),'Año 2026'!$X$3:$X$66),"")</f>
        <v/>
      </c>
      <c r="AX15" s="41" t="str" cm="1">
        <f t="array" ref="AX15">IFERROR(_xlfn.XLOOKUP(TRIM($E15),TRIM('Año 2026'!$E$3:$E$66),'Año 2026'!$Y$3:$Y$66),"")</f>
        <v/>
      </c>
      <c r="AY15" s="41" t="str" cm="1">
        <f t="array" ref="AY15">IFERROR(_xlfn.XLOOKUP(TRIM($E15),TRIM('Año 2026'!$E$3:$E$66),'Año 2026'!$Z$3:$Z$66),"")</f>
        <v/>
      </c>
      <c r="AZ15" s="41" t="str" cm="1">
        <f t="array" ref="AZ15">IFERROR(_xlfn.XLOOKUP(TRIM($E15),TRIM('Año 2026'!$E$3:$E$66),'Año 2026'!$AA$3:$AA$66),"")</f>
        <v/>
      </c>
      <c r="BA15" s="41" t="str" cm="1">
        <f t="array" ref="BA15">IFERROR(_xlfn.XLOOKUP(TRIM($E15),TRIM('Año 2026'!$E$3:$E$66),'Año 2026'!$AB$3:$AB$66),"")</f>
        <v/>
      </c>
      <c r="BB15" s="41" t="str" cm="1">
        <f t="array" ref="BB15">IFERROR(_xlfn.XLOOKUP(TRIM($E15),TRIM('Año 2026'!$E$3:$E$66),'Año 2026'!$AC$3:$AC$66),"")</f>
        <v/>
      </c>
      <c r="BC15" s="41" t="str" cm="1">
        <f t="array" ref="BC15">IFERROR(_xlfn.XLOOKUP(TRIM($E15),TRIM('Año 2026'!$E$3:$E$66),'Año 2026'!$AD$3:$AD$66),"")</f>
        <v/>
      </c>
    </row>
    <row r="16" spans="1:55" s="41" customFormat="1" ht="75" customHeight="1" x14ac:dyDescent="0.25">
      <c r="A16" s="48">
        <v>15</v>
      </c>
      <c r="B16" s="51">
        <v>2024</v>
      </c>
      <c r="C16" s="51" t="s">
        <v>277</v>
      </c>
      <c r="D16" s="51" t="s">
        <v>353</v>
      </c>
      <c r="E16" s="54" t="s">
        <v>627</v>
      </c>
      <c r="F16" s="53" t="s">
        <v>269</v>
      </c>
      <c r="G16" s="51"/>
      <c r="H16" s="108">
        <v>52</v>
      </c>
      <c r="I16" s="51" t="s">
        <v>266</v>
      </c>
      <c r="J16" s="51" t="s">
        <v>324</v>
      </c>
      <c r="K16" s="51" t="s">
        <v>622</v>
      </c>
      <c r="L16" s="51" t="s">
        <v>621</v>
      </c>
      <c r="M16" s="60" t="s">
        <v>621</v>
      </c>
      <c r="N16" s="51" t="s">
        <v>623</v>
      </c>
      <c r="O16" s="51" t="s">
        <v>798</v>
      </c>
      <c r="P16" s="51" t="s">
        <v>360</v>
      </c>
      <c r="Q16" s="51" t="s">
        <v>539</v>
      </c>
      <c r="R16" s="55" t="s">
        <v>624</v>
      </c>
      <c r="S16" s="51" t="s">
        <v>372</v>
      </c>
      <c r="T16" s="50">
        <v>1</v>
      </c>
      <c r="U16" s="48" t="s">
        <v>620</v>
      </c>
      <c r="V16" s="47">
        <v>45806</v>
      </c>
      <c r="W16" s="45" t="s">
        <v>619</v>
      </c>
      <c r="X16" s="71"/>
      <c r="Y16" s="93" t="s">
        <v>3277</v>
      </c>
      <c r="Z16" s="49" t="s">
        <v>264</v>
      </c>
      <c r="AA16" s="47">
        <v>46192</v>
      </c>
      <c r="AB16" s="48" t="str">
        <f ca="1">IF(AA16&lt;TODAY(),"VENCIDO","POR VENCER")</f>
        <v>POR VENCER</v>
      </c>
      <c r="AC16" s="47">
        <v>46199</v>
      </c>
      <c r="AD16" s="46" t="s">
        <v>309</v>
      </c>
      <c r="AE16" s="48" t="s">
        <v>316</v>
      </c>
      <c r="AF16" s="41" t="str" cm="1">
        <f t="array" ref="AF16">IFERROR(_xlfn.XLOOKUP(TRIM($E16),TRIM('Año 2026'!$E$3:$E$66),'Año 2026'!$G$3:$G$66),"")</f>
        <v/>
      </c>
      <c r="AG16" s="41" t="str" cm="1">
        <f t="array" ref="AG16">IFERROR(_xlfn.XLOOKUP(TRIM($E16),TRIM('Año 2026'!$E$3:$E$66),'Año 2026'!$H$3:$H$66),"")</f>
        <v/>
      </c>
      <c r="AH16" s="41" t="str" cm="1">
        <f t="array" ref="AH16">IFERROR(_xlfn.XLOOKUP(TRIM($E16),TRIM('Año 2026'!$E$3:$E$66),'Año 2026'!$I$3:$I$66),"")</f>
        <v/>
      </c>
      <c r="AI16" s="41" t="str" cm="1">
        <f t="array" ref="AI16">IFERROR(_xlfn.XLOOKUP(TRIM($E16),TRIM('Año 2026'!$E$3:$E$66),'Año 2026'!$J$3:$J$66),"")</f>
        <v/>
      </c>
      <c r="AJ16" s="41" t="str" cm="1">
        <f t="array" ref="AJ16">IFERROR(_xlfn.XLOOKUP(TRIM($E16),TRIM('Año 2026'!$E$3:$E$66),'Año 2026'!$K$3:$K$66),"")</f>
        <v/>
      </c>
      <c r="AK16" s="41" t="str" cm="1">
        <f t="array" ref="AK16">IFERROR(_xlfn.XLOOKUP(TRIM($E16),TRIM('Año 2026'!$E$3:$E$66),'Año 2026'!$L$3:$L$66),"")</f>
        <v/>
      </c>
      <c r="AL16" s="41" t="str" cm="1">
        <f t="array" ref="AL16">IFERROR(_xlfn.XLOOKUP(TRIM($E16),TRIM('Año 2026'!$E$3:$E$66),'Año 2026'!$M$3:$M$66),"")</f>
        <v/>
      </c>
      <c r="AM16" s="41" t="str" cm="1">
        <f t="array" ref="AM16">IFERROR(_xlfn.XLOOKUP(TRIM($E16),TRIM('Año 2026'!$E$3:$E$66),'Año 2026'!$N$3:$N$66),"")</f>
        <v/>
      </c>
      <c r="AN16" s="41" t="str" cm="1">
        <f t="array" ref="AN16">IFERROR(_xlfn.XLOOKUP(TRIM($E16),TRIM('Año 2026'!$E$3:$E$66),'Año 2026'!$O$3:$O$66),"")</f>
        <v/>
      </c>
      <c r="AO16" s="41" t="str" cm="1">
        <f t="array" ref="AO16">IFERROR(_xlfn.XLOOKUP(TRIM($E16),TRIM('Año 2026'!$E$3:$E$66),'Año 2026'!$P$3:$P$66),"")</f>
        <v/>
      </c>
      <c r="AP16" s="41" t="str" cm="1">
        <f t="array" ref="AP16">IFERROR(_xlfn.XLOOKUP(TRIM($E16),TRIM('Año 2026'!$E$3:$E$66),'Año 2026'!$Q$3:$Q$66),"")</f>
        <v/>
      </c>
      <c r="AQ16" s="41" t="str" cm="1">
        <f t="array" ref="AQ16">IFERROR(_xlfn.XLOOKUP(TRIM($E16),TRIM('Año 2026'!$E$3:$E$66),'Año 2026'!$R$3:$R$66),"")</f>
        <v/>
      </c>
      <c r="AR16" s="41" t="str" cm="1">
        <f t="array" ref="AR16">IFERROR(_xlfn.XLOOKUP(TRIM($E16),TRIM('Año 2026'!$E$3:$E$66),'Año 2026'!$S$3:$S$66),"")</f>
        <v/>
      </c>
      <c r="AS16" s="41" t="str" cm="1">
        <f t="array" ref="AS16">IFERROR(_xlfn.XLOOKUP(TRIM($E16),TRIM('Año 2026'!$E$3:$E$66),'Año 2026'!$T$3:$T$66),"")</f>
        <v/>
      </c>
      <c r="AT16" s="41" t="str" cm="1">
        <f t="array" ref="AT16">IFERROR(_xlfn.XLOOKUP(TRIM($E16),TRIM('Año 2026'!$E$3:$E$66),'Año 2026'!$U$3:$U$66),"")</f>
        <v/>
      </c>
      <c r="AU16" s="41" t="str" cm="1">
        <f t="array" ref="AU16">IFERROR(_xlfn.XLOOKUP(TRIM($E16),TRIM('Año 2026'!$E$3:$E$66),'Año 2026'!$V$3:$V$66),"")</f>
        <v/>
      </c>
      <c r="AV16" s="41" t="str" cm="1">
        <f t="array" ref="AV16">IFERROR(_xlfn.XLOOKUP(TRIM($E16),TRIM('Año 2026'!$E$3:$E$66),'Año 2026'!$W$3:$W$66),"")</f>
        <v/>
      </c>
      <c r="AW16" s="41" t="str" cm="1">
        <f t="array" ref="AW16">IFERROR(_xlfn.XLOOKUP(TRIM($E16),TRIM('Año 2026'!$E$3:$E$66),'Año 2026'!$X$3:$X$66),"")</f>
        <v/>
      </c>
      <c r="AX16" s="41" t="str" cm="1">
        <f t="array" ref="AX16">IFERROR(_xlfn.XLOOKUP(TRIM($E16),TRIM('Año 2026'!$E$3:$E$66),'Año 2026'!$Y$3:$Y$66),"")</f>
        <v/>
      </c>
      <c r="AY16" s="41" t="str" cm="1">
        <f t="array" ref="AY16">IFERROR(_xlfn.XLOOKUP(TRIM($E16),TRIM('Año 2026'!$E$3:$E$66),'Año 2026'!$Z$3:$Z$66),"")</f>
        <v/>
      </c>
      <c r="AZ16" s="41" t="str" cm="1">
        <f t="array" ref="AZ16">IFERROR(_xlfn.XLOOKUP(TRIM($E16),TRIM('Año 2026'!$E$3:$E$66),'Año 2026'!$AA$3:$AA$66),"")</f>
        <v/>
      </c>
      <c r="BA16" s="41" t="str" cm="1">
        <f t="array" ref="BA16">IFERROR(_xlfn.XLOOKUP(TRIM($E16),TRIM('Año 2026'!$E$3:$E$66),'Año 2026'!$AB$3:$AB$66),"")</f>
        <v/>
      </c>
      <c r="BB16" s="41" t="str" cm="1">
        <f t="array" ref="BB16">IFERROR(_xlfn.XLOOKUP(TRIM($E16),TRIM('Año 2026'!$E$3:$E$66),'Año 2026'!$AC$3:$AC$66),"")</f>
        <v/>
      </c>
      <c r="BC16" s="41" t="str" cm="1">
        <f t="array" ref="BC16">IFERROR(_xlfn.XLOOKUP(TRIM($E16),TRIM('Año 2026'!$E$3:$E$66),'Año 2026'!$AD$3:$AD$66),"")</f>
        <v/>
      </c>
    </row>
    <row r="17" spans="1:55" s="41" customFormat="1" ht="75" customHeight="1" x14ac:dyDescent="0.25">
      <c r="A17" s="48">
        <v>16</v>
      </c>
      <c r="B17" s="51">
        <v>2024</v>
      </c>
      <c r="C17" s="51" t="s">
        <v>69</v>
      </c>
      <c r="D17" s="51" t="s">
        <v>284</v>
      </c>
      <c r="E17" s="51" t="s">
        <v>637</v>
      </c>
      <c r="F17" s="80" t="s">
        <v>368</v>
      </c>
      <c r="G17" s="51" t="s">
        <v>636</v>
      </c>
      <c r="H17" s="111">
        <v>45</v>
      </c>
      <c r="I17" s="72" t="s">
        <v>295</v>
      </c>
      <c r="J17" s="71" t="s">
        <v>324</v>
      </c>
      <c r="K17" s="71" t="s">
        <v>476</v>
      </c>
      <c r="L17" s="71" t="s">
        <v>631</v>
      </c>
      <c r="M17" s="71" t="s">
        <v>631</v>
      </c>
      <c r="N17" s="94" t="s">
        <v>632</v>
      </c>
      <c r="O17" s="51" t="s">
        <v>798</v>
      </c>
      <c r="P17" s="71" t="s">
        <v>360</v>
      </c>
      <c r="Q17" s="71">
        <v>21</v>
      </c>
      <c r="R17" s="90" t="s">
        <v>633</v>
      </c>
      <c r="S17" s="51" t="s">
        <v>359</v>
      </c>
      <c r="T17" s="50">
        <v>1</v>
      </c>
      <c r="U17" s="71" t="s">
        <v>630</v>
      </c>
      <c r="V17" s="47">
        <v>45810</v>
      </c>
      <c r="W17" s="90" t="s">
        <v>629</v>
      </c>
      <c r="X17" s="71" t="s">
        <v>356</v>
      </c>
      <c r="Y17" s="93" t="s">
        <v>3278</v>
      </c>
      <c r="Z17" s="85" t="s">
        <v>264</v>
      </c>
      <c r="AA17" s="47">
        <v>46073</v>
      </c>
      <c r="AB17" s="48" t="str">
        <f ca="1">IF(AA17&lt;TODAY(),"VENCIDO","POR VENCER")</f>
        <v>VENCIDO</v>
      </c>
      <c r="AC17" s="47">
        <v>46080</v>
      </c>
      <c r="AD17" s="46" t="s">
        <v>333</v>
      </c>
      <c r="AE17" s="63" t="s">
        <v>628</v>
      </c>
      <c r="AF17" s="41" t="str" cm="1">
        <f t="array" ref="AF17">IFERROR(_xlfn.XLOOKUP(TRIM($E17),TRIM('Año 2026'!$E$3:$E$66),'Año 2026'!$G$3:$G$66),"")</f>
        <v/>
      </c>
      <c r="AG17" s="41" t="str" cm="1">
        <f t="array" ref="AG17">IFERROR(_xlfn.XLOOKUP(TRIM($E17),TRIM('Año 2026'!$E$3:$E$66),'Año 2026'!$H$3:$H$66),"")</f>
        <v/>
      </c>
      <c r="AH17" s="41" t="str" cm="1">
        <f t="array" ref="AH17">IFERROR(_xlfn.XLOOKUP(TRIM($E17),TRIM('Año 2026'!$E$3:$E$66),'Año 2026'!$I$3:$I$66),"")</f>
        <v/>
      </c>
      <c r="AI17" s="41" t="str" cm="1">
        <f t="array" ref="AI17">IFERROR(_xlfn.XLOOKUP(TRIM($E17),TRIM('Año 2026'!$E$3:$E$66),'Año 2026'!$J$3:$J$66),"")</f>
        <v/>
      </c>
      <c r="AJ17" s="41" t="str" cm="1">
        <f t="array" ref="AJ17">IFERROR(_xlfn.XLOOKUP(TRIM($E17),TRIM('Año 2026'!$E$3:$E$66),'Año 2026'!$K$3:$K$66),"")</f>
        <v/>
      </c>
      <c r="AK17" s="41" t="str" cm="1">
        <f t="array" ref="AK17">IFERROR(_xlfn.XLOOKUP(TRIM($E17),TRIM('Año 2026'!$E$3:$E$66),'Año 2026'!$L$3:$L$66),"")</f>
        <v/>
      </c>
      <c r="AL17" s="41" t="str" cm="1">
        <f t="array" ref="AL17">IFERROR(_xlfn.XLOOKUP(TRIM($E17),TRIM('Año 2026'!$E$3:$E$66),'Año 2026'!$M$3:$M$66),"")</f>
        <v/>
      </c>
      <c r="AM17" s="41" t="str" cm="1">
        <f t="array" ref="AM17">IFERROR(_xlfn.XLOOKUP(TRIM($E17),TRIM('Año 2026'!$E$3:$E$66),'Año 2026'!$N$3:$N$66),"")</f>
        <v/>
      </c>
      <c r="AN17" s="41" t="str" cm="1">
        <f t="array" ref="AN17">IFERROR(_xlfn.XLOOKUP(TRIM($E17),TRIM('Año 2026'!$E$3:$E$66),'Año 2026'!$O$3:$O$66),"")</f>
        <v/>
      </c>
      <c r="AO17" s="41" t="str" cm="1">
        <f t="array" ref="AO17">IFERROR(_xlfn.XLOOKUP(TRIM($E17),TRIM('Año 2026'!$E$3:$E$66),'Año 2026'!$P$3:$P$66),"")</f>
        <v/>
      </c>
      <c r="AP17" s="41" t="str" cm="1">
        <f t="array" ref="AP17">IFERROR(_xlfn.XLOOKUP(TRIM($E17),TRIM('Año 2026'!$E$3:$E$66),'Año 2026'!$Q$3:$Q$66),"")</f>
        <v/>
      </c>
      <c r="AQ17" s="41" t="str" cm="1">
        <f t="array" ref="AQ17">IFERROR(_xlfn.XLOOKUP(TRIM($E17),TRIM('Año 2026'!$E$3:$E$66),'Año 2026'!$R$3:$R$66),"")</f>
        <v/>
      </c>
      <c r="AR17" s="41" t="str" cm="1">
        <f t="array" ref="AR17">IFERROR(_xlfn.XLOOKUP(TRIM($E17),TRIM('Año 2026'!$E$3:$E$66),'Año 2026'!$S$3:$S$66),"")</f>
        <v/>
      </c>
      <c r="AS17" s="41" t="str" cm="1">
        <f t="array" ref="AS17">IFERROR(_xlfn.XLOOKUP(TRIM($E17),TRIM('Año 2026'!$E$3:$E$66),'Año 2026'!$T$3:$T$66),"")</f>
        <v/>
      </c>
      <c r="AT17" s="41" t="str" cm="1">
        <f t="array" ref="AT17">IFERROR(_xlfn.XLOOKUP(TRIM($E17),TRIM('Año 2026'!$E$3:$E$66),'Año 2026'!$U$3:$U$66),"")</f>
        <v/>
      </c>
      <c r="AU17" s="41" t="str" cm="1">
        <f t="array" ref="AU17">IFERROR(_xlfn.XLOOKUP(TRIM($E17),TRIM('Año 2026'!$E$3:$E$66),'Año 2026'!$V$3:$V$66),"")</f>
        <v/>
      </c>
      <c r="AV17" s="41" t="str" cm="1">
        <f t="array" ref="AV17">IFERROR(_xlfn.XLOOKUP(TRIM($E17),TRIM('Año 2026'!$E$3:$E$66),'Año 2026'!$W$3:$W$66),"")</f>
        <v/>
      </c>
      <c r="AW17" s="41" t="str" cm="1">
        <f t="array" ref="AW17">IFERROR(_xlfn.XLOOKUP(TRIM($E17),TRIM('Año 2026'!$E$3:$E$66),'Año 2026'!$X$3:$X$66),"")</f>
        <v/>
      </c>
      <c r="AX17" s="41" t="str" cm="1">
        <f t="array" ref="AX17">IFERROR(_xlfn.XLOOKUP(TRIM($E17),TRIM('Año 2026'!$E$3:$E$66),'Año 2026'!$Y$3:$Y$66),"")</f>
        <v/>
      </c>
      <c r="AY17" s="41" t="str" cm="1">
        <f t="array" ref="AY17">IFERROR(_xlfn.XLOOKUP(TRIM($E17),TRIM('Año 2026'!$E$3:$E$66),'Año 2026'!$Z$3:$Z$66),"")</f>
        <v/>
      </c>
      <c r="AZ17" s="41" t="str" cm="1">
        <f t="array" ref="AZ17">IFERROR(_xlfn.XLOOKUP(TRIM($E17),TRIM('Año 2026'!$E$3:$E$66),'Año 2026'!$AA$3:$AA$66),"")</f>
        <v/>
      </c>
      <c r="BA17" s="41" t="str" cm="1">
        <f t="array" ref="BA17">IFERROR(_xlfn.XLOOKUP(TRIM($E17),TRIM('Año 2026'!$E$3:$E$66),'Año 2026'!$AB$3:$AB$66),"")</f>
        <v/>
      </c>
      <c r="BB17" s="41" t="str" cm="1">
        <f t="array" ref="BB17">IFERROR(_xlfn.XLOOKUP(TRIM($E17),TRIM('Año 2026'!$E$3:$E$66),'Año 2026'!$AC$3:$AC$66),"")</f>
        <v/>
      </c>
      <c r="BC17" s="41" t="str" cm="1">
        <f t="array" ref="BC17">IFERROR(_xlfn.XLOOKUP(TRIM($E17),TRIM('Año 2026'!$E$3:$E$66),'Año 2026'!$AD$3:$AD$66),"")</f>
        <v/>
      </c>
    </row>
    <row r="18" spans="1:55" s="41" customFormat="1" ht="86.25" customHeight="1" x14ac:dyDescent="0.25">
      <c r="A18" s="48">
        <v>17</v>
      </c>
      <c r="B18" s="51">
        <v>2024</v>
      </c>
      <c r="C18" s="51" t="s">
        <v>69</v>
      </c>
      <c r="D18" s="51" t="s">
        <v>284</v>
      </c>
      <c r="E18" s="51" t="s">
        <v>254</v>
      </c>
      <c r="F18" s="53" t="s">
        <v>269</v>
      </c>
      <c r="G18" s="51" t="s">
        <v>667</v>
      </c>
      <c r="H18" s="108">
        <v>5</v>
      </c>
      <c r="I18" s="71" t="s">
        <v>295</v>
      </c>
      <c r="J18" s="71" t="s">
        <v>666</v>
      </c>
      <c r="K18" s="51" t="s">
        <v>385</v>
      </c>
      <c r="L18" s="51" t="s">
        <v>385</v>
      </c>
      <c r="M18" s="51" t="s">
        <v>664</v>
      </c>
      <c r="N18" s="94" t="s">
        <v>665</v>
      </c>
      <c r="O18" s="51" t="s">
        <v>798</v>
      </c>
      <c r="P18" s="71" t="s">
        <v>3238</v>
      </c>
      <c r="Q18" s="71" t="s">
        <v>3222</v>
      </c>
      <c r="R18" s="92" t="s">
        <v>3279</v>
      </c>
      <c r="S18" s="51" t="s">
        <v>359</v>
      </c>
      <c r="T18" s="50">
        <v>2</v>
      </c>
      <c r="U18" s="48" t="s">
        <v>482</v>
      </c>
      <c r="V18" s="47">
        <v>45544</v>
      </c>
      <c r="W18" s="90" t="s">
        <v>663</v>
      </c>
      <c r="X18" s="71"/>
      <c r="Y18" s="56" t="s">
        <v>3280</v>
      </c>
      <c r="Z18" s="62" t="s">
        <v>264</v>
      </c>
      <c r="AA18" s="47"/>
      <c r="AB18" s="48" t="s">
        <v>662</v>
      </c>
      <c r="AC18" s="47"/>
      <c r="AD18" s="46" t="s">
        <v>309</v>
      </c>
      <c r="AE18" s="45" t="s">
        <v>308</v>
      </c>
      <c r="AF18" s="41" t="str" cm="1">
        <f t="array" ref="AF18">IFERROR(_xlfn.XLOOKUP(TRIM($E18),TRIM('Año 2026'!$E$3:$E$66),'Año 2026'!$G$3:$G$66),"")</f>
        <v>OFICIO Nº 00931-2026-SUNEDU-DS-DIRESESU-UVE</v>
      </c>
      <c r="AG18" s="41" cm="1">
        <f t="array" ref="AG18">IFERROR(_xlfn.XLOOKUP(TRIM($E18),TRIM('Año 2026'!$E$3:$E$66),'Año 2026'!$H$3:$H$66),"")</f>
        <v>0</v>
      </c>
      <c r="AH18" s="41" cm="1">
        <f t="array" ref="AH18">IFERROR(_xlfn.XLOOKUP(TRIM($E18),TRIM('Año 2026'!$E$3:$E$66),'Año 2026'!$I$3:$I$66),"")</f>
        <v>0</v>
      </c>
      <c r="AI18" s="41" cm="1">
        <f t="array" ref="AI18">IFERROR(_xlfn.XLOOKUP(TRIM($E18),TRIM('Año 2026'!$E$3:$E$66),'Año 2026'!$J$3:$J$66),"")</f>
        <v>0</v>
      </c>
      <c r="AJ18" s="41" cm="1">
        <f t="array" ref="AJ18">IFERROR(_xlfn.XLOOKUP(TRIM($E18),TRIM('Año 2026'!$E$3:$E$66),'Año 2026'!$K$3:$K$66),"")</f>
        <v>0</v>
      </c>
      <c r="AK18" s="41" cm="1">
        <f t="array" ref="AK18">IFERROR(_xlfn.XLOOKUP(TRIM($E18),TRIM('Año 2026'!$E$3:$E$66),'Año 2026'!$L$3:$L$66),"")</f>
        <v>0</v>
      </c>
      <c r="AL18" s="41" cm="1">
        <f t="array" ref="AL18">IFERROR(_xlfn.XLOOKUP(TRIM($E18),TRIM('Año 2026'!$E$3:$E$66),'Año 2026'!$M$3:$M$66),"")</f>
        <v>0</v>
      </c>
      <c r="AM18" s="41" cm="1">
        <f t="array" ref="AM18">IFERROR(_xlfn.XLOOKUP(TRIM($E18),TRIM('Año 2026'!$E$3:$E$66),'Año 2026'!$N$3:$N$66),"")</f>
        <v>0</v>
      </c>
      <c r="AN18" s="41" cm="1">
        <f t="array" ref="AN18">IFERROR(_xlfn.XLOOKUP(TRIM($E18),TRIM('Año 2026'!$E$3:$E$66),'Año 2026'!$O$3:$O$66),"")</f>
        <v>0</v>
      </c>
      <c r="AO18" s="41" cm="1">
        <f t="array" ref="AO18">IFERROR(_xlfn.XLOOKUP(TRIM($E18),TRIM('Año 2026'!$E$3:$E$66),'Año 2026'!$P$3:$P$66),"")</f>
        <v>0</v>
      </c>
      <c r="AP18" s="41" cm="1">
        <f t="array" ref="AP18">IFERROR(_xlfn.XLOOKUP(TRIM($E18),TRIM('Año 2026'!$E$3:$E$66),'Año 2026'!$Q$3:$Q$66),"")</f>
        <v>0</v>
      </c>
      <c r="AQ18" s="41" cm="1">
        <f t="array" ref="AQ18">IFERROR(_xlfn.XLOOKUP(TRIM($E18),TRIM('Año 2026'!$E$3:$E$66),'Año 2026'!$R$3:$R$66),"")</f>
        <v>0</v>
      </c>
      <c r="AR18" s="41" cm="1">
        <f t="array" ref="AR18">IFERROR(_xlfn.XLOOKUP(TRIM($E18),TRIM('Año 2026'!$E$3:$E$66),'Año 2026'!$S$3:$S$66),"")</f>
        <v>0</v>
      </c>
      <c r="AS18" s="41" cm="1">
        <f t="array" ref="AS18">IFERROR(_xlfn.XLOOKUP(TRIM($E18),TRIM('Año 2026'!$E$3:$E$66),'Año 2026'!$T$3:$T$66),"")</f>
        <v>0</v>
      </c>
      <c r="AT18" s="41" cm="1">
        <f t="array" ref="AT18">IFERROR(_xlfn.XLOOKUP(TRIM($E18),TRIM('Año 2026'!$E$3:$E$66),'Año 2026'!$U$3:$U$66),"")</f>
        <v>0</v>
      </c>
      <c r="AU18" s="41" cm="1">
        <f t="array" ref="AU18">IFERROR(_xlfn.XLOOKUP(TRIM($E18),TRIM('Año 2026'!$E$3:$E$66),'Año 2026'!$V$3:$V$66),"")</f>
        <v>0</v>
      </c>
      <c r="AV18" s="41" cm="1">
        <f t="array" ref="AV18">IFERROR(_xlfn.XLOOKUP(TRIM($E18),TRIM('Año 2026'!$E$3:$E$66),'Año 2026'!$W$3:$W$66),"")</f>
        <v>0</v>
      </c>
      <c r="AW18" s="41" cm="1">
        <f t="array" ref="AW18">IFERROR(_xlfn.XLOOKUP(TRIM($E18),TRIM('Año 2026'!$E$3:$E$66),'Año 2026'!$X$3:$X$66),"")</f>
        <v>0</v>
      </c>
      <c r="AX18" s="41" cm="1">
        <f t="array" ref="AX18">IFERROR(_xlfn.XLOOKUP(TRIM($E18),TRIM('Año 2026'!$E$3:$E$66),'Año 2026'!$Y$3:$Y$66),"")</f>
        <v>0</v>
      </c>
      <c r="AY18" s="41" cm="1">
        <f t="array" ref="AY18">IFERROR(_xlfn.XLOOKUP(TRIM($E18),TRIM('Año 2026'!$E$3:$E$66),'Año 2026'!$Z$3:$Z$66),"")</f>
        <v>0</v>
      </c>
      <c r="AZ18" s="41" cm="1">
        <f t="array" ref="AZ18">IFERROR(_xlfn.XLOOKUP(TRIM($E18),TRIM('Año 2026'!$E$3:$E$66),'Año 2026'!$AA$3:$AA$66),"")</f>
        <v>0</v>
      </c>
      <c r="BA18" s="41" cm="1">
        <f t="array" ref="BA18">IFERROR(_xlfn.XLOOKUP(TRIM($E18),TRIM('Año 2026'!$E$3:$E$66),'Año 2026'!$AB$3:$AB$66),"")</f>
        <v>0</v>
      </c>
      <c r="BB18" s="41" cm="1">
        <f t="array" ref="BB18">IFERROR(_xlfn.XLOOKUP(TRIM($E18),TRIM('Año 2026'!$E$3:$E$66),'Año 2026'!$AC$3:$AC$66),"")</f>
        <v>0</v>
      </c>
      <c r="BC18" s="41" cm="1">
        <f t="array" ref="BC18">IFERROR(_xlfn.XLOOKUP(TRIM($E18),TRIM('Año 2026'!$E$3:$E$66),'Año 2026'!$AD$3:$AD$66),"")</f>
        <v>0</v>
      </c>
    </row>
    <row r="19" spans="1:55" s="41" customFormat="1" ht="75" customHeight="1" x14ac:dyDescent="0.25">
      <c r="A19" s="48">
        <v>18</v>
      </c>
      <c r="B19" s="51">
        <v>2024</v>
      </c>
      <c r="C19" s="51" t="s">
        <v>277</v>
      </c>
      <c r="D19" s="51" t="s">
        <v>353</v>
      </c>
      <c r="E19" s="51" t="s">
        <v>618</v>
      </c>
      <c r="F19" s="61" t="s">
        <v>431</v>
      </c>
      <c r="G19" s="51"/>
      <c r="H19" s="108">
        <v>49</v>
      </c>
      <c r="I19" s="51" t="s">
        <v>266</v>
      </c>
      <c r="J19" s="51" t="s">
        <v>324</v>
      </c>
      <c r="K19" s="51" t="s">
        <v>374</v>
      </c>
      <c r="L19" s="51" t="s">
        <v>374</v>
      </c>
      <c r="M19" s="51" t="s">
        <v>374</v>
      </c>
      <c r="N19" s="51" t="s">
        <v>375</v>
      </c>
      <c r="O19" s="51" t="s">
        <v>798</v>
      </c>
      <c r="P19" s="51" t="s">
        <v>321</v>
      </c>
      <c r="Q19" s="51">
        <v>44</v>
      </c>
      <c r="R19" s="59" t="s">
        <v>617</v>
      </c>
      <c r="S19" s="51" t="s">
        <v>372</v>
      </c>
      <c r="T19" s="50">
        <v>1</v>
      </c>
      <c r="U19" s="48" t="s">
        <v>616</v>
      </c>
      <c r="V19" s="47">
        <v>45993</v>
      </c>
      <c r="W19" s="45" t="s">
        <v>615</v>
      </c>
      <c r="X19" s="71" t="s">
        <v>614</v>
      </c>
      <c r="Y19" s="56" t="s">
        <v>3281</v>
      </c>
      <c r="Z19" s="62" t="s">
        <v>264</v>
      </c>
      <c r="AA19" s="47">
        <v>46101</v>
      </c>
      <c r="AB19" s="48" t="str">
        <f ca="1">IF(AA19&lt;TODAY(),"VENCIDO","POR VENCER")</f>
        <v>VENCIDO</v>
      </c>
      <c r="AC19" s="47">
        <v>46108</v>
      </c>
      <c r="AD19" s="46" t="s">
        <v>333</v>
      </c>
      <c r="AE19" s="45" t="s">
        <v>613</v>
      </c>
      <c r="AF19" s="41" t="str" cm="1">
        <f t="array" ref="AF19">IFERROR(_xlfn.XLOOKUP(TRIM($E19),TRIM('Año 2026'!$E$3:$E$66),'Año 2026'!$G$3:$G$66),"")</f>
        <v/>
      </c>
      <c r="AG19" s="41" t="str" cm="1">
        <f t="array" ref="AG19">IFERROR(_xlfn.XLOOKUP(TRIM($E19),TRIM('Año 2026'!$E$3:$E$66),'Año 2026'!$H$3:$H$66),"")</f>
        <v/>
      </c>
      <c r="AH19" s="41" t="str" cm="1">
        <f t="array" ref="AH19">IFERROR(_xlfn.XLOOKUP(TRIM($E19),TRIM('Año 2026'!$E$3:$E$66),'Año 2026'!$I$3:$I$66),"")</f>
        <v/>
      </c>
      <c r="AI19" s="41" t="str" cm="1">
        <f t="array" ref="AI19">IFERROR(_xlfn.XLOOKUP(TRIM($E19),TRIM('Año 2026'!$E$3:$E$66),'Año 2026'!$J$3:$J$66),"")</f>
        <v/>
      </c>
      <c r="AJ19" s="41" t="str" cm="1">
        <f t="array" ref="AJ19">IFERROR(_xlfn.XLOOKUP(TRIM($E19),TRIM('Año 2026'!$E$3:$E$66),'Año 2026'!$K$3:$K$66),"")</f>
        <v/>
      </c>
      <c r="AK19" s="41" t="str" cm="1">
        <f t="array" ref="AK19">IFERROR(_xlfn.XLOOKUP(TRIM($E19),TRIM('Año 2026'!$E$3:$E$66),'Año 2026'!$L$3:$L$66),"")</f>
        <v/>
      </c>
      <c r="AL19" s="41" t="str" cm="1">
        <f t="array" ref="AL19">IFERROR(_xlfn.XLOOKUP(TRIM($E19),TRIM('Año 2026'!$E$3:$E$66),'Año 2026'!$M$3:$M$66),"")</f>
        <v/>
      </c>
      <c r="AM19" s="41" t="str" cm="1">
        <f t="array" ref="AM19">IFERROR(_xlfn.XLOOKUP(TRIM($E19),TRIM('Año 2026'!$E$3:$E$66),'Año 2026'!$N$3:$N$66),"")</f>
        <v/>
      </c>
      <c r="AN19" s="41" t="str" cm="1">
        <f t="array" ref="AN19">IFERROR(_xlfn.XLOOKUP(TRIM($E19),TRIM('Año 2026'!$E$3:$E$66),'Año 2026'!$O$3:$O$66),"")</f>
        <v/>
      </c>
      <c r="AO19" s="41" t="str" cm="1">
        <f t="array" ref="AO19">IFERROR(_xlfn.XLOOKUP(TRIM($E19),TRIM('Año 2026'!$E$3:$E$66),'Año 2026'!$P$3:$P$66),"")</f>
        <v/>
      </c>
      <c r="AP19" s="41" t="str" cm="1">
        <f t="array" ref="AP19">IFERROR(_xlfn.XLOOKUP(TRIM($E19),TRIM('Año 2026'!$E$3:$E$66),'Año 2026'!$Q$3:$Q$66),"")</f>
        <v/>
      </c>
      <c r="AQ19" s="41" t="str" cm="1">
        <f t="array" ref="AQ19">IFERROR(_xlfn.XLOOKUP(TRIM($E19),TRIM('Año 2026'!$E$3:$E$66),'Año 2026'!$R$3:$R$66),"")</f>
        <v/>
      </c>
      <c r="AR19" s="41" t="str" cm="1">
        <f t="array" ref="AR19">IFERROR(_xlfn.XLOOKUP(TRIM($E19),TRIM('Año 2026'!$E$3:$E$66),'Año 2026'!$S$3:$S$66),"")</f>
        <v/>
      </c>
      <c r="AS19" s="41" t="str" cm="1">
        <f t="array" ref="AS19">IFERROR(_xlfn.XLOOKUP(TRIM($E19),TRIM('Año 2026'!$E$3:$E$66),'Año 2026'!$T$3:$T$66),"")</f>
        <v/>
      </c>
      <c r="AT19" s="41" t="str" cm="1">
        <f t="array" ref="AT19">IFERROR(_xlfn.XLOOKUP(TRIM($E19),TRIM('Año 2026'!$E$3:$E$66),'Año 2026'!$U$3:$U$66),"")</f>
        <v/>
      </c>
      <c r="AU19" s="41" t="str" cm="1">
        <f t="array" ref="AU19">IFERROR(_xlfn.XLOOKUP(TRIM($E19),TRIM('Año 2026'!$E$3:$E$66),'Año 2026'!$V$3:$V$66),"")</f>
        <v/>
      </c>
      <c r="AV19" s="41" t="str" cm="1">
        <f t="array" ref="AV19">IFERROR(_xlfn.XLOOKUP(TRIM($E19),TRIM('Año 2026'!$E$3:$E$66),'Año 2026'!$W$3:$W$66),"")</f>
        <v/>
      </c>
      <c r="AW19" s="41" t="str" cm="1">
        <f t="array" ref="AW19">IFERROR(_xlfn.XLOOKUP(TRIM($E19),TRIM('Año 2026'!$E$3:$E$66),'Año 2026'!$X$3:$X$66),"")</f>
        <v/>
      </c>
      <c r="AX19" s="41" t="str" cm="1">
        <f t="array" ref="AX19">IFERROR(_xlfn.XLOOKUP(TRIM($E19),TRIM('Año 2026'!$E$3:$E$66),'Año 2026'!$Y$3:$Y$66),"")</f>
        <v/>
      </c>
      <c r="AY19" s="41" t="str" cm="1">
        <f t="array" ref="AY19">IFERROR(_xlfn.XLOOKUP(TRIM($E19),TRIM('Año 2026'!$E$3:$E$66),'Año 2026'!$Z$3:$Z$66),"")</f>
        <v/>
      </c>
      <c r="AZ19" s="41" t="str" cm="1">
        <f t="array" ref="AZ19">IFERROR(_xlfn.XLOOKUP(TRIM($E19),TRIM('Año 2026'!$E$3:$E$66),'Año 2026'!$AA$3:$AA$66),"")</f>
        <v/>
      </c>
      <c r="BA19" s="41" t="str" cm="1">
        <f t="array" ref="BA19">IFERROR(_xlfn.XLOOKUP(TRIM($E19),TRIM('Año 2026'!$E$3:$E$66),'Año 2026'!$AB$3:$AB$66),"")</f>
        <v/>
      </c>
      <c r="BB19" s="41" t="str" cm="1">
        <f t="array" ref="BB19">IFERROR(_xlfn.XLOOKUP(TRIM($E19),TRIM('Año 2026'!$E$3:$E$66),'Año 2026'!$AC$3:$AC$66),"")</f>
        <v/>
      </c>
      <c r="BC19" s="41" t="str" cm="1">
        <f t="array" ref="BC19">IFERROR(_xlfn.XLOOKUP(TRIM($E19),TRIM('Año 2026'!$E$3:$E$66),'Año 2026'!$AD$3:$AD$66),"")</f>
        <v/>
      </c>
    </row>
    <row r="20" spans="1:55" s="41" customFormat="1" ht="204" x14ac:dyDescent="0.25">
      <c r="A20" s="48">
        <v>19</v>
      </c>
      <c r="B20" s="51">
        <v>2024</v>
      </c>
      <c r="C20" s="51" t="s">
        <v>69</v>
      </c>
      <c r="D20" s="51" t="s">
        <v>284</v>
      </c>
      <c r="E20" s="51" t="s">
        <v>656</v>
      </c>
      <c r="F20" s="53" t="s">
        <v>368</v>
      </c>
      <c r="G20" s="51" t="s">
        <v>655</v>
      </c>
      <c r="H20" s="127">
        <v>35</v>
      </c>
      <c r="I20" s="72" t="s">
        <v>295</v>
      </c>
      <c r="J20" s="71"/>
      <c r="K20" s="51" t="s">
        <v>385</v>
      </c>
      <c r="L20" s="51" t="s">
        <v>385</v>
      </c>
      <c r="M20" s="51" t="s">
        <v>652</v>
      </c>
      <c r="N20" s="71" t="s">
        <v>653</v>
      </c>
      <c r="O20" s="51" t="s">
        <v>798</v>
      </c>
      <c r="P20" s="71" t="s">
        <v>321</v>
      </c>
      <c r="Q20" s="71">
        <v>44</v>
      </c>
      <c r="R20" s="99" t="s">
        <v>654</v>
      </c>
      <c r="S20" s="51" t="s">
        <v>359</v>
      </c>
      <c r="T20" s="50"/>
      <c r="U20" s="48" t="s">
        <v>482</v>
      </c>
      <c r="V20" s="47">
        <v>45588</v>
      </c>
      <c r="W20" s="90" t="s">
        <v>3282</v>
      </c>
      <c r="X20" s="71" t="s">
        <v>651</v>
      </c>
      <c r="Y20" s="56" t="s">
        <v>3283</v>
      </c>
      <c r="Z20" s="85" t="s">
        <v>264</v>
      </c>
      <c r="AA20" s="47">
        <v>46132</v>
      </c>
      <c r="AB20" s="48" t="str">
        <f ca="1">IF(AA20&lt;TODAY(),"VENCIDO","POR VENCER")</f>
        <v>VENCIDO</v>
      </c>
      <c r="AC20" s="47">
        <v>46139</v>
      </c>
      <c r="AD20" s="46" t="s">
        <v>333</v>
      </c>
      <c r="AE20" s="48" t="s">
        <v>3284</v>
      </c>
      <c r="AF20" s="41" t="str" cm="1">
        <f t="array" ref="AF20">IFERROR(_xlfn.XLOOKUP(TRIM($E20),TRIM('Año 2026'!$E$3:$E$66),'Año 2026'!$G$3:$G$66),"")</f>
        <v/>
      </c>
      <c r="AG20" s="41" t="str" cm="1">
        <f t="array" ref="AG20">IFERROR(_xlfn.XLOOKUP(TRIM($E20),TRIM('Año 2026'!$E$3:$E$66),'Año 2026'!$H$3:$H$66),"")</f>
        <v/>
      </c>
      <c r="AH20" s="41" t="str" cm="1">
        <f t="array" ref="AH20">IFERROR(_xlfn.XLOOKUP(TRIM($E20),TRIM('Año 2026'!$E$3:$E$66),'Año 2026'!$I$3:$I$66),"")</f>
        <v/>
      </c>
      <c r="AI20" s="41" t="str" cm="1">
        <f t="array" ref="AI20">IFERROR(_xlfn.XLOOKUP(TRIM($E20),TRIM('Año 2026'!$E$3:$E$66),'Año 2026'!$J$3:$J$66),"")</f>
        <v/>
      </c>
      <c r="AJ20" s="41" t="str" cm="1">
        <f t="array" ref="AJ20">IFERROR(_xlfn.XLOOKUP(TRIM($E20),TRIM('Año 2026'!$E$3:$E$66),'Año 2026'!$K$3:$K$66),"")</f>
        <v/>
      </c>
      <c r="AK20" s="41" t="str" cm="1">
        <f t="array" ref="AK20">IFERROR(_xlfn.XLOOKUP(TRIM($E20),TRIM('Año 2026'!$E$3:$E$66),'Año 2026'!$L$3:$L$66),"")</f>
        <v/>
      </c>
      <c r="AL20" s="41" t="str" cm="1">
        <f t="array" ref="AL20">IFERROR(_xlfn.XLOOKUP(TRIM($E20),TRIM('Año 2026'!$E$3:$E$66),'Año 2026'!$M$3:$M$66),"")</f>
        <v/>
      </c>
      <c r="AM20" s="41" t="str" cm="1">
        <f t="array" ref="AM20">IFERROR(_xlfn.XLOOKUP(TRIM($E20),TRIM('Año 2026'!$E$3:$E$66),'Año 2026'!$N$3:$N$66),"")</f>
        <v/>
      </c>
      <c r="AN20" s="41" t="str" cm="1">
        <f t="array" ref="AN20">IFERROR(_xlfn.XLOOKUP(TRIM($E20),TRIM('Año 2026'!$E$3:$E$66),'Año 2026'!$O$3:$O$66),"")</f>
        <v/>
      </c>
      <c r="AO20" s="41" t="str" cm="1">
        <f t="array" ref="AO20">IFERROR(_xlfn.XLOOKUP(TRIM($E20),TRIM('Año 2026'!$E$3:$E$66),'Año 2026'!$P$3:$P$66),"")</f>
        <v/>
      </c>
      <c r="AP20" s="41" t="str" cm="1">
        <f t="array" ref="AP20">IFERROR(_xlfn.XLOOKUP(TRIM($E20),TRIM('Año 2026'!$E$3:$E$66),'Año 2026'!$Q$3:$Q$66),"")</f>
        <v/>
      </c>
      <c r="AQ20" s="41" t="str" cm="1">
        <f t="array" ref="AQ20">IFERROR(_xlfn.XLOOKUP(TRIM($E20),TRIM('Año 2026'!$E$3:$E$66),'Año 2026'!$R$3:$R$66),"")</f>
        <v/>
      </c>
      <c r="AR20" s="41" t="str" cm="1">
        <f t="array" ref="AR20">IFERROR(_xlfn.XLOOKUP(TRIM($E20),TRIM('Año 2026'!$E$3:$E$66),'Año 2026'!$S$3:$S$66),"")</f>
        <v/>
      </c>
      <c r="AS20" s="41" t="str" cm="1">
        <f t="array" ref="AS20">IFERROR(_xlfn.XLOOKUP(TRIM($E20),TRIM('Año 2026'!$E$3:$E$66),'Año 2026'!$T$3:$T$66),"")</f>
        <v/>
      </c>
      <c r="AT20" s="41" t="str" cm="1">
        <f t="array" ref="AT20">IFERROR(_xlfn.XLOOKUP(TRIM($E20),TRIM('Año 2026'!$E$3:$E$66),'Año 2026'!$U$3:$U$66),"")</f>
        <v/>
      </c>
      <c r="AU20" s="41" t="str" cm="1">
        <f t="array" ref="AU20">IFERROR(_xlfn.XLOOKUP(TRIM($E20),TRIM('Año 2026'!$E$3:$E$66),'Año 2026'!$V$3:$V$66),"")</f>
        <v/>
      </c>
      <c r="AV20" s="41" t="str" cm="1">
        <f t="array" ref="AV20">IFERROR(_xlfn.XLOOKUP(TRIM($E20),TRIM('Año 2026'!$E$3:$E$66),'Año 2026'!$W$3:$W$66),"")</f>
        <v/>
      </c>
      <c r="AW20" s="41" t="str" cm="1">
        <f t="array" ref="AW20">IFERROR(_xlfn.XLOOKUP(TRIM($E20),TRIM('Año 2026'!$E$3:$E$66),'Año 2026'!$X$3:$X$66),"")</f>
        <v/>
      </c>
      <c r="AX20" s="41" t="str" cm="1">
        <f t="array" ref="AX20">IFERROR(_xlfn.XLOOKUP(TRIM($E20),TRIM('Año 2026'!$E$3:$E$66),'Año 2026'!$Y$3:$Y$66),"")</f>
        <v/>
      </c>
      <c r="AY20" s="41" t="str" cm="1">
        <f t="array" ref="AY20">IFERROR(_xlfn.XLOOKUP(TRIM($E20),TRIM('Año 2026'!$E$3:$E$66),'Año 2026'!$Z$3:$Z$66),"")</f>
        <v/>
      </c>
      <c r="AZ20" s="41" t="str" cm="1">
        <f t="array" ref="AZ20">IFERROR(_xlfn.XLOOKUP(TRIM($E20),TRIM('Año 2026'!$E$3:$E$66),'Año 2026'!$AA$3:$AA$66),"")</f>
        <v/>
      </c>
      <c r="BA20" s="41" t="str" cm="1">
        <f t="array" ref="BA20">IFERROR(_xlfn.XLOOKUP(TRIM($E20),TRIM('Año 2026'!$E$3:$E$66),'Año 2026'!$AB$3:$AB$66),"")</f>
        <v/>
      </c>
      <c r="BB20" s="41" t="str" cm="1">
        <f t="array" ref="BB20">IFERROR(_xlfn.XLOOKUP(TRIM($E20),TRIM('Año 2026'!$E$3:$E$66),'Año 2026'!$AC$3:$AC$66),"")</f>
        <v/>
      </c>
      <c r="BC20" s="41" t="str" cm="1">
        <f t="array" ref="BC20">IFERROR(_xlfn.XLOOKUP(TRIM($E20),TRIM('Año 2026'!$E$3:$E$66),'Año 2026'!$AD$3:$AD$66),"")</f>
        <v/>
      </c>
    </row>
    <row r="21" spans="1:55" s="41" customFormat="1" ht="70.5" customHeight="1" x14ac:dyDescent="0.25">
      <c r="A21" s="48">
        <v>20</v>
      </c>
      <c r="B21" s="51">
        <v>2025</v>
      </c>
      <c r="C21" s="51" t="s">
        <v>69</v>
      </c>
      <c r="D21" s="51" t="s">
        <v>287</v>
      </c>
      <c r="E21" s="51" t="s">
        <v>533</v>
      </c>
      <c r="F21" s="80" t="s">
        <v>368</v>
      </c>
      <c r="G21" s="51" t="s">
        <v>3285</v>
      </c>
      <c r="H21" s="108">
        <v>12</v>
      </c>
      <c r="I21" s="51" t="s">
        <v>295</v>
      </c>
      <c r="J21" s="51" t="s">
        <v>399</v>
      </c>
      <c r="K21" s="51" t="s">
        <v>530</v>
      </c>
      <c r="L21" s="51" t="s">
        <v>530</v>
      </c>
      <c r="M21" s="51" t="s">
        <v>530</v>
      </c>
      <c r="N21" s="51" t="s">
        <v>531</v>
      </c>
      <c r="O21" s="51" t="s">
        <v>798</v>
      </c>
      <c r="P21" s="51" t="s">
        <v>360</v>
      </c>
      <c r="Q21" s="51" t="s">
        <v>3223</v>
      </c>
      <c r="R21" s="55" t="s">
        <v>532</v>
      </c>
      <c r="S21" s="51" t="s">
        <v>372</v>
      </c>
      <c r="T21" s="50"/>
      <c r="U21" s="48" t="s">
        <v>3286</v>
      </c>
      <c r="V21" s="47">
        <v>45939</v>
      </c>
      <c r="W21" s="45" t="s">
        <v>3287</v>
      </c>
      <c r="X21" s="45"/>
      <c r="Y21" s="52" t="s">
        <v>388</v>
      </c>
      <c r="Z21" s="52"/>
      <c r="AA21" s="47"/>
      <c r="AB21" s="48" t="s">
        <v>317</v>
      </c>
      <c r="AC21" s="47"/>
      <c r="AD21" s="46" t="s">
        <v>309</v>
      </c>
      <c r="AE21" s="48" t="s">
        <v>308</v>
      </c>
      <c r="AF21" s="41" t="str" cm="1">
        <f t="array" ref="AF21">IFERROR(_xlfn.XLOOKUP(TRIM($E21),TRIM('Año 2026'!$E$3:$E$66),'Año 2026'!$G$3:$G$66),"")</f>
        <v/>
      </c>
      <c r="AG21" s="41" t="str" cm="1">
        <f t="array" ref="AG21">IFERROR(_xlfn.XLOOKUP(TRIM($E21),TRIM('Año 2026'!$E$3:$E$66),'Año 2026'!$H$3:$H$66),"")</f>
        <v/>
      </c>
      <c r="AH21" s="41" t="str" cm="1">
        <f t="array" ref="AH21">IFERROR(_xlfn.XLOOKUP(TRIM($E21),TRIM('Año 2026'!$E$3:$E$66),'Año 2026'!$I$3:$I$66),"")</f>
        <v/>
      </c>
      <c r="AI21" s="41" t="str" cm="1">
        <f t="array" ref="AI21">IFERROR(_xlfn.XLOOKUP(TRIM($E21),TRIM('Año 2026'!$E$3:$E$66),'Año 2026'!$J$3:$J$66),"")</f>
        <v/>
      </c>
      <c r="AJ21" s="41" t="str" cm="1">
        <f t="array" ref="AJ21">IFERROR(_xlfn.XLOOKUP(TRIM($E21),TRIM('Año 2026'!$E$3:$E$66),'Año 2026'!$K$3:$K$66),"")</f>
        <v/>
      </c>
      <c r="AK21" s="41" t="str" cm="1">
        <f t="array" ref="AK21">IFERROR(_xlfn.XLOOKUP(TRIM($E21),TRIM('Año 2026'!$E$3:$E$66),'Año 2026'!$L$3:$L$66),"")</f>
        <v/>
      </c>
      <c r="AL21" s="41" t="str" cm="1">
        <f t="array" ref="AL21">IFERROR(_xlfn.XLOOKUP(TRIM($E21),TRIM('Año 2026'!$E$3:$E$66),'Año 2026'!$M$3:$M$66),"")</f>
        <v/>
      </c>
      <c r="AM21" s="41" t="str" cm="1">
        <f t="array" ref="AM21">IFERROR(_xlfn.XLOOKUP(TRIM($E21),TRIM('Año 2026'!$E$3:$E$66),'Año 2026'!$N$3:$N$66),"")</f>
        <v/>
      </c>
      <c r="AN21" s="41" t="str" cm="1">
        <f t="array" ref="AN21">IFERROR(_xlfn.XLOOKUP(TRIM($E21),TRIM('Año 2026'!$E$3:$E$66),'Año 2026'!$O$3:$O$66),"")</f>
        <v/>
      </c>
      <c r="AO21" s="41" t="str" cm="1">
        <f t="array" ref="AO21">IFERROR(_xlfn.XLOOKUP(TRIM($E21),TRIM('Año 2026'!$E$3:$E$66),'Año 2026'!$P$3:$P$66),"")</f>
        <v/>
      </c>
      <c r="AP21" s="41" t="str" cm="1">
        <f t="array" ref="AP21">IFERROR(_xlfn.XLOOKUP(TRIM($E21),TRIM('Año 2026'!$E$3:$E$66),'Año 2026'!$Q$3:$Q$66),"")</f>
        <v/>
      </c>
      <c r="AQ21" s="41" t="str" cm="1">
        <f t="array" ref="AQ21">IFERROR(_xlfn.XLOOKUP(TRIM($E21),TRIM('Año 2026'!$E$3:$E$66),'Año 2026'!$R$3:$R$66),"")</f>
        <v/>
      </c>
      <c r="AR21" s="41" t="str" cm="1">
        <f t="array" ref="AR21">IFERROR(_xlfn.XLOOKUP(TRIM($E21),TRIM('Año 2026'!$E$3:$E$66),'Año 2026'!$S$3:$S$66),"")</f>
        <v/>
      </c>
      <c r="AS21" s="41" t="str" cm="1">
        <f t="array" ref="AS21">IFERROR(_xlfn.XLOOKUP(TRIM($E21),TRIM('Año 2026'!$E$3:$E$66),'Año 2026'!$T$3:$T$66),"")</f>
        <v/>
      </c>
      <c r="AT21" s="41" t="str" cm="1">
        <f t="array" ref="AT21">IFERROR(_xlfn.XLOOKUP(TRIM($E21),TRIM('Año 2026'!$E$3:$E$66),'Año 2026'!$U$3:$U$66),"")</f>
        <v/>
      </c>
      <c r="AU21" s="41" t="str" cm="1">
        <f t="array" ref="AU21">IFERROR(_xlfn.XLOOKUP(TRIM($E21),TRIM('Año 2026'!$E$3:$E$66),'Año 2026'!$V$3:$V$66),"")</f>
        <v/>
      </c>
      <c r="AV21" s="41" t="str" cm="1">
        <f t="array" ref="AV21">IFERROR(_xlfn.XLOOKUP(TRIM($E21),TRIM('Año 2026'!$E$3:$E$66),'Año 2026'!$W$3:$W$66),"")</f>
        <v/>
      </c>
      <c r="AW21" s="41" t="str" cm="1">
        <f t="array" ref="AW21">IFERROR(_xlfn.XLOOKUP(TRIM($E21),TRIM('Año 2026'!$E$3:$E$66),'Año 2026'!$X$3:$X$66),"")</f>
        <v/>
      </c>
      <c r="AX21" s="41" t="str" cm="1">
        <f t="array" ref="AX21">IFERROR(_xlfn.XLOOKUP(TRIM($E21),TRIM('Año 2026'!$E$3:$E$66),'Año 2026'!$Y$3:$Y$66),"")</f>
        <v/>
      </c>
      <c r="AY21" s="41" t="str" cm="1">
        <f t="array" ref="AY21">IFERROR(_xlfn.XLOOKUP(TRIM($E21),TRIM('Año 2026'!$E$3:$E$66),'Año 2026'!$Z$3:$Z$66),"")</f>
        <v/>
      </c>
      <c r="AZ21" s="41" t="str" cm="1">
        <f t="array" ref="AZ21">IFERROR(_xlfn.XLOOKUP(TRIM($E21),TRIM('Año 2026'!$E$3:$E$66),'Año 2026'!$AA$3:$AA$66),"")</f>
        <v/>
      </c>
      <c r="BA21" s="41" t="str" cm="1">
        <f t="array" ref="BA21">IFERROR(_xlfn.XLOOKUP(TRIM($E21),TRIM('Año 2026'!$E$3:$E$66),'Año 2026'!$AB$3:$AB$66),"")</f>
        <v/>
      </c>
      <c r="BB21" s="41" t="str" cm="1">
        <f t="array" ref="BB21">IFERROR(_xlfn.XLOOKUP(TRIM($E21),TRIM('Año 2026'!$E$3:$E$66),'Año 2026'!$AC$3:$AC$66),"")</f>
        <v/>
      </c>
      <c r="BC21" s="41" t="str" cm="1">
        <f t="array" ref="BC21">IFERROR(_xlfn.XLOOKUP(TRIM($E21),TRIM('Año 2026'!$E$3:$E$66),'Año 2026'!$AD$3:$AD$66),"")</f>
        <v/>
      </c>
    </row>
    <row r="22" spans="1:55" s="41" customFormat="1" ht="59.25" customHeight="1" x14ac:dyDescent="0.25">
      <c r="A22" s="48">
        <v>21</v>
      </c>
      <c r="B22" s="51">
        <v>2025</v>
      </c>
      <c r="C22" s="51" t="s">
        <v>137</v>
      </c>
      <c r="D22" s="51" t="s">
        <v>284</v>
      </c>
      <c r="E22" s="51" t="s">
        <v>602</v>
      </c>
      <c r="F22" s="61" t="s">
        <v>431</v>
      </c>
      <c r="G22" s="51" t="s">
        <v>601</v>
      </c>
      <c r="H22" s="111">
        <v>11</v>
      </c>
      <c r="I22" s="51" t="s">
        <v>295</v>
      </c>
      <c r="J22" s="51" t="s">
        <v>599</v>
      </c>
      <c r="K22" s="51" t="s">
        <v>597</v>
      </c>
      <c r="L22" s="51" t="s">
        <v>596</v>
      </c>
      <c r="M22" s="51" t="s">
        <v>596</v>
      </c>
      <c r="N22" s="51" t="s">
        <v>598</v>
      </c>
      <c r="O22" s="51" t="s">
        <v>798</v>
      </c>
      <c r="P22" s="51" t="s">
        <v>360</v>
      </c>
      <c r="Q22" s="51" t="s">
        <v>3224</v>
      </c>
      <c r="R22" s="55" t="s">
        <v>600</v>
      </c>
      <c r="S22" s="51" t="s">
        <v>347</v>
      </c>
      <c r="T22" s="50">
        <v>1</v>
      </c>
      <c r="U22" s="48" t="s">
        <v>595</v>
      </c>
      <c r="V22" s="47">
        <v>45981</v>
      </c>
      <c r="W22" s="45" t="s">
        <v>594</v>
      </c>
      <c r="X22" s="48" t="s">
        <v>356</v>
      </c>
      <c r="Y22" s="56" t="s">
        <v>3288</v>
      </c>
      <c r="Z22" s="62" t="s">
        <v>264</v>
      </c>
      <c r="AA22" s="47">
        <v>46073</v>
      </c>
      <c r="AB22" s="48" t="str">
        <f ca="1">IF(AA22&lt;TODAY(),"VENCIDO","POR VENCER")</f>
        <v>VENCIDO</v>
      </c>
      <c r="AC22" s="47">
        <v>46080</v>
      </c>
      <c r="AD22" s="46" t="s">
        <v>333</v>
      </c>
      <c r="AE22" s="63" t="s">
        <v>593</v>
      </c>
      <c r="AF22" s="41" t="str" cm="1">
        <f t="array" ref="AF22">IFERROR(_xlfn.XLOOKUP(TRIM($E22),TRIM('Año 2026'!$E$3:$E$66),'Año 2026'!$G$3:$G$66),"")</f>
        <v/>
      </c>
      <c r="AG22" s="41" t="str" cm="1">
        <f t="array" ref="AG22">IFERROR(_xlfn.XLOOKUP(TRIM($E22),TRIM('Año 2026'!$E$3:$E$66),'Año 2026'!$H$3:$H$66),"")</f>
        <v/>
      </c>
      <c r="AH22" s="41" t="str" cm="1">
        <f t="array" ref="AH22">IFERROR(_xlfn.XLOOKUP(TRIM($E22),TRIM('Año 2026'!$E$3:$E$66),'Año 2026'!$I$3:$I$66),"")</f>
        <v/>
      </c>
      <c r="AI22" s="41" t="str" cm="1">
        <f t="array" ref="AI22">IFERROR(_xlfn.XLOOKUP(TRIM($E22),TRIM('Año 2026'!$E$3:$E$66),'Año 2026'!$J$3:$J$66),"")</f>
        <v/>
      </c>
      <c r="AJ22" s="41" t="str" cm="1">
        <f t="array" ref="AJ22">IFERROR(_xlfn.XLOOKUP(TRIM($E22),TRIM('Año 2026'!$E$3:$E$66),'Año 2026'!$K$3:$K$66),"")</f>
        <v/>
      </c>
      <c r="AK22" s="41" t="str" cm="1">
        <f t="array" ref="AK22">IFERROR(_xlfn.XLOOKUP(TRIM($E22),TRIM('Año 2026'!$E$3:$E$66),'Año 2026'!$L$3:$L$66),"")</f>
        <v/>
      </c>
      <c r="AL22" s="41" t="str" cm="1">
        <f t="array" ref="AL22">IFERROR(_xlfn.XLOOKUP(TRIM($E22),TRIM('Año 2026'!$E$3:$E$66),'Año 2026'!$M$3:$M$66),"")</f>
        <v/>
      </c>
      <c r="AM22" s="41" t="str" cm="1">
        <f t="array" ref="AM22">IFERROR(_xlfn.XLOOKUP(TRIM($E22),TRIM('Año 2026'!$E$3:$E$66),'Año 2026'!$N$3:$N$66),"")</f>
        <v/>
      </c>
      <c r="AN22" s="41" t="str" cm="1">
        <f t="array" ref="AN22">IFERROR(_xlfn.XLOOKUP(TRIM($E22),TRIM('Año 2026'!$E$3:$E$66),'Año 2026'!$O$3:$O$66),"")</f>
        <v/>
      </c>
      <c r="AO22" s="41" t="str" cm="1">
        <f t="array" ref="AO22">IFERROR(_xlfn.XLOOKUP(TRIM($E22),TRIM('Año 2026'!$E$3:$E$66),'Año 2026'!$P$3:$P$66),"")</f>
        <v/>
      </c>
      <c r="AP22" s="41" t="str" cm="1">
        <f t="array" ref="AP22">IFERROR(_xlfn.XLOOKUP(TRIM($E22),TRIM('Año 2026'!$E$3:$E$66),'Año 2026'!$Q$3:$Q$66),"")</f>
        <v/>
      </c>
      <c r="AQ22" s="41" t="str" cm="1">
        <f t="array" ref="AQ22">IFERROR(_xlfn.XLOOKUP(TRIM($E22),TRIM('Año 2026'!$E$3:$E$66),'Año 2026'!$R$3:$R$66),"")</f>
        <v/>
      </c>
      <c r="AR22" s="41" t="str" cm="1">
        <f t="array" ref="AR22">IFERROR(_xlfn.XLOOKUP(TRIM($E22),TRIM('Año 2026'!$E$3:$E$66),'Año 2026'!$S$3:$S$66),"")</f>
        <v/>
      </c>
      <c r="AS22" s="41" t="str" cm="1">
        <f t="array" ref="AS22">IFERROR(_xlfn.XLOOKUP(TRIM($E22),TRIM('Año 2026'!$E$3:$E$66),'Año 2026'!$T$3:$T$66),"")</f>
        <v/>
      </c>
      <c r="AT22" s="41" t="str" cm="1">
        <f t="array" ref="AT22">IFERROR(_xlfn.XLOOKUP(TRIM($E22),TRIM('Año 2026'!$E$3:$E$66),'Año 2026'!$U$3:$U$66),"")</f>
        <v/>
      </c>
      <c r="AU22" s="41" t="str" cm="1">
        <f t="array" ref="AU22">IFERROR(_xlfn.XLOOKUP(TRIM($E22),TRIM('Año 2026'!$E$3:$E$66),'Año 2026'!$V$3:$V$66),"")</f>
        <v/>
      </c>
      <c r="AV22" s="41" t="str" cm="1">
        <f t="array" ref="AV22">IFERROR(_xlfn.XLOOKUP(TRIM($E22),TRIM('Año 2026'!$E$3:$E$66),'Año 2026'!$W$3:$W$66),"")</f>
        <v/>
      </c>
      <c r="AW22" s="41" t="str" cm="1">
        <f t="array" ref="AW22">IFERROR(_xlfn.XLOOKUP(TRIM($E22),TRIM('Año 2026'!$E$3:$E$66),'Año 2026'!$X$3:$X$66),"")</f>
        <v/>
      </c>
      <c r="AX22" s="41" t="str" cm="1">
        <f t="array" ref="AX22">IFERROR(_xlfn.XLOOKUP(TRIM($E22),TRIM('Año 2026'!$E$3:$E$66),'Año 2026'!$Y$3:$Y$66),"")</f>
        <v/>
      </c>
      <c r="AY22" s="41" t="str" cm="1">
        <f t="array" ref="AY22">IFERROR(_xlfn.XLOOKUP(TRIM($E22),TRIM('Año 2026'!$E$3:$E$66),'Año 2026'!$Z$3:$Z$66),"")</f>
        <v/>
      </c>
      <c r="AZ22" s="41" t="str" cm="1">
        <f t="array" ref="AZ22">IFERROR(_xlfn.XLOOKUP(TRIM($E22),TRIM('Año 2026'!$E$3:$E$66),'Año 2026'!$AA$3:$AA$66),"")</f>
        <v/>
      </c>
      <c r="BA22" s="41" t="str" cm="1">
        <f t="array" ref="BA22">IFERROR(_xlfn.XLOOKUP(TRIM($E22),TRIM('Año 2026'!$E$3:$E$66),'Año 2026'!$AB$3:$AB$66),"")</f>
        <v/>
      </c>
      <c r="BB22" s="41" t="str" cm="1">
        <f t="array" ref="BB22">IFERROR(_xlfn.XLOOKUP(TRIM($E22),TRIM('Año 2026'!$E$3:$E$66),'Año 2026'!$AC$3:$AC$66),"")</f>
        <v/>
      </c>
      <c r="BC22" s="41" t="str" cm="1">
        <f t="array" ref="BC22">IFERROR(_xlfn.XLOOKUP(TRIM($E22),TRIM('Año 2026'!$E$3:$E$66),'Año 2026'!$AD$3:$AD$66),"")</f>
        <v/>
      </c>
    </row>
    <row r="23" spans="1:55" s="41" customFormat="1" ht="97.5" customHeight="1" x14ac:dyDescent="0.25">
      <c r="A23" s="48">
        <v>22</v>
      </c>
      <c r="B23" s="51">
        <v>2025</v>
      </c>
      <c r="C23" s="51" t="s">
        <v>69</v>
      </c>
      <c r="D23" s="51" t="s">
        <v>284</v>
      </c>
      <c r="E23" s="51" t="s">
        <v>520</v>
      </c>
      <c r="F23" s="80" t="s">
        <v>368</v>
      </c>
      <c r="G23" s="51" t="s">
        <v>519</v>
      </c>
      <c r="H23" s="108">
        <v>141</v>
      </c>
      <c r="I23" s="48" t="s">
        <v>295</v>
      </c>
      <c r="J23" s="51" t="s">
        <v>324</v>
      </c>
      <c r="K23" s="51" t="s">
        <v>385</v>
      </c>
      <c r="L23" s="51" t="s">
        <v>385</v>
      </c>
      <c r="M23" s="51" t="s">
        <v>514</v>
      </c>
      <c r="N23" s="51" t="s">
        <v>515</v>
      </c>
      <c r="O23" s="51" t="s">
        <v>798</v>
      </c>
      <c r="P23" s="51" t="s">
        <v>360</v>
      </c>
      <c r="Q23" s="51" t="s">
        <v>513</v>
      </c>
      <c r="R23" s="45" t="s">
        <v>516</v>
      </c>
      <c r="S23" s="51" t="s">
        <v>347</v>
      </c>
      <c r="T23" s="50"/>
      <c r="U23" s="48" t="s">
        <v>512</v>
      </c>
      <c r="V23" s="47">
        <v>45968</v>
      </c>
      <c r="W23" s="45" t="s">
        <v>511</v>
      </c>
      <c r="X23" s="45"/>
      <c r="Y23" s="48" t="s">
        <v>510</v>
      </c>
      <c r="Z23" s="52"/>
      <c r="AA23" s="47">
        <v>46073</v>
      </c>
      <c r="AB23" s="48" t="str">
        <f ca="1">IF(AA23&lt;TODAY(),"VENCIDO","POR VENCER")</f>
        <v>VENCIDO</v>
      </c>
      <c r="AC23" s="47">
        <v>46080</v>
      </c>
      <c r="AD23" s="46" t="s">
        <v>333</v>
      </c>
      <c r="AE23" s="63" t="s">
        <v>509</v>
      </c>
      <c r="AF23" s="41" t="str" cm="1">
        <f t="array" ref="AF23">IFERROR(_xlfn.XLOOKUP(TRIM($E23),TRIM('Año 2026'!$E$3:$E$66),'Año 2026'!$G$3:$G$66),"")</f>
        <v/>
      </c>
      <c r="AG23" s="41" t="str" cm="1">
        <f t="array" ref="AG23">IFERROR(_xlfn.XLOOKUP(TRIM($E23),TRIM('Año 2026'!$E$3:$E$66),'Año 2026'!$H$3:$H$66),"")</f>
        <v/>
      </c>
      <c r="AH23" s="41" t="str" cm="1">
        <f t="array" ref="AH23">IFERROR(_xlfn.XLOOKUP(TRIM($E23),TRIM('Año 2026'!$E$3:$E$66),'Año 2026'!$I$3:$I$66),"")</f>
        <v/>
      </c>
      <c r="AI23" s="41" t="str" cm="1">
        <f t="array" ref="AI23">IFERROR(_xlfn.XLOOKUP(TRIM($E23),TRIM('Año 2026'!$E$3:$E$66),'Año 2026'!$J$3:$J$66),"")</f>
        <v/>
      </c>
      <c r="AJ23" s="41" t="str" cm="1">
        <f t="array" ref="AJ23">IFERROR(_xlfn.XLOOKUP(TRIM($E23),TRIM('Año 2026'!$E$3:$E$66),'Año 2026'!$K$3:$K$66),"")</f>
        <v/>
      </c>
      <c r="AK23" s="41" t="str" cm="1">
        <f t="array" ref="AK23">IFERROR(_xlfn.XLOOKUP(TRIM($E23),TRIM('Año 2026'!$E$3:$E$66),'Año 2026'!$L$3:$L$66),"")</f>
        <v/>
      </c>
      <c r="AL23" s="41" t="str" cm="1">
        <f t="array" ref="AL23">IFERROR(_xlfn.XLOOKUP(TRIM($E23),TRIM('Año 2026'!$E$3:$E$66),'Año 2026'!$M$3:$M$66),"")</f>
        <v/>
      </c>
      <c r="AM23" s="41" t="str" cm="1">
        <f t="array" ref="AM23">IFERROR(_xlfn.XLOOKUP(TRIM($E23),TRIM('Año 2026'!$E$3:$E$66),'Año 2026'!$N$3:$N$66),"")</f>
        <v/>
      </c>
      <c r="AN23" s="41" t="str" cm="1">
        <f t="array" ref="AN23">IFERROR(_xlfn.XLOOKUP(TRIM($E23),TRIM('Año 2026'!$E$3:$E$66),'Año 2026'!$O$3:$O$66),"")</f>
        <v/>
      </c>
      <c r="AO23" s="41" t="str" cm="1">
        <f t="array" ref="AO23">IFERROR(_xlfn.XLOOKUP(TRIM($E23),TRIM('Año 2026'!$E$3:$E$66),'Año 2026'!$P$3:$P$66),"")</f>
        <v/>
      </c>
      <c r="AP23" s="41" t="str" cm="1">
        <f t="array" ref="AP23">IFERROR(_xlfn.XLOOKUP(TRIM($E23),TRIM('Año 2026'!$E$3:$E$66),'Año 2026'!$Q$3:$Q$66),"")</f>
        <v/>
      </c>
      <c r="AQ23" s="41" t="str" cm="1">
        <f t="array" ref="AQ23">IFERROR(_xlfn.XLOOKUP(TRIM($E23),TRIM('Año 2026'!$E$3:$E$66),'Año 2026'!$R$3:$R$66),"")</f>
        <v/>
      </c>
      <c r="AR23" s="41" t="str" cm="1">
        <f t="array" ref="AR23">IFERROR(_xlfn.XLOOKUP(TRIM($E23),TRIM('Año 2026'!$E$3:$E$66),'Año 2026'!$S$3:$S$66),"")</f>
        <v/>
      </c>
      <c r="AS23" s="41" t="str" cm="1">
        <f t="array" ref="AS23">IFERROR(_xlfn.XLOOKUP(TRIM($E23),TRIM('Año 2026'!$E$3:$E$66),'Año 2026'!$T$3:$T$66),"")</f>
        <v/>
      </c>
      <c r="AT23" s="41" t="str" cm="1">
        <f t="array" ref="AT23">IFERROR(_xlfn.XLOOKUP(TRIM($E23),TRIM('Año 2026'!$E$3:$E$66),'Año 2026'!$U$3:$U$66),"")</f>
        <v/>
      </c>
      <c r="AU23" s="41" t="str" cm="1">
        <f t="array" ref="AU23">IFERROR(_xlfn.XLOOKUP(TRIM($E23),TRIM('Año 2026'!$E$3:$E$66),'Año 2026'!$V$3:$V$66),"")</f>
        <v/>
      </c>
      <c r="AV23" s="41" t="str" cm="1">
        <f t="array" ref="AV23">IFERROR(_xlfn.XLOOKUP(TRIM($E23),TRIM('Año 2026'!$E$3:$E$66),'Año 2026'!$W$3:$W$66),"")</f>
        <v/>
      </c>
      <c r="AW23" s="41" t="str" cm="1">
        <f t="array" ref="AW23">IFERROR(_xlfn.XLOOKUP(TRIM($E23),TRIM('Año 2026'!$E$3:$E$66),'Año 2026'!$X$3:$X$66),"")</f>
        <v/>
      </c>
      <c r="AX23" s="41" t="str" cm="1">
        <f t="array" ref="AX23">IFERROR(_xlfn.XLOOKUP(TRIM($E23),TRIM('Año 2026'!$E$3:$E$66),'Año 2026'!$Y$3:$Y$66),"")</f>
        <v/>
      </c>
      <c r="AY23" s="41" t="str" cm="1">
        <f t="array" ref="AY23">IFERROR(_xlfn.XLOOKUP(TRIM($E23),TRIM('Año 2026'!$E$3:$E$66),'Año 2026'!$Z$3:$Z$66),"")</f>
        <v/>
      </c>
      <c r="AZ23" s="41" t="str" cm="1">
        <f t="array" ref="AZ23">IFERROR(_xlfn.XLOOKUP(TRIM($E23),TRIM('Año 2026'!$E$3:$E$66),'Año 2026'!$AA$3:$AA$66),"")</f>
        <v/>
      </c>
      <c r="BA23" s="41" t="str" cm="1">
        <f t="array" ref="BA23">IFERROR(_xlfn.XLOOKUP(TRIM($E23),TRIM('Año 2026'!$E$3:$E$66),'Año 2026'!$AB$3:$AB$66),"")</f>
        <v/>
      </c>
      <c r="BB23" s="41" t="str" cm="1">
        <f t="array" ref="BB23">IFERROR(_xlfn.XLOOKUP(TRIM($E23),TRIM('Año 2026'!$E$3:$E$66),'Año 2026'!$AC$3:$AC$66),"")</f>
        <v/>
      </c>
      <c r="BC23" s="41" t="str" cm="1">
        <f t="array" ref="BC23">IFERROR(_xlfn.XLOOKUP(TRIM($E23),TRIM('Año 2026'!$E$3:$E$66),'Año 2026'!$AD$3:$AD$66),"")</f>
        <v/>
      </c>
    </row>
    <row r="24" spans="1:55" s="41" customFormat="1" ht="96" customHeight="1" x14ac:dyDescent="0.25">
      <c r="A24" s="48">
        <v>23</v>
      </c>
      <c r="B24" s="51">
        <v>2025</v>
      </c>
      <c r="C24" s="51" t="s">
        <v>277</v>
      </c>
      <c r="D24" s="51" t="s">
        <v>353</v>
      </c>
      <c r="E24" s="51" t="s">
        <v>449</v>
      </c>
      <c r="F24" s="61" t="s">
        <v>431</v>
      </c>
      <c r="G24" s="51"/>
      <c r="H24" s="108">
        <v>13</v>
      </c>
      <c r="I24" s="51" t="s">
        <v>295</v>
      </c>
      <c r="J24" s="51" t="s">
        <v>392</v>
      </c>
      <c r="K24" s="51" t="s">
        <v>385</v>
      </c>
      <c r="L24" s="51" t="s">
        <v>385</v>
      </c>
      <c r="M24" s="51" t="s">
        <v>384</v>
      </c>
      <c r="N24" s="51" t="s">
        <v>391</v>
      </c>
      <c r="O24" s="51" t="s">
        <v>798</v>
      </c>
      <c r="P24" s="51" t="s">
        <v>321</v>
      </c>
      <c r="Q24" s="51">
        <v>45</v>
      </c>
      <c r="R24" s="55" t="s">
        <v>448</v>
      </c>
      <c r="S24" s="51" t="s">
        <v>359</v>
      </c>
      <c r="T24" s="50">
        <v>1</v>
      </c>
      <c r="U24" s="48" t="s">
        <v>447</v>
      </c>
      <c r="V24" s="47">
        <v>45818</v>
      </c>
      <c r="W24" s="45" t="s">
        <v>446</v>
      </c>
      <c r="X24" s="45"/>
      <c r="Y24" s="65" t="s">
        <v>3289</v>
      </c>
      <c r="Z24" s="64" t="s">
        <v>264</v>
      </c>
      <c r="AA24" s="47">
        <v>46073</v>
      </c>
      <c r="AB24" s="48" t="str">
        <f ca="1">IF(AA24&lt;TODAY(),"VENCIDO","POR VENCER")</f>
        <v>VENCIDO</v>
      </c>
      <c r="AC24" s="47">
        <v>46136</v>
      </c>
      <c r="AD24" s="46" t="s">
        <v>333</v>
      </c>
      <c r="AE24" s="63" t="s">
        <v>445</v>
      </c>
      <c r="AF24" s="41" t="str" cm="1">
        <f t="array" ref="AF24">IFERROR(_xlfn.XLOOKUP(TRIM($E24),TRIM('Año 2026'!$E$3:$E$66),'Año 2026'!$G$3:$G$66),"")</f>
        <v/>
      </c>
      <c r="AG24" s="41" t="str" cm="1">
        <f t="array" ref="AG24">IFERROR(_xlfn.XLOOKUP(TRIM($E24),TRIM('Año 2026'!$E$3:$E$66),'Año 2026'!$H$3:$H$66),"")</f>
        <v/>
      </c>
      <c r="AH24" s="41" t="str" cm="1">
        <f t="array" ref="AH24">IFERROR(_xlfn.XLOOKUP(TRIM($E24),TRIM('Año 2026'!$E$3:$E$66),'Año 2026'!$I$3:$I$66),"")</f>
        <v/>
      </c>
      <c r="AI24" s="41" t="str" cm="1">
        <f t="array" ref="AI24">IFERROR(_xlfn.XLOOKUP(TRIM($E24),TRIM('Año 2026'!$E$3:$E$66),'Año 2026'!$J$3:$J$66),"")</f>
        <v/>
      </c>
      <c r="AJ24" s="41" t="str" cm="1">
        <f t="array" ref="AJ24">IFERROR(_xlfn.XLOOKUP(TRIM($E24),TRIM('Año 2026'!$E$3:$E$66),'Año 2026'!$K$3:$K$66),"")</f>
        <v/>
      </c>
      <c r="AK24" s="41" t="str" cm="1">
        <f t="array" ref="AK24">IFERROR(_xlfn.XLOOKUP(TRIM($E24),TRIM('Año 2026'!$E$3:$E$66),'Año 2026'!$L$3:$L$66),"")</f>
        <v/>
      </c>
      <c r="AL24" s="41" t="str" cm="1">
        <f t="array" ref="AL24">IFERROR(_xlfn.XLOOKUP(TRIM($E24),TRIM('Año 2026'!$E$3:$E$66),'Año 2026'!$M$3:$M$66),"")</f>
        <v/>
      </c>
      <c r="AM24" s="41" t="str" cm="1">
        <f t="array" ref="AM24">IFERROR(_xlfn.XLOOKUP(TRIM($E24),TRIM('Año 2026'!$E$3:$E$66),'Año 2026'!$N$3:$N$66),"")</f>
        <v/>
      </c>
      <c r="AN24" s="41" t="str" cm="1">
        <f t="array" ref="AN24">IFERROR(_xlfn.XLOOKUP(TRIM($E24),TRIM('Año 2026'!$E$3:$E$66),'Año 2026'!$O$3:$O$66),"")</f>
        <v/>
      </c>
      <c r="AO24" s="41" t="str" cm="1">
        <f t="array" ref="AO24">IFERROR(_xlfn.XLOOKUP(TRIM($E24),TRIM('Año 2026'!$E$3:$E$66),'Año 2026'!$P$3:$P$66),"")</f>
        <v/>
      </c>
      <c r="AP24" s="41" t="str" cm="1">
        <f t="array" ref="AP24">IFERROR(_xlfn.XLOOKUP(TRIM($E24),TRIM('Año 2026'!$E$3:$E$66),'Año 2026'!$Q$3:$Q$66),"")</f>
        <v/>
      </c>
      <c r="AQ24" s="41" t="str" cm="1">
        <f t="array" ref="AQ24">IFERROR(_xlfn.XLOOKUP(TRIM($E24),TRIM('Año 2026'!$E$3:$E$66),'Año 2026'!$R$3:$R$66),"")</f>
        <v/>
      </c>
      <c r="AR24" s="41" t="str" cm="1">
        <f t="array" ref="AR24">IFERROR(_xlfn.XLOOKUP(TRIM($E24),TRIM('Año 2026'!$E$3:$E$66),'Año 2026'!$S$3:$S$66),"")</f>
        <v/>
      </c>
      <c r="AS24" s="41" t="str" cm="1">
        <f t="array" ref="AS24">IFERROR(_xlfn.XLOOKUP(TRIM($E24),TRIM('Año 2026'!$E$3:$E$66),'Año 2026'!$T$3:$T$66),"")</f>
        <v/>
      </c>
      <c r="AT24" s="41" t="str" cm="1">
        <f t="array" ref="AT24">IFERROR(_xlfn.XLOOKUP(TRIM($E24),TRIM('Año 2026'!$E$3:$E$66),'Año 2026'!$U$3:$U$66),"")</f>
        <v/>
      </c>
      <c r="AU24" s="41" t="str" cm="1">
        <f t="array" ref="AU24">IFERROR(_xlfn.XLOOKUP(TRIM($E24),TRIM('Año 2026'!$E$3:$E$66),'Año 2026'!$V$3:$V$66),"")</f>
        <v/>
      </c>
      <c r="AV24" s="41" t="str" cm="1">
        <f t="array" ref="AV24">IFERROR(_xlfn.XLOOKUP(TRIM($E24),TRIM('Año 2026'!$E$3:$E$66),'Año 2026'!$W$3:$W$66),"")</f>
        <v/>
      </c>
      <c r="AW24" s="41" t="str" cm="1">
        <f t="array" ref="AW24">IFERROR(_xlfn.XLOOKUP(TRIM($E24),TRIM('Año 2026'!$E$3:$E$66),'Año 2026'!$X$3:$X$66),"")</f>
        <v/>
      </c>
      <c r="AX24" s="41" t="str" cm="1">
        <f t="array" ref="AX24">IFERROR(_xlfn.XLOOKUP(TRIM($E24),TRIM('Año 2026'!$E$3:$E$66),'Año 2026'!$Y$3:$Y$66),"")</f>
        <v/>
      </c>
      <c r="AY24" s="41" t="str" cm="1">
        <f t="array" ref="AY24">IFERROR(_xlfn.XLOOKUP(TRIM($E24),TRIM('Año 2026'!$E$3:$E$66),'Año 2026'!$Z$3:$Z$66),"")</f>
        <v/>
      </c>
      <c r="AZ24" s="41" t="str" cm="1">
        <f t="array" ref="AZ24">IFERROR(_xlfn.XLOOKUP(TRIM($E24),TRIM('Año 2026'!$E$3:$E$66),'Año 2026'!$AA$3:$AA$66),"")</f>
        <v/>
      </c>
      <c r="BA24" s="41" t="str" cm="1">
        <f t="array" ref="BA24">IFERROR(_xlfn.XLOOKUP(TRIM($E24),TRIM('Año 2026'!$E$3:$E$66),'Año 2026'!$AB$3:$AB$66),"")</f>
        <v/>
      </c>
      <c r="BB24" s="41" t="str" cm="1">
        <f t="array" ref="BB24">IFERROR(_xlfn.XLOOKUP(TRIM($E24),TRIM('Año 2026'!$E$3:$E$66),'Año 2026'!$AC$3:$AC$66),"")</f>
        <v/>
      </c>
      <c r="BC24" s="41" t="str" cm="1">
        <f t="array" ref="BC24">IFERROR(_xlfn.XLOOKUP(TRIM($E24),TRIM('Año 2026'!$E$3:$E$66),'Año 2026'!$AD$3:$AD$66),"")</f>
        <v/>
      </c>
    </row>
    <row r="25" spans="1:55" s="41" customFormat="1" ht="93" customHeight="1" x14ac:dyDescent="0.25">
      <c r="A25" s="48">
        <v>24</v>
      </c>
      <c r="B25" s="51">
        <v>2025</v>
      </c>
      <c r="C25" s="51" t="s">
        <v>277</v>
      </c>
      <c r="D25" s="51" t="s">
        <v>353</v>
      </c>
      <c r="E25" s="51" t="s">
        <v>425</v>
      </c>
      <c r="F25" s="61" t="s">
        <v>424</v>
      </c>
      <c r="G25" s="51"/>
      <c r="H25" s="108">
        <v>36</v>
      </c>
      <c r="I25" s="51" t="s">
        <v>266</v>
      </c>
      <c r="J25" s="51" t="s">
        <v>324</v>
      </c>
      <c r="K25" s="51" t="s">
        <v>420</v>
      </c>
      <c r="L25" s="51" t="s">
        <v>420</v>
      </c>
      <c r="M25" s="51" t="s">
        <v>420</v>
      </c>
      <c r="N25" s="51" t="s">
        <v>421</v>
      </c>
      <c r="O25" s="51" t="s">
        <v>798</v>
      </c>
      <c r="P25" s="51" t="s">
        <v>419</v>
      </c>
      <c r="Q25" s="51">
        <v>34</v>
      </c>
      <c r="R25" s="55" t="s">
        <v>422</v>
      </c>
      <c r="S25" s="51" t="s">
        <v>359</v>
      </c>
      <c r="T25" s="50"/>
      <c r="U25" s="48"/>
      <c r="V25" s="47"/>
      <c r="W25" s="45" t="s">
        <v>418</v>
      </c>
      <c r="X25" s="45"/>
      <c r="Y25" s="52" t="s">
        <v>388</v>
      </c>
      <c r="Z25" s="52"/>
      <c r="AA25" s="47"/>
      <c r="AB25" s="48" t="s">
        <v>317</v>
      </c>
      <c r="AC25" s="47"/>
      <c r="AD25" s="46" t="s">
        <v>309</v>
      </c>
      <c r="AE25" s="48" t="s">
        <v>316</v>
      </c>
      <c r="AF25" s="41" t="str" cm="1">
        <f t="array" ref="AF25">IFERROR(_xlfn.XLOOKUP(TRIM($E25),TRIM('Año 2026'!$E$3:$E$66),'Año 2026'!$G$3:$G$66),"")</f>
        <v/>
      </c>
      <c r="AG25" s="41" t="str" cm="1">
        <f t="array" ref="AG25">IFERROR(_xlfn.XLOOKUP(TRIM($E25),TRIM('Año 2026'!$E$3:$E$66),'Año 2026'!$H$3:$H$66),"")</f>
        <v/>
      </c>
      <c r="AH25" s="41" t="str" cm="1">
        <f t="array" ref="AH25">IFERROR(_xlfn.XLOOKUP(TRIM($E25),TRIM('Año 2026'!$E$3:$E$66),'Año 2026'!$I$3:$I$66),"")</f>
        <v/>
      </c>
      <c r="AI25" s="41" t="str" cm="1">
        <f t="array" ref="AI25">IFERROR(_xlfn.XLOOKUP(TRIM($E25),TRIM('Año 2026'!$E$3:$E$66),'Año 2026'!$J$3:$J$66),"")</f>
        <v/>
      </c>
      <c r="AJ25" s="41" t="str" cm="1">
        <f t="array" ref="AJ25">IFERROR(_xlfn.XLOOKUP(TRIM($E25),TRIM('Año 2026'!$E$3:$E$66),'Año 2026'!$K$3:$K$66),"")</f>
        <v/>
      </c>
      <c r="AK25" s="41" t="str" cm="1">
        <f t="array" ref="AK25">IFERROR(_xlfn.XLOOKUP(TRIM($E25),TRIM('Año 2026'!$E$3:$E$66),'Año 2026'!$L$3:$L$66),"")</f>
        <v/>
      </c>
      <c r="AL25" s="41" t="str" cm="1">
        <f t="array" ref="AL25">IFERROR(_xlfn.XLOOKUP(TRIM($E25),TRIM('Año 2026'!$E$3:$E$66),'Año 2026'!$M$3:$M$66),"")</f>
        <v/>
      </c>
      <c r="AM25" s="41" t="str" cm="1">
        <f t="array" ref="AM25">IFERROR(_xlfn.XLOOKUP(TRIM($E25),TRIM('Año 2026'!$E$3:$E$66),'Año 2026'!$N$3:$N$66),"")</f>
        <v/>
      </c>
      <c r="AN25" s="41" t="str" cm="1">
        <f t="array" ref="AN25">IFERROR(_xlfn.XLOOKUP(TRIM($E25),TRIM('Año 2026'!$E$3:$E$66),'Año 2026'!$O$3:$O$66),"")</f>
        <v/>
      </c>
      <c r="AO25" s="41" t="str" cm="1">
        <f t="array" ref="AO25">IFERROR(_xlfn.XLOOKUP(TRIM($E25),TRIM('Año 2026'!$E$3:$E$66),'Año 2026'!$P$3:$P$66),"")</f>
        <v/>
      </c>
      <c r="AP25" s="41" t="str" cm="1">
        <f t="array" ref="AP25">IFERROR(_xlfn.XLOOKUP(TRIM($E25),TRIM('Año 2026'!$E$3:$E$66),'Año 2026'!$Q$3:$Q$66),"")</f>
        <v/>
      </c>
      <c r="AQ25" s="41" t="str" cm="1">
        <f t="array" ref="AQ25">IFERROR(_xlfn.XLOOKUP(TRIM($E25),TRIM('Año 2026'!$E$3:$E$66),'Año 2026'!$R$3:$R$66),"")</f>
        <v/>
      </c>
      <c r="AR25" s="41" t="str" cm="1">
        <f t="array" ref="AR25">IFERROR(_xlfn.XLOOKUP(TRIM($E25),TRIM('Año 2026'!$E$3:$E$66),'Año 2026'!$S$3:$S$66),"")</f>
        <v/>
      </c>
      <c r="AS25" s="41" t="str" cm="1">
        <f t="array" ref="AS25">IFERROR(_xlfn.XLOOKUP(TRIM($E25),TRIM('Año 2026'!$E$3:$E$66),'Año 2026'!$T$3:$T$66),"")</f>
        <v/>
      </c>
      <c r="AT25" s="41" t="str" cm="1">
        <f t="array" ref="AT25">IFERROR(_xlfn.XLOOKUP(TRIM($E25),TRIM('Año 2026'!$E$3:$E$66),'Año 2026'!$U$3:$U$66),"")</f>
        <v/>
      </c>
      <c r="AU25" s="41" t="str" cm="1">
        <f t="array" ref="AU25">IFERROR(_xlfn.XLOOKUP(TRIM($E25),TRIM('Año 2026'!$E$3:$E$66),'Año 2026'!$V$3:$V$66),"")</f>
        <v/>
      </c>
      <c r="AV25" s="41" t="str" cm="1">
        <f t="array" ref="AV25">IFERROR(_xlfn.XLOOKUP(TRIM($E25),TRIM('Año 2026'!$E$3:$E$66),'Año 2026'!$W$3:$W$66),"")</f>
        <v/>
      </c>
      <c r="AW25" s="41" t="str" cm="1">
        <f t="array" ref="AW25">IFERROR(_xlfn.XLOOKUP(TRIM($E25),TRIM('Año 2026'!$E$3:$E$66),'Año 2026'!$X$3:$X$66),"")</f>
        <v/>
      </c>
      <c r="AX25" s="41" t="str" cm="1">
        <f t="array" ref="AX25">IFERROR(_xlfn.XLOOKUP(TRIM($E25),TRIM('Año 2026'!$E$3:$E$66),'Año 2026'!$Y$3:$Y$66),"")</f>
        <v/>
      </c>
      <c r="AY25" s="41" t="str" cm="1">
        <f t="array" ref="AY25">IFERROR(_xlfn.XLOOKUP(TRIM($E25),TRIM('Año 2026'!$E$3:$E$66),'Año 2026'!$Z$3:$Z$66),"")</f>
        <v/>
      </c>
      <c r="AZ25" s="41" t="str" cm="1">
        <f t="array" ref="AZ25">IFERROR(_xlfn.XLOOKUP(TRIM($E25),TRIM('Año 2026'!$E$3:$E$66),'Año 2026'!$AA$3:$AA$66),"")</f>
        <v/>
      </c>
      <c r="BA25" s="41" t="str" cm="1">
        <f t="array" ref="BA25">IFERROR(_xlfn.XLOOKUP(TRIM($E25),TRIM('Año 2026'!$E$3:$E$66),'Año 2026'!$AB$3:$AB$66),"")</f>
        <v/>
      </c>
      <c r="BB25" s="41" t="str" cm="1">
        <f t="array" ref="BB25">IFERROR(_xlfn.XLOOKUP(TRIM($E25),TRIM('Año 2026'!$E$3:$E$66),'Año 2026'!$AC$3:$AC$66),"")</f>
        <v/>
      </c>
      <c r="BC25" s="41" t="str" cm="1">
        <f t="array" ref="BC25">IFERROR(_xlfn.XLOOKUP(TRIM($E25),TRIM('Año 2026'!$E$3:$E$66),'Año 2026'!$AD$3:$AD$66),"")</f>
        <v/>
      </c>
    </row>
    <row r="26" spans="1:55" s="41" customFormat="1" ht="53.25" customHeight="1" x14ac:dyDescent="0.25">
      <c r="A26" s="48">
        <v>25</v>
      </c>
      <c r="B26" s="51">
        <v>2025</v>
      </c>
      <c r="C26" s="51" t="s">
        <v>277</v>
      </c>
      <c r="D26" s="51" t="s">
        <v>353</v>
      </c>
      <c r="E26" s="54" t="s">
        <v>118</v>
      </c>
      <c r="F26" s="53" t="s">
        <v>269</v>
      </c>
      <c r="G26" s="51"/>
      <c r="H26" s="108">
        <v>13</v>
      </c>
      <c r="I26" s="51" t="s">
        <v>295</v>
      </c>
      <c r="J26" s="51" t="s">
        <v>392</v>
      </c>
      <c r="K26" s="51" t="s">
        <v>385</v>
      </c>
      <c r="L26" s="51" t="s">
        <v>385</v>
      </c>
      <c r="M26" s="51" t="s">
        <v>384</v>
      </c>
      <c r="N26" s="51" t="s">
        <v>391</v>
      </c>
      <c r="O26" s="51" t="s">
        <v>798</v>
      </c>
      <c r="P26" s="51" t="s">
        <v>360</v>
      </c>
      <c r="Q26" s="51" t="s">
        <v>383</v>
      </c>
      <c r="R26" s="55" t="s">
        <v>393</v>
      </c>
      <c r="S26" s="51" t="s">
        <v>372</v>
      </c>
      <c r="T26" s="50"/>
      <c r="U26" s="48" t="s">
        <v>390</v>
      </c>
      <c r="V26" s="47">
        <v>45834</v>
      </c>
      <c r="W26" s="45" t="s">
        <v>389</v>
      </c>
      <c r="X26" s="45"/>
      <c r="Y26" s="52" t="s">
        <v>388</v>
      </c>
      <c r="Z26" s="52"/>
      <c r="AA26" s="47"/>
      <c r="AB26" s="48" t="s">
        <v>317</v>
      </c>
      <c r="AC26" s="47"/>
      <c r="AD26" s="46" t="s">
        <v>309</v>
      </c>
      <c r="AE26" s="48" t="s">
        <v>316</v>
      </c>
      <c r="AF26" s="41" cm="1">
        <f t="array" ref="AF26">IFERROR(_xlfn.XLOOKUP(TRIM($E26),TRIM('Año 2026'!$E$3:$E$66),'Año 2026'!$G$3:$G$66),"")</f>
        <v>0</v>
      </c>
      <c r="AG26" s="41" cm="1">
        <f t="array" ref="AG26">IFERROR(_xlfn.XLOOKUP(TRIM($E26),TRIM('Año 2026'!$E$3:$E$66),'Año 2026'!$H$3:$H$66),"")</f>
        <v>0</v>
      </c>
      <c r="AH26" s="41" cm="1">
        <f t="array" ref="AH26">IFERROR(_xlfn.XLOOKUP(TRIM($E26),TRIM('Año 2026'!$E$3:$E$66),'Año 2026'!$I$3:$I$66),"")</f>
        <v>0</v>
      </c>
      <c r="AI26" s="41" cm="1">
        <f t="array" ref="AI26">IFERROR(_xlfn.XLOOKUP(TRIM($E26),TRIM('Año 2026'!$E$3:$E$66),'Año 2026'!$J$3:$J$66),"")</f>
        <v>0</v>
      </c>
      <c r="AJ26" s="41" cm="1">
        <f t="array" aca="1" ref="AJ26" ca="1">IFERROR(_xlfn.XLOOKUP(TRIM($E26),TRIM('Año 2026'!$E$3:$E$66),'Año 2026'!$K$3:$K$66),"")</f>
        <v>-46192</v>
      </c>
      <c r="AK26" s="41" t="str" cm="1">
        <f t="array" aca="1" ref="AK26" ca="1">IFERROR(_xlfn.XLOOKUP(TRIM($E26),TRIM('Año 2026'!$E$3:$E$66),'Año 2026'!$L$3:$L$66),"")</f>
        <v>🚨 VENCIDO</v>
      </c>
      <c r="AL26" s="41" t="str" cm="1">
        <f t="array" aca="1" ref="AL26" ca="1">IFERROR(_xlfn.XLOOKUP(TRIM($E26),TRIM('Año 2026'!$E$3:$E$66),'Año 2026'!$M$3:$M$66),"")</f>
        <v>❌ Vencido por 46192 días</v>
      </c>
      <c r="AM26" s="41" cm="1">
        <f t="array" ref="AM26">IFERROR(_xlfn.XLOOKUP(TRIM($E26),TRIM('Año 2026'!$E$3:$E$66),'Año 2026'!$N$3:$N$66),"")</f>
        <v>0</v>
      </c>
      <c r="AN26" s="41" cm="1">
        <f t="array" ref="AN26">IFERROR(_xlfn.XLOOKUP(TRIM($E26),TRIM('Año 2026'!$E$3:$E$66),'Año 2026'!$O$3:$O$66),"")</f>
        <v>0</v>
      </c>
      <c r="AO26" s="41" cm="1">
        <f t="array" ref="AO26">IFERROR(_xlfn.XLOOKUP(TRIM($E26),TRIM('Año 2026'!$E$3:$E$66),'Año 2026'!$P$3:$P$66),"")</f>
        <v>0</v>
      </c>
      <c r="AP26" s="41" cm="1">
        <f t="array" ref="AP26">IFERROR(_xlfn.XLOOKUP(TRIM($E26),TRIM('Año 2026'!$E$3:$E$66),'Año 2026'!$Q$3:$Q$66),"")</f>
        <v>0</v>
      </c>
      <c r="AQ26" s="41" cm="1">
        <f t="array" ref="AQ26">IFERROR(_xlfn.XLOOKUP(TRIM($E26),TRIM('Año 2026'!$E$3:$E$66),'Año 2026'!$R$3:$R$66),"")</f>
        <v>0</v>
      </c>
      <c r="AR26" s="41" cm="1">
        <f t="array" ref="AR26">IFERROR(_xlfn.XLOOKUP(TRIM($E26),TRIM('Año 2026'!$E$3:$E$66),'Año 2026'!$S$3:$S$66),"")</f>
        <v>0</v>
      </c>
      <c r="AS26" s="41" cm="1">
        <f t="array" ref="AS26">IFERROR(_xlfn.XLOOKUP(TRIM($E26),TRIM('Año 2026'!$E$3:$E$66),'Año 2026'!$T$3:$T$66),"")</f>
        <v>0</v>
      </c>
      <c r="AT26" s="41" cm="1">
        <f t="array" ref="AT26">IFERROR(_xlfn.XLOOKUP(TRIM($E26),TRIM('Año 2026'!$E$3:$E$66),'Año 2026'!$U$3:$U$66),"")</f>
        <v>0</v>
      </c>
      <c r="AU26" s="41" cm="1">
        <f t="array" ref="AU26">IFERROR(_xlfn.XLOOKUP(TRIM($E26),TRIM('Año 2026'!$E$3:$E$66),'Año 2026'!$V$3:$V$66),"")</f>
        <v>0</v>
      </c>
      <c r="AV26" s="41" cm="1">
        <f t="array" ref="AV26">IFERROR(_xlfn.XLOOKUP(TRIM($E26),TRIM('Año 2026'!$E$3:$E$66),'Año 2026'!$W$3:$W$66),"")</f>
        <v>0</v>
      </c>
      <c r="AW26" s="41" cm="1">
        <f t="array" ref="AW26">IFERROR(_xlfn.XLOOKUP(TRIM($E26),TRIM('Año 2026'!$E$3:$E$66),'Año 2026'!$X$3:$X$66),"")</f>
        <v>0</v>
      </c>
      <c r="AX26" s="41" cm="1">
        <f t="array" ref="AX26">IFERROR(_xlfn.XLOOKUP(TRIM($E26),TRIM('Año 2026'!$E$3:$E$66),'Año 2026'!$Y$3:$Y$66),"")</f>
        <v>0</v>
      </c>
      <c r="AY26" s="41" cm="1">
        <f t="array" ref="AY26">IFERROR(_xlfn.XLOOKUP(TRIM($E26),TRIM('Año 2026'!$E$3:$E$66),'Año 2026'!$Z$3:$Z$66),"")</f>
        <v>0</v>
      </c>
      <c r="AZ26" s="41" cm="1">
        <f t="array" ref="AZ26">IFERROR(_xlfn.XLOOKUP(TRIM($E26),TRIM('Año 2026'!$E$3:$E$66),'Año 2026'!$AA$3:$AA$66),"")</f>
        <v>0</v>
      </c>
      <c r="BA26" s="41" cm="1">
        <f t="array" ref="BA26">IFERROR(_xlfn.XLOOKUP(TRIM($E26),TRIM('Año 2026'!$E$3:$E$66),'Año 2026'!$AB$3:$AB$66),"")</f>
        <v>0</v>
      </c>
      <c r="BB26" s="41" cm="1">
        <f t="array" ref="BB26">IFERROR(_xlfn.XLOOKUP(TRIM($E26),TRIM('Año 2026'!$E$3:$E$66),'Año 2026'!$AC$3:$AC$66),"")</f>
        <v>0</v>
      </c>
      <c r="BC26" s="41" cm="1">
        <f t="array" ref="BC26">IFERROR(_xlfn.XLOOKUP(TRIM($E26),TRIM('Año 2026'!$E$3:$E$66),'Año 2026'!$AD$3:$AD$66),"")</f>
        <v>0</v>
      </c>
    </row>
    <row r="27" spans="1:55" s="41" customFormat="1" ht="134.25" customHeight="1" x14ac:dyDescent="0.25">
      <c r="A27" s="48">
        <v>26</v>
      </c>
      <c r="B27" s="51">
        <v>2025</v>
      </c>
      <c r="C27" s="51" t="s">
        <v>277</v>
      </c>
      <c r="D27" s="51" t="s">
        <v>353</v>
      </c>
      <c r="E27" s="51" t="s">
        <v>369</v>
      </c>
      <c r="F27" s="53" t="s">
        <v>368</v>
      </c>
      <c r="G27" s="51" t="s">
        <v>367</v>
      </c>
      <c r="H27" s="108">
        <v>13</v>
      </c>
      <c r="I27" s="51" t="s">
        <v>295</v>
      </c>
      <c r="J27" s="51" t="s">
        <v>365</v>
      </c>
      <c r="K27" s="51" t="s">
        <v>363</v>
      </c>
      <c r="L27" s="51" t="s">
        <v>362</v>
      </c>
      <c r="M27" s="51" t="s">
        <v>361</v>
      </c>
      <c r="N27" s="51" t="s">
        <v>364</v>
      </c>
      <c r="O27" s="51" t="s">
        <v>798</v>
      </c>
      <c r="P27" s="51" t="s">
        <v>360</v>
      </c>
      <c r="Q27" s="51">
        <v>19</v>
      </c>
      <c r="R27" s="55" t="s">
        <v>366</v>
      </c>
      <c r="S27" s="51" t="s">
        <v>359</v>
      </c>
      <c r="T27" s="50"/>
      <c r="U27" s="48" t="s">
        <v>358</v>
      </c>
      <c r="V27" s="47">
        <v>46002</v>
      </c>
      <c r="W27" s="45" t="s">
        <v>357</v>
      </c>
      <c r="X27" s="48" t="s">
        <v>356</v>
      </c>
      <c r="Y27" s="52" t="s">
        <v>355</v>
      </c>
      <c r="Z27" s="52"/>
      <c r="AA27" s="47"/>
      <c r="AB27" s="48" t="s">
        <v>317</v>
      </c>
      <c r="AC27" s="47"/>
      <c r="AD27" s="46" t="s">
        <v>333</v>
      </c>
      <c r="AE27" s="48" t="s">
        <v>354</v>
      </c>
      <c r="AF27" s="41" t="str" cm="1">
        <f t="array" ref="AF27">IFERROR(_xlfn.XLOOKUP(TRIM($E27),TRIM('Año 2026'!$E$3:$E$66),'Año 2026'!$G$3:$G$66),"")</f>
        <v/>
      </c>
      <c r="AG27" s="41" t="str" cm="1">
        <f t="array" ref="AG27">IFERROR(_xlfn.XLOOKUP(TRIM($E27),TRIM('Año 2026'!$E$3:$E$66),'Año 2026'!$H$3:$H$66),"")</f>
        <v/>
      </c>
      <c r="AH27" s="41" t="str" cm="1">
        <f t="array" ref="AH27">IFERROR(_xlfn.XLOOKUP(TRIM($E27),TRIM('Año 2026'!$E$3:$E$66),'Año 2026'!$I$3:$I$66),"")</f>
        <v/>
      </c>
      <c r="AI27" s="41" t="str" cm="1">
        <f t="array" ref="AI27">IFERROR(_xlfn.XLOOKUP(TRIM($E27),TRIM('Año 2026'!$E$3:$E$66),'Año 2026'!$J$3:$J$66),"")</f>
        <v/>
      </c>
      <c r="AJ27" s="41" t="str" cm="1">
        <f t="array" ref="AJ27">IFERROR(_xlfn.XLOOKUP(TRIM($E27),TRIM('Año 2026'!$E$3:$E$66),'Año 2026'!$K$3:$K$66),"")</f>
        <v/>
      </c>
      <c r="AK27" s="41" t="str" cm="1">
        <f t="array" ref="AK27">IFERROR(_xlfn.XLOOKUP(TRIM($E27),TRIM('Año 2026'!$E$3:$E$66),'Año 2026'!$L$3:$L$66),"")</f>
        <v/>
      </c>
      <c r="AL27" s="41" t="str" cm="1">
        <f t="array" ref="AL27">IFERROR(_xlfn.XLOOKUP(TRIM($E27),TRIM('Año 2026'!$E$3:$E$66),'Año 2026'!$M$3:$M$66),"")</f>
        <v/>
      </c>
      <c r="AM27" s="41" t="str" cm="1">
        <f t="array" ref="AM27">IFERROR(_xlfn.XLOOKUP(TRIM($E27),TRIM('Año 2026'!$E$3:$E$66),'Año 2026'!$N$3:$N$66),"")</f>
        <v/>
      </c>
      <c r="AN27" s="41" t="str" cm="1">
        <f t="array" ref="AN27">IFERROR(_xlfn.XLOOKUP(TRIM($E27),TRIM('Año 2026'!$E$3:$E$66),'Año 2026'!$O$3:$O$66),"")</f>
        <v/>
      </c>
      <c r="AO27" s="41" t="str" cm="1">
        <f t="array" ref="AO27">IFERROR(_xlfn.XLOOKUP(TRIM($E27),TRIM('Año 2026'!$E$3:$E$66),'Año 2026'!$P$3:$P$66),"")</f>
        <v/>
      </c>
      <c r="AP27" s="41" t="str" cm="1">
        <f t="array" ref="AP27">IFERROR(_xlfn.XLOOKUP(TRIM($E27),TRIM('Año 2026'!$E$3:$E$66),'Año 2026'!$Q$3:$Q$66),"")</f>
        <v/>
      </c>
      <c r="AQ27" s="41" t="str" cm="1">
        <f t="array" ref="AQ27">IFERROR(_xlfn.XLOOKUP(TRIM($E27),TRIM('Año 2026'!$E$3:$E$66),'Año 2026'!$R$3:$R$66),"")</f>
        <v/>
      </c>
      <c r="AR27" s="41" t="str" cm="1">
        <f t="array" ref="AR27">IFERROR(_xlfn.XLOOKUP(TRIM($E27),TRIM('Año 2026'!$E$3:$E$66),'Año 2026'!$S$3:$S$66),"")</f>
        <v/>
      </c>
      <c r="AS27" s="41" t="str" cm="1">
        <f t="array" ref="AS27">IFERROR(_xlfn.XLOOKUP(TRIM($E27),TRIM('Año 2026'!$E$3:$E$66),'Año 2026'!$T$3:$T$66),"")</f>
        <v/>
      </c>
      <c r="AT27" s="41" t="str" cm="1">
        <f t="array" ref="AT27">IFERROR(_xlfn.XLOOKUP(TRIM($E27),TRIM('Año 2026'!$E$3:$E$66),'Año 2026'!$U$3:$U$66),"")</f>
        <v/>
      </c>
      <c r="AU27" s="41" t="str" cm="1">
        <f t="array" ref="AU27">IFERROR(_xlfn.XLOOKUP(TRIM($E27),TRIM('Año 2026'!$E$3:$E$66),'Año 2026'!$V$3:$V$66),"")</f>
        <v/>
      </c>
      <c r="AV27" s="41" t="str" cm="1">
        <f t="array" ref="AV27">IFERROR(_xlfn.XLOOKUP(TRIM($E27),TRIM('Año 2026'!$E$3:$E$66),'Año 2026'!$W$3:$W$66),"")</f>
        <v/>
      </c>
      <c r="AW27" s="41" t="str" cm="1">
        <f t="array" ref="AW27">IFERROR(_xlfn.XLOOKUP(TRIM($E27),TRIM('Año 2026'!$E$3:$E$66),'Año 2026'!$X$3:$X$66),"")</f>
        <v/>
      </c>
      <c r="AX27" s="41" t="str" cm="1">
        <f t="array" ref="AX27">IFERROR(_xlfn.XLOOKUP(TRIM($E27),TRIM('Año 2026'!$E$3:$E$66),'Año 2026'!$Y$3:$Y$66),"")</f>
        <v/>
      </c>
      <c r="AY27" s="41" t="str" cm="1">
        <f t="array" ref="AY27">IFERROR(_xlfn.XLOOKUP(TRIM($E27),TRIM('Año 2026'!$E$3:$E$66),'Año 2026'!$Z$3:$Z$66),"")</f>
        <v/>
      </c>
      <c r="AZ27" s="41" t="str" cm="1">
        <f t="array" ref="AZ27">IFERROR(_xlfn.XLOOKUP(TRIM($E27),TRIM('Año 2026'!$E$3:$E$66),'Año 2026'!$AA$3:$AA$66),"")</f>
        <v/>
      </c>
      <c r="BA27" s="41" t="str" cm="1">
        <f t="array" ref="BA27">IFERROR(_xlfn.XLOOKUP(TRIM($E27),TRIM('Año 2026'!$E$3:$E$66),'Año 2026'!$AB$3:$AB$66),"")</f>
        <v/>
      </c>
      <c r="BB27" s="41" t="str" cm="1">
        <f t="array" ref="BB27">IFERROR(_xlfn.XLOOKUP(TRIM($E27),TRIM('Año 2026'!$E$3:$E$66),'Año 2026'!$AC$3:$AC$66),"")</f>
        <v/>
      </c>
      <c r="BC27" s="41" t="str" cm="1">
        <f t="array" ref="BC27">IFERROR(_xlfn.XLOOKUP(TRIM($E27),TRIM('Año 2026'!$E$3:$E$66),'Año 2026'!$AD$3:$AD$66),"")</f>
        <v/>
      </c>
    </row>
    <row r="28" spans="1:55" s="41" customFormat="1" ht="94.5" customHeight="1" x14ac:dyDescent="0.25">
      <c r="A28" s="48">
        <v>27</v>
      </c>
      <c r="B28" s="51">
        <v>2025</v>
      </c>
      <c r="C28" s="51" t="s">
        <v>69</v>
      </c>
      <c r="D28" s="51" t="s">
        <v>284</v>
      </c>
      <c r="E28" s="51" t="s">
        <v>186</v>
      </c>
      <c r="F28" s="53" t="s">
        <v>269</v>
      </c>
      <c r="G28" s="51" t="s">
        <v>187</v>
      </c>
      <c r="H28" s="108">
        <v>11</v>
      </c>
      <c r="I28" s="51" t="s">
        <v>295</v>
      </c>
      <c r="J28" s="51" t="s">
        <v>579</v>
      </c>
      <c r="K28" s="51" t="s">
        <v>374</v>
      </c>
      <c r="L28" s="51" t="s">
        <v>577</v>
      </c>
      <c r="M28" s="51" t="s">
        <v>576</v>
      </c>
      <c r="N28" s="51" t="s">
        <v>578</v>
      </c>
      <c r="O28" s="51" t="s">
        <v>798</v>
      </c>
      <c r="P28" s="51" t="s">
        <v>3235</v>
      </c>
      <c r="Q28" s="51" t="s">
        <v>3225</v>
      </c>
      <c r="R28" s="55" t="s">
        <v>580</v>
      </c>
      <c r="S28" s="51" t="s">
        <v>347</v>
      </c>
      <c r="T28" s="50">
        <v>2</v>
      </c>
      <c r="U28" s="48" t="s">
        <v>575</v>
      </c>
      <c r="V28" s="47">
        <v>45876</v>
      </c>
      <c r="W28" s="45" t="s">
        <v>3290</v>
      </c>
      <c r="X28" s="45"/>
      <c r="Y28" s="48" t="s">
        <v>3291</v>
      </c>
      <c r="Z28" s="48"/>
      <c r="AA28" s="47"/>
      <c r="AB28" s="48" t="s">
        <v>317</v>
      </c>
      <c r="AC28" s="47"/>
      <c r="AD28" s="46" t="s">
        <v>309</v>
      </c>
      <c r="AE28" s="48" t="s">
        <v>308</v>
      </c>
      <c r="AF28" s="41" t="str" cm="1">
        <f t="array" ref="AF28">IFERROR(_xlfn.XLOOKUP(TRIM($E28),TRIM('Año 2026'!$E$3:$E$66),'Año 2026'!$G$3:$G$66),"")</f>
        <v>Oficio N° 02359-2025-SUNEDU-DS-DIRESESU-UVE</v>
      </c>
      <c r="AG28" s="41" cm="1">
        <f t="array" ref="AG28">IFERROR(_xlfn.XLOOKUP(TRIM($E28),TRIM('Año 2026'!$E$3:$E$66),'Año 2026'!$H$3:$H$66),"")</f>
        <v>45839</v>
      </c>
      <c r="AH28" s="41" cm="1">
        <f t="array" ref="AH28">IFERROR(_xlfn.XLOOKUP(TRIM($E28),TRIM('Año 2026'!$E$3:$E$66),'Año 2026'!$I$3:$I$66),"")</f>
        <v>5</v>
      </c>
      <c r="AI28" s="41" cm="1">
        <f t="array" ref="AI28">IFERROR(_xlfn.XLOOKUP(TRIM($E28),TRIM('Año 2026'!$E$3:$E$66),'Año 2026'!$J$3:$J$66),"")</f>
        <v>45846</v>
      </c>
      <c r="AJ28" s="41" cm="1">
        <f t="array" aca="1" ref="AJ28" ca="1">IFERROR(_xlfn.XLOOKUP(TRIM($E28),TRIM('Año 2026'!$E$3:$E$66),'Año 2026'!$K$3:$K$66),"")</f>
        <v>-346</v>
      </c>
      <c r="AK28" s="41" t="str" cm="1">
        <f t="array" aca="1" ref="AK28" ca="1">IFERROR(_xlfn.XLOOKUP(TRIM($E28),TRIM('Año 2026'!$E$3:$E$66),'Año 2026'!$L$3:$L$66),"")</f>
        <v>NUEVA FECHA</v>
      </c>
      <c r="AL28" s="41" t="str" cm="1">
        <f t="array" aca="1" ref="AL28" ca="1">IFERROR(_xlfn.XLOOKUP(TRIM($E28),TRIM('Año 2026'!$E$3:$E$66),'Año 2026'!$M$3:$M$66),"")</f>
        <v>NUEVA FECHA</v>
      </c>
      <c r="AM28" s="41" t="str" cm="1">
        <f t="array" ref="AM28">IFERROR(_xlfn.XLOOKUP(TRIM($E28),TRIM('Año 2026'!$E$3:$E$66),'Año 2026'!$N$3:$N$66),"")</f>
        <v>Ajustes al plazo</v>
      </c>
      <c r="AN28" s="41" cm="1">
        <f t="array" ref="AN28">IFERROR(_xlfn.XLOOKUP(TRIM($E28),TRIM('Año 2026'!$E$3:$E$66),'Año 2026'!$O$3:$O$66),"")</f>
        <v>0</v>
      </c>
      <c r="AO28" s="41" t="str" cm="1">
        <f t="array" ref="AO28">IFERROR(_xlfn.XLOOKUP(TRIM($E28),TRIM('Año 2026'!$E$3:$E$66),'Año 2026'!$P$3:$P$66),"")</f>
        <v>Prórroga</v>
      </c>
      <c r="AP28" s="41" cm="1">
        <f t="array" ref="AP28">IFERROR(_xlfn.XLOOKUP(TRIM($E28),TRIM('Año 2026'!$E$3:$E$66),'Año 2026'!$Q$3:$Q$66),"")</f>
        <v>0</v>
      </c>
      <c r="AQ28" s="41" cm="1">
        <f t="array" ref="AQ28">IFERROR(_xlfn.XLOOKUP(TRIM($E28),TRIM('Año 2026'!$E$3:$E$66),'Año 2026'!$R$3:$R$66),"")</f>
        <v>0</v>
      </c>
      <c r="AR28" s="41" cm="1">
        <f t="array" ref="AR28">IFERROR(_xlfn.XLOOKUP(TRIM($E28),TRIM('Año 2026'!$E$3:$E$66),'Año 2026'!$S$3:$S$66),"")</f>
        <v>0</v>
      </c>
      <c r="AS28" s="41" cm="1">
        <f t="array" ref="AS28">IFERROR(_xlfn.XLOOKUP(TRIM($E28),TRIM('Año 2026'!$E$3:$E$66),'Año 2026'!$T$3:$T$66),"")</f>
        <v>0</v>
      </c>
      <c r="AT28" s="41" cm="1">
        <f t="array" ref="AT28">IFERROR(_xlfn.XLOOKUP(TRIM($E28),TRIM('Año 2026'!$E$3:$E$66),'Año 2026'!$U$3:$U$66),"")</f>
        <v>0</v>
      </c>
      <c r="AU28" s="41" t="str" cm="1">
        <f t="array" ref="AU28">IFERROR(_xlfn.XLOOKUP(TRIM($E28),TRIM('Año 2026'!$E$3:$E$66),'Año 2026'!$V$3:$V$66),"")</f>
        <v>Oficio N° 02665-2025-SUNEDU-DS-DIRESESU-UVE</v>
      </c>
      <c r="AV28" s="41" cm="1">
        <f t="array" ref="AV28">IFERROR(_xlfn.XLOOKUP(TRIM($E28),TRIM('Año 2026'!$E$3:$E$66),'Año 2026'!$W$3:$W$66),"")</f>
        <v>45855</v>
      </c>
      <c r="AW28" s="41" cm="1">
        <f t="array" ref="AW28">IFERROR(_xlfn.XLOOKUP(TRIM($E28),TRIM('Año 2026'!$E$3:$E$66),'Año 2026'!$X$3:$X$66),"")</f>
        <v>6</v>
      </c>
      <c r="AX28" s="41" t="str" cm="1">
        <f t="array" ref="AX28">IFERROR(_xlfn.XLOOKUP(TRIM($E28),TRIM('Año 2026'!$E$3:$E$66),'Año 2026'!$Y$3:$Y$66),"")</f>
        <v/>
      </c>
      <c r="AY28" s="41" t="str" cm="1">
        <f t="array" aca="1" ref="AY28" ca="1">IFERROR(_xlfn.XLOOKUP(TRIM($E28),TRIM('Año 2026'!$E$3:$E$66),'Año 2026'!$Z$3:$Z$66),"")</f>
        <v/>
      </c>
      <c r="AZ28" s="41" t="str" cm="1">
        <f t="array" aca="1" ref="AZ28" ca="1">IFERROR(_xlfn.XLOOKUP(TRIM($E28),TRIM('Año 2026'!$E$3:$E$66),'Año 2026'!$AA$3:$AA$66),"")</f>
        <v/>
      </c>
      <c r="BA28" s="41" t="str" cm="1">
        <f t="array" aca="1" ref="BA28" ca="1">IFERROR(_xlfn.XLOOKUP(TRIM($E28),TRIM('Año 2026'!$E$3:$E$66),'Año 2026'!$AB$3:$AB$66),"")</f>
        <v/>
      </c>
      <c r="BB28" s="41" t="str" cm="1">
        <f t="array" ref="BB28">IFERROR(_xlfn.XLOOKUP(TRIM($E28),TRIM('Año 2026'!$E$3:$E$66),'Año 2026'!$AC$3:$AC$66),"")</f>
        <v>Entregado</v>
      </c>
      <c r="BC28" s="41" cm="1">
        <f t="array" ref="BC28">IFERROR(_xlfn.XLOOKUP(TRIM($E28),TRIM('Año 2026'!$E$3:$E$66),'Año 2026'!$AD$3:$AD$66),"")</f>
        <v>0</v>
      </c>
    </row>
    <row r="29" spans="1:55" s="41" customFormat="1" ht="75" customHeight="1" x14ac:dyDescent="0.25">
      <c r="A29" s="48">
        <v>28</v>
      </c>
      <c r="B29" s="51">
        <v>2025</v>
      </c>
      <c r="C29" s="51" t="s">
        <v>137</v>
      </c>
      <c r="D29" s="51" t="s">
        <v>526</v>
      </c>
      <c r="E29" s="51" t="s">
        <v>161</v>
      </c>
      <c r="F29" s="53" t="s">
        <v>269</v>
      </c>
      <c r="G29" s="41" t="s">
        <v>162</v>
      </c>
      <c r="H29" s="108">
        <v>4</v>
      </c>
      <c r="I29" s="51" t="s">
        <v>266</v>
      </c>
      <c r="J29" s="51" t="s">
        <v>3210</v>
      </c>
      <c r="K29" s="51" t="s">
        <v>322</v>
      </c>
      <c r="L29" s="51" t="s">
        <v>3368</v>
      </c>
      <c r="M29" s="51" t="s">
        <v>3369</v>
      </c>
      <c r="N29" s="51" t="s">
        <v>3370</v>
      </c>
      <c r="O29" s="51" t="s">
        <v>798</v>
      </c>
      <c r="P29" s="51" t="s">
        <v>3239</v>
      </c>
      <c r="Q29" s="51" t="s">
        <v>3226</v>
      </c>
      <c r="R29" s="55" t="s">
        <v>525</v>
      </c>
      <c r="S29" s="51" t="s">
        <v>347</v>
      </c>
      <c r="T29" s="50">
        <v>2</v>
      </c>
      <c r="U29" s="48" t="s">
        <v>524</v>
      </c>
      <c r="V29" s="47">
        <v>45989</v>
      </c>
      <c r="W29" s="45" t="s">
        <v>523</v>
      </c>
      <c r="X29" s="45"/>
      <c r="Y29" s="49" t="s">
        <v>3292</v>
      </c>
      <c r="Z29" s="49" t="s">
        <v>264</v>
      </c>
      <c r="AA29" s="47">
        <v>46164</v>
      </c>
      <c r="AB29" s="48" t="str">
        <f ca="1">IF(AA29&lt;TODAY(),"VENCIDO","POR VENCER")</f>
        <v>VENCIDO</v>
      </c>
      <c r="AC29" s="47">
        <v>46171</v>
      </c>
      <c r="AD29" s="46" t="s">
        <v>309</v>
      </c>
      <c r="AE29" s="45" t="s">
        <v>503</v>
      </c>
      <c r="AF29" s="41" t="str" cm="1">
        <f t="array" ref="AF29">IFERROR(_xlfn.XLOOKUP(TRIM($E29),TRIM('Año 2026'!$E$3:$E$66),'Año 2026'!$G$3:$G$66),"")</f>
        <v>Oficio N° 03316-2025-SUNEDU-DS-DIRESESU-UVE (03.09.25)</v>
      </c>
      <c r="AG29" s="41" cm="1">
        <f t="array" ref="AG29">IFERROR(_xlfn.XLOOKUP(TRIM($E29),TRIM('Año 2026'!$E$3:$E$66),'Año 2026'!$H$3:$H$66),"")</f>
        <v>45904</v>
      </c>
      <c r="AH29" s="41" cm="1">
        <f t="array" ref="AH29">IFERROR(_xlfn.XLOOKUP(TRIM($E29),TRIM('Año 2026'!$E$3:$E$66),'Año 2026'!$I$3:$I$66),"")</f>
        <v>3</v>
      </c>
      <c r="AI29" s="41" cm="1">
        <f t="array" ref="AI29">IFERROR(_xlfn.XLOOKUP(TRIM($E29),TRIM('Año 2026'!$E$3:$E$66),'Año 2026'!$J$3:$J$66),"")</f>
        <v>45909</v>
      </c>
      <c r="AJ29" s="41" cm="1">
        <f t="array" aca="1" ref="AJ29" ca="1">IFERROR(_xlfn.XLOOKUP(TRIM($E29),TRIM('Año 2026'!$E$3:$E$66),'Año 2026'!$K$3:$K$66),"")</f>
        <v>-283</v>
      </c>
      <c r="AK29" s="41" t="str" cm="1">
        <f t="array" aca="1" ref="AK29" ca="1">IFERROR(_xlfn.XLOOKUP(TRIM($E29),TRIM('Año 2026'!$E$3:$E$66),'Año 2026'!$L$3:$L$66),"")</f>
        <v>NUEVA FECHA</v>
      </c>
      <c r="AL29" s="41" t="str" cm="1">
        <f t="array" aca="1" ref="AL29" ca="1">IFERROR(_xlfn.XLOOKUP(TRIM($E29),TRIM('Año 2026'!$E$3:$E$66),'Año 2026'!$M$3:$M$66),"")</f>
        <v>NUEVA FECHA</v>
      </c>
      <c r="AM29" s="41" t="str" cm="1">
        <f t="array" ref="AM29">IFERROR(_xlfn.XLOOKUP(TRIM($E29),TRIM('Año 2026'!$E$3:$E$66),'Año 2026'!$N$3:$N$66),"")</f>
        <v>Ajustes al plazo</v>
      </c>
      <c r="AN29" s="41" cm="1">
        <f t="array" ref="AN29">IFERROR(_xlfn.XLOOKUP(TRIM($E29),TRIM('Año 2026'!$E$3:$E$66),'Año 2026'!$O$3:$O$66),"")</f>
        <v>0</v>
      </c>
      <c r="AO29" s="41" t="str" cm="1">
        <f t="array" ref="AO29">IFERROR(_xlfn.XLOOKUP(TRIM($E29),TRIM('Año 2026'!$E$3:$E$66),'Año 2026'!$P$3:$P$66),"")</f>
        <v>Prórroga</v>
      </c>
      <c r="AP29" s="41" cm="1">
        <f t="array" ref="AP29">IFERROR(_xlfn.XLOOKUP(TRIM($E29),TRIM('Año 2026'!$E$3:$E$66),'Año 2026'!$Q$3:$Q$66),"")</f>
        <v>0</v>
      </c>
      <c r="AQ29" s="41" cm="1">
        <f t="array" ref="AQ29">IFERROR(_xlfn.XLOOKUP(TRIM($E29),TRIM('Año 2026'!$E$3:$E$66),'Año 2026'!$R$3:$R$66),"")</f>
        <v>0</v>
      </c>
      <c r="AR29" s="41" cm="1">
        <f t="array" ref="AR29">IFERROR(_xlfn.XLOOKUP(TRIM($E29),TRIM('Año 2026'!$E$3:$E$66),'Año 2026'!$S$3:$S$66),"")</f>
        <v>0</v>
      </c>
      <c r="AS29" s="41" cm="1">
        <f t="array" ref="AS29">IFERROR(_xlfn.XLOOKUP(TRIM($E29),TRIM('Año 2026'!$E$3:$E$66),'Año 2026'!$T$3:$T$66),"")</f>
        <v>0</v>
      </c>
      <c r="AT29" s="41" cm="1">
        <f t="array" ref="AT29">IFERROR(_xlfn.XLOOKUP(TRIM($E29),TRIM('Año 2026'!$E$3:$E$66),'Año 2026'!$U$3:$U$66),"")</f>
        <v>0</v>
      </c>
      <c r="AU29" s="41" t="str" cm="1">
        <f t="array" ref="AU29">IFERROR(_xlfn.XLOOKUP(TRIM($E29),TRIM('Año 2026'!$E$3:$E$66),'Año 2026'!$V$3:$V$66),"")</f>
        <v>Oficio N° 04129-2025-SUNEDU-DS-DIRESESU-UVE</v>
      </c>
      <c r="AV29" s="41" cm="1">
        <f t="array" ref="AV29">IFERROR(_xlfn.XLOOKUP(TRIM($E29),TRIM('Año 2026'!$E$3:$E$66),'Año 2026'!$W$3:$W$66),"")</f>
        <v>45945</v>
      </c>
      <c r="AW29" s="41" cm="1">
        <f t="array" ref="AW29">IFERROR(_xlfn.XLOOKUP(TRIM($E29),TRIM('Año 2026'!$E$3:$E$66),'Año 2026'!$X$3:$X$66),"")</f>
        <v>10</v>
      </c>
      <c r="AX29" s="41" t="str" cm="1">
        <f t="array" ref="AX29">IFERROR(_xlfn.XLOOKUP(TRIM($E29),TRIM('Año 2026'!$E$3:$E$66),'Año 2026'!$Y$3:$Y$66),"")</f>
        <v/>
      </c>
      <c r="AY29" s="41" t="str" cm="1">
        <f t="array" aca="1" ref="AY29" ca="1">IFERROR(_xlfn.XLOOKUP(TRIM($E29),TRIM('Año 2026'!$E$3:$E$66),'Año 2026'!$Z$3:$Z$66),"")</f>
        <v/>
      </c>
      <c r="AZ29" s="41" t="str" cm="1">
        <f t="array" aca="1" ref="AZ29" ca="1">IFERROR(_xlfn.XLOOKUP(TRIM($E29),TRIM('Año 2026'!$E$3:$E$66),'Año 2026'!$AA$3:$AA$66),"")</f>
        <v/>
      </c>
      <c r="BA29" s="41" t="str" cm="1">
        <f t="array" aca="1" ref="BA29" ca="1">IFERROR(_xlfn.XLOOKUP(TRIM($E29),TRIM('Año 2026'!$E$3:$E$66),'Año 2026'!$AB$3:$AB$66),"")</f>
        <v/>
      </c>
      <c r="BB29" s="41" t="str" cm="1">
        <f t="array" ref="BB29">IFERROR(_xlfn.XLOOKUP(TRIM($E29),TRIM('Año 2026'!$E$3:$E$66),'Año 2026'!$AC$3:$AC$66),"")</f>
        <v>Entregado</v>
      </c>
      <c r="BC29" s="41" cm="1">
        <f t="array" ref="BC29">IFERROR(_xlfn.XLOOKUP(TRIM($E29),TRIM('Año 2026'!$E$3:$E$66),'Año 2026'!$AD$3:$AD$66),"")</f>
        <v>0</v>
      </c>
    </row>
    <row r="30" spans="1:55" s="41" customFormat="1" ht="154.5" customHeight="1" x14ac:dyDescent="0.25">
      <c r="A30" s="48">
        <v>29</v>
      </c>
      <c r="B30" s="51">
        <v>2025</v>
      </c>
      <c r="C30" s="58" t="s">
        <v>69</v>
      </c>
      <c r="D30" s="51" t="s">
        <v>284</v>
      </c>
      <c r="E30" s="58" t="s">
        <v>167</v>
      </c>
      <c r="F30" s="53" t="s">
        <v>424</v>
      </c>
      <c r="G30" s="48" t="s">
        <v>168</v>
      </c>
      <c r="H30" s="108">
        <v>16</v>
      </c>
      <c r="I30" s="51" t="s">
        <v>266</v>
      </c>
      <c r="J30" s="51" t="s">
        <v>3211</v>
      </c>
      <c r="K30" s="51" t="s">
        <v>476</v>
      </c>
      <c r="L30" s="51" t="s">
        <v>466</v>
      </c>
      <c r="M30" s="51" t="s">
        <v>465</v>
      </c>
      <c r="N30" s="51" t="s">
        <v>3371</v>
      </c>
      <c r="O30" s="51" t="s">
        <v>798</v>
      </c>
      <c r="P30" s="51" t="s">
        <v>360</v>
      </c>
      <c r="Q30" s="51" t="s">
        <v>373</v>
      </c>
      <c r="R30" s="66" t="s">
        <v>478</v>
      </c>
      <c r="S30" s="51" t="s">
        <v>347</v>
      </c>
      <c r="T30" s="50">
        <v>1</v>
      </c>
      <c r="U30" s="48" t="s">
        <v>471</v>
      </c>
      <c r="V30" s="47">
        <v>45987</v>
      </c>
      <c r="W30" s="45" t="s">
        <v>470</v>
      </c>
      <c r="X30" s="45"/>
      <c r="Y30" s="56" t="s">
        <v>3293</v>
      </c>
      <c r="Z30" s="49" t="s">
        <v>264</v>
      </c>
      <c r="AA30" s="47">
        <v>46283</v>
      </c>
      <c r="AB30" s="48" t="str">
        <f ca="1">IF(AA30&lt;TODAY(),"VENCIDO","POR VENCER")</f>
        <v>POR VENCER</v>
      </c>
      <c r="AC30" s="47">
        <v>46290</v>
      </c>
      <c r="AD30" s="46" t="s">
        <v>333</v>
      </c>
      <c r="AE30" s="48" t="s">
        <v>479</v>
      </c>
      <c r="AF30" s="41" t="str" cm="1">
        <f t="array" ref="AF30">IFERROR(_xlfn.XLOOKUP(TRIM($E30),TRIM('Año 2026'!$E$3:$E$66),'Año 2026'!$G$3:$G$66),"")</f>
        <v>Oficio N° 00423-2026-SUNEDU-DS-DIRESESU-UVE (02.02.26)</v>
      </c>
      <c r="AG30" s="41" cm="1">
        <f t="array" ref="AG30">IFERROR(_xlfn.XLOOKUP(TRIM($E30),TRIM('Año 2026'!$E$3:$E$66),'Año 2026'!$H$3:$H$66),"")</f>
        <v>46057</v>
      </c>
      <c r="AH30" s="41" cm="1">
        <f t="array" ref="AH30">IFERROR(_xlfn.XLOOKUP(TRIM($E30),TRIM('Año 2026'!$E$3:$E$66),'Año 2026'!$I$3:$I$66),"")</f>
        <v>2</v>
      </c>
      <c r="AI30" s="41" cm="1">
        <f t="array" ref="AI30">IFERROR(_xlfn.XLOOKUP(TRIM($E30),TRIM('Año 2026'!$E$3:$E$66),'Año 2026'!$J$3:$J$66),"")</f>
        <v>46094</v>
      </c>
      <c r="AJ30" s="41" cm="1">
        <f t="array" aca="1" ref="AJ30" ca="1">IFERROR(_xlfn.XLOOKUP(TRIM($E30),TRIM('Año 2026'!$E$3:$E$66),'Año 2026'!$K$3:$K$66),"")</f>
        <v>-98</v>
      </c>
      <c r="AK30" s="41" t="str" cm="1">
        <f t="array" aca="1" ref="AK30" ca="1">IFERROR(_xlfn.XLOOKUP(TRIM($E30),TRIM('Año 2026'!$E$3:$E$66),'Año 2026'!$L$3:$L$66),"")</f>
        <v>NUEVA FECHA</v>
      </c>
      <c r="AL30" s="41" t="str" cm="1">
        <f t="array" aca="1" ref="AL30" ca="1">IFERROR(_xlfn.XLOOKUP(TRIM($E30),TRIM('Año 2026'!$E$3:$E$66),'Año 2026'!$M$3:$M$66),"")</f>
        <v>NUEVA FECHA</v>
      </c>
      <c r="AM30" s="41" t="str" cm="1">
        <f t="array" ref="AM30">IFERROR(_xlfn.XLOOKUP(TRIM($E30),TRIM('Año 2026'!$E$3:$E$66),'Año 2026'!$N$3:$N$66),"")</f>
        <v>Ajustes al plazo</v>
      </c>
      <c r="AN30" s="41" cm="1">
        <f t="array" ref="AN30">IFERROR(_xlfn.XLOOKUP(TRIM($E30),TRIM('Año 2026'!$E$3:$E$66),'Año 2026'!$O$3:$O$66),"")</f>
        <v>0</v>
      </c>
      <c r="AO30" s="41" t="str" cm="1">
        <f t="array" ref="AO30">IFERROR(_xlfn.XLOOKUP(TRIM($E30),TRIM('Año 2026'!$E$3:$E$66),'Año 2026'!$P$3:$P$66),"")</f>
        <v>Prórroga</v>
      </c>
      <c r="AP30" s="41" cm="1">
        <f t="array" ref="AP30">IFERROR(_xlfn.XLOOKUP(TRIM($E30),TRIM('Año 2026'!$E$3:$E$66),'Año 2026'!$Q$3:$Q$66),"")</f>
        <v>0</v>
      </c>
      <c r="AQ30" s="41" cm="1">
        <f t="array" ref="AQ30">IFERROR(_xlfn.XLOOKUP(TRIM($E30),TRIM('Año 2026'!$E$3:$E$66),'Año 2026'!$R$3:$R$66),"")</f>
        <v>0</v>
      </c>
      <c r="AR30" s="41" cm="1">
        <f t="array" ref="AR30">IFERROR(_xlfn.XLOOKUP(TRIM($E30),TRIM('Año 2026'!$E$3:$E$66),'Año 2026'!$S$3:$S$66),"")</f>
        <v>0</v>
      </c>
      <c r="AS30" s="41" cm="1">
        <f t="array" ref="AS30">IFERROR(_xlfn.XLOOKUP(TRIM($E30),TRIM('Año 2026'!$E$3:$E$66),'Año 2026'!$T$3:$T$66),"")</f>
        <v>0</v>
      </c>
      <c r="AT30" s="41" cm="1">
        <f t="array" ref="AT30">IFERROR(_xlfn.XLOOKUP(TRIM($E30),TRIM('Año 2026'!$E$3:$E$66),'Año 2026'!$U$3:$U$66),"")</f>
        <v>0</v>
      </c>
      <c r="AU30" s="41" t="str" cm="1">
        <f t="array" ref="AU30">IFERROR(_xlfn.XLOOKUP(TRIM($E30),TRIM('Año 2026'!$E$3:$E$66),'Año 2026'!$V$3:$V$66),"")</f>
        <v>Oficio N° 00820-2026-SUNEDU-DS-DIRESESU-UVE (09.03.26)</v>
      </c>
      <c r="AV30" s="41" cm="1">
        <f t="array" ref="AV30">IFERROR(_xlfn.XLOOKUP(TRIM($E30),TRIM('Año 2026'!$E$3:$E$66),'Año 2026'!$W$3:$W$66),"")</f>
        <v>46090</v>
      </c>
      <c r="AW30" s="41" cm="1">
        <f t="array" ref="AW30">IFERROR(_xlfn.XLOOKUP(TRIM($E30),TRIM('Año 2026'!$E$3:$E$66),'Año 2026'!$X$3:$X$66),"")</f>
        <v>10</v>
      </c>
      <c r="AX30" s="41" t="str" cm="1">
        <f t="array" ref="AX30">IFERROR(_xlfn.XLOOKUP(TRIM($E30),TRIM('Año 2026'!$E$3:$E$66),'Año 2026'!$Y$3:$Y$66),"")</f>
        <v/>
      </c>
      <c r="AY30" s="41" t="str" cm="1">
        <f t="array" aca="1" ref="AY30" ca="1">IFERROR(_xlfn.XLOOKUP(TRIM($E30),TRIM('Año 2026'!$E$3:$E$66),'Año 2026'!$Z$3:$Z$66),"")</f>
        <v/>
      </c>
      <c r="AZ30" s="41" t="str" cm="1">
        <f t="array" aca="1" ref="AZ30" ca="1">IFERROR(_xlfn.XLOOKUP(TRIM($E30),TRIM('Año 2026'!$E$3:$E$66),'Año 2026'!$AA$3:$AA$66),"")</f>
        <v/>
      </c>
      <c r="BA30" s="41" t="str" cm="1">
        <f t="array" aca="1" ref="BA30" ca="1">IFERROR(_xlfn.XLOOKUP(TRIM($E30),TRIM('Año 2026'!$E$3:$E$66),'Año 2026'!$AB$3:$AB$66),"")</f>
        <v/>
      </c>
      <c r="BB30" s="41" t="str" cm="1">
        <f t="array" ref="BB30">IFERROR(_xlfn.XLOOKUP(TRIM($E30),TRIM('Año 2026'!$E$3:$E$66),'Año 2026'!$AC$3:$AC$66),"")</f>
        <v>Entregado</v>
      </c>
      <c r="BC30" s="41" cm="1">
        <f t="array" ref="BC30">IFERROR(_xlfn.XLOOKUP(TRIM($E30),TRIM('Año 2026'!$E$3:$E$66),'Año 2026'!$AD$3:$AD$66),"")</f>
        <v>0</v>
      </c>
    </row>
    <row r="31" spans="1:55" s="41" customFormat="1" ht="202.5" customHeight="1" x14ac:dyDescent="0.25">
      <c r="A31" s="48">
        <v>30</v>
      </c>
      <c r="B31" s="51">
        <v>2025</v>
      </c>
      <c r="C31" s="51" t="s">
        <v>137</v>
      </c>
      <c r="D31" s="51" t="s">
        <v>284</v>
      </c>
      <c r="E31" s="48" t="s">
        <v>3294</v>
      </c>
      <c r="F31" s="53" t="s">
        <v>269</v>
      </c>
      <c r="G31" s="51" t="s">
        <v>3295</v>
      </c>
      <c r="H31" s="108">
        <v>16</v>
      </c>
      <c r="I31" s="51" t="s">
        <v>266</v>
      </c>
      <c r="J31" s="51" t="s">
        <v>3211</v>
      </c>
      <c r="K31" s="51" t="s">
        <v>476</v>
      </c>
      <c r="L31" s="51" t="s">
        <v>466</v>
      </c>
      <c r="M31" s="51" t="s">
        <v>465</v>
      </c>
      <c r="N31" s="51" t="s">
        <v>3371</v>
      </c>
      <c r="O31" s="51" t="s">
        <v>798</v>
      </c>
      <c r="P31" s="51"/>
      <c r="Q31" s="51"/>
      <c r="R31" s="66" t="s">
        <v>611</v>
      </c>
      <c r="S31" s="51" t="s">
        <v>372</v>
      </c>
      <c r="T31" s="50">
        <v>1</v>
      </c>
      <c r="U31" s="48" t="s">
        <v>471</v>
      </c>
      <c r="V31" s="47">
        <v>45987</v>
      </c>
      <c r="W31" s="45" t="s">
        <v>610</v>
      </c>
      <c r="X31" s="45"/>
      <c r="Y31" s="67" t="s">
        <v>462</v>
      </c>
      <c r="Z31" s="67"/>
      <c r="AA31" s="47"/>
      <c r="AB31" s="48" t="s">
        <v>317</v>
      </c>
      <c r="AC31" s="47"/>
      <c r="AD31" s="46" t="s">
        <v>309</v>
      </c>
      <c r="AE31" s="48" t="s">
        <v>3296</v>
      </c>
      <c r="AF31" s="41" t="str" cm="1">
        <f t="array" ref="AF31">IFERROR(_xlfn.XLOOKUP(TRIM($E31),TRIM('Año 2026'!$E$3:$E$66),'Año 2026'!$G$3:$G$66),"")</f>
        <v/>
      </c>
      <c r="AG31" s="41" t="str" cm="1">
        <f t="array" ref="AG31">IFERROR(_xlfn.XLOOKUP(TRIM($E31),TRIM('Año 2026'!$E$3:$E$66),'Año 2026'!$H$3:$H$66),"")</f>
        <v/>
      </c>
      <c r="AH31" s="41" t="str" cm="1">
        <f t="array" ref="AH31">IFERROR(_xlfn.XLOOKUP(TRIM($E31),TRIM('Año 2026'!$E$3:$E$66),'Año 2026'!$I$3:$I$66),"")</f>
        <v/>
      </c>
      <c r="AI31" s="41" t="str" cm="1">
        <f t="array" ref="AI31">IFERROR(_xlfn.XLOOKUP(TRIM($E31),TRIM('Año 2026'!$E$3:$E$66),'Año 2026'!$J$3:$J$66),"")</f>
        <v/>
      </c>
      <c r="AJ31" s="41" t="str" cm="1">
        <f t="array" ref="AJ31">IFERROR(_xlfn.XLOOKUP(TRIM($E31),TRIM('Año 2026'!$E$3:$E$66),'Año 2026'!$K$3:$K$66),"")</f>
        <v/>
      </c>
      <c r="AK31" s="41" t="str" cm="1">
        <f t="array" ref="AK31">IFERROR(_xlfn.XLOOKUP(TRIM($E31),TRIM('Año 2026'!$E$3:$E$66),'Año 2026'!$L$3:$L$66),"")</f>
        <v/>
      </c>
      <c r="AL31" s="41" t="str" cm="1">
        <f t="array" ref="AL31">IFERROR(_xlfn.XLOOKUP(TRIM($E31),TRIM('Año 2026'!$E$3:$E$66),'Año 2026'!$M$3:$M$66),"")</f>
        <v/>
      </c>
      <c r="AM31" s="41" t="str" cm="1">
        <f t="array" ref="AM31">IFERROR(_xlfn.XLOOKUP(TRIM($E31),TRIM('Año 2026'!$E$3:$E$66),'Año 2026'!$N$3:$N$66),"")</f>
        <v/>
      </c>
      <c r="AN31" s="41" t="str" cm="1">
        <f t="array" ref="AN31">IFERROR(_xlfn.XLOOKUP(TRIM($E31),TRIM('Año 2026'!$E$3:$E$66),'Año 2026'!$O$3:$O$66),"")</f>
        <v/>
      </c>
      <c r="AO31" s="41" t="str" cm="1">
        <f t="array" ref="AO31">IFERROR(_xlfn.XLOOKUP(TRIM($E31),TRIM('Año 2026'!$E$3:$E$66),'Año 2026'!$P$3:$P$66),"")</f>
        <v/>
      </c>
      <c r="AP31" s="41" t="str" cm="1">
        <f t="array" ref="AP31">IFERROR(_xlfn.XLOOKUP(TRIM($E31),TRIM('Año 2026'!$E$3:$E$66),'Año 2026'!$Q$3:$Q$66),"")</f>
        <v/>
      </c>
      <c r="AQ31" s="41" t="str" cm="1">
        <f t="array" ref="AQ31">IFERROR(_xlfn.XLOOKUP(TRIM($E31),TRIM('Año 2026'!$E$3:$E$66),'Año 2026'!$R$3:$R$66),"")</f>
        <v/>
      </c>
      <c r="AR31" s="41" t="str" cm="1">
        <f t="array" ref="AR31">IFERROR(_xlfn.XLOOKUP(TRIM($E31),TRIM('Año 2026'!$E$3:$E$66),'Año 2026'!$S$3:$S$66),"")</f>
        <v/>
      </c>
      <c r="AS31" s="41" t="str" cm="1">
        <f t="array" ref="AS31">IFERROR(_xlfn.XLOOKUP(TRIM($E31),TRIM('Año 2026'!$E$3:$E$66),'Año 2026'!$T$3:$T$66),"")</f>
        <v/>
      </c>
      <c r="AT31" s="41" t="str" cm="1">
        <f t="array" ref="AT31">IFERROR(_xlfn.XLOOKUP(TRIM($E31),TRIM('Año 2026'!$E$3:$E$66),'Año 2026'!$U$3:$U$66),"")</f>
        <v/>
      </c>
      <c r="AU31" s="41" t="str" cm="1">
        <f t="array" ref="AU31">IFERROR(_xlfn.XLOOKUP(TRIM($E31),TRIM('Año 2026'!$E$3:$E$66),'Año 2026'!$V$3:$V$66),"")</f>
        <v/>
      </c>
      <c r="AV31" s="41" t="str" cm="1">
        <f t="array" ref="AV31">IFERROR(_xlfn.XLOOKUP(TRIM($E31),TRIM('Año 2026'!$E$3:$E$66),'Año 2026'!$W$3:$W$66),"")</f>
        <v/>
      </c>
      <c r="AW31" s="41" t="str" cm="1">
        <f t="array" ref="AW31">IFERROR(_xlfn.XLOOKUP(TRIM($E31),TRIM('Año 2026'!$E$3:$E$66),'Año 2026'!$X$3:$X$66),"")</f>
        <v/>
      </c>
      <c r="AX31" s="41" t="str" cm="1">
        <f t="array" ref="AX31">IFERROR(_xlfn.XLOOKUP(TRIM($E31),TRIM('Año 2026'!$E$3:$E$66),'Año 2026'!$Y$3:$Y$66),"")</f>
        <v/>
      </c>
      <c r="AY31" s="41" t="str" cm="1">
        <f t="array" ref="AY31">IFERROR(_xlfn.XLOOKUP(TRIM($E31),TRIM('Año 2026'!$E$3:$E$66),'Año 2026'!$Z$3:$Z$66),"")</f>
        <v/>
      </c>
      <c r="AZ31" s="41" t="str" cm="1">
        <f t="array" ref="AZ31">IFERROR(_xlfn.XLOOKUP(TRIM($E31),TRIM('Año 2026'!$E$3:$E$66),'Año 2026'!$AA$3:$AA$66),"")</f>
        <v/>
      </c>
      <c r="BA31" s="41" t="str" cm="1">
        <f t="array" ref="BA31">IFERROR(_xlfn.XLOOKUP(TRIM($E31),TRIM('Año 2026'!$E$3:$E$66),'Año 2026'!$AB$3:$AB$66),"")</f>
        <v/>
      </c>
      <c r="BB31" s="41" t="str" cm="1">
        <f t="array" ref="BB31">IFERROR(_xlfn.XLOOKUP(TRIM($E31),TRIM('Año 2026'!$E$3:$E$66),'Año 2026'!$AC$3:$AC$66),"")</f>
        <v/>
      </c>
      <c r="BC31" s="41" t="str" cm="1">
        <f t="array" ref="BC31">IFERROR(_xlfn.XLOOKUP(TRIM($E31),TRIM('Año 2026'!$E$3:$E$66),'Año 2026'!$AD$3:$AD$66),"")</f>
        <v/>
      </c>
    </row>
    <row r="32" spans="1:55" s="41" customFormat="1" ht="152.25" customHeight="1" x14ac:dyDescent="0.25">
      <c r="A32" s="48">
        <v>31</v>
      </c>
      <c r="B32" s="51">
        <v>2025</v>
      </c>
      <c r="C32" s="51" t="s">
        <v>69</v>
      </c>
      <c r="D32" s="51" t="s">
        <v>287</v>
      </c>
      <c r="E32" s="77" t="s">
        <v>156</v>
      </c>
      <c r="F32" s="79" t="s">
        <v>424</v>
      </c>
      <c r="G32" s="51" t="s">
        <v>3297</v>
      </c>
      <c r="H32" s="108">
        <v>31</v>
      </c>
      <c r="I32" s="51" t="s">
        <v>266</v>
      </c>
      <c r="J32" s="51" t="s">
        <v>324</v>
      </c>
      <c r="K32" s="51" t="s">
        <v>506</v>
      </c>
      <c r="L32" s="51" t="s">
        <v>506</v>
      </c>
      <c r="M32" s="51" t="s">
        <v>505</v>
      </c>
      <c r="N32" s="51" t="s">
        <v>507</v>
      </c>
      <c r="O32" s="51" t="s">
        <v>798</v>
      </c>
      <c r="P32" s="51" t="s">
        <v>360</v>
      </c>
      <c r="Q32" s="51" t="s">
        <v>539</v>
      </c>
      <c r="R32" s="83" t="s">
        <v>3298</v>
      </c>
      <c r="S32" s="51" t="s">
        <v>347</v>
      </c>
      <c r="T32" s="50"/>
      <c r="U32" s="48" t="s">
        <v>540</v>
      </c>
      <c r="V32" s="47">
        <v>45853</v>
      </c>
      <c r="W32" s="45" t="s">
        <v>418</v>
      </c>
      <c r="X32" s="45"/>
      <c r="Y32" s="48"/>
      <c r="Z32" s="48"/>
      <c r="AA32" s="47"/>
      <c r="AB32" s="48" t="s">
        <v>317</v>
      </c>
      <c r="AC32" s="47"/>
      <c r="AD32" s="46" t="s">
        <v>309</v>
      </c>
      <c r="AE32" s="48" t="s">
        <v>308</v>
      </c>
      <c r="AF32" s="41" t="str" cm="1">
        <f t="array" ref="AF32">IFERROR(_xlfn.XLOOKUP(TRIM($E32),TRIM('Año 2026'!$E$3:$E$66),'Año 2026'!$G$3:$G$66),"")</f>
        <v>05589-2025-SUNEDU-DS-DIRESESU-UVE</v>
      </c>
      <c r="AG32" s="41" cm="1">
        <f t="array" ref="AG32">IFERROR(_xlfn.XLOOKUP(TRIM($E32),TRIM('Año 2026'!$E$3:$E$66),'Año 2026'!$H$3:$H$66),"")</f>
        <v>46029</v>
      </c>
      <c r="AH32" s="41" cm="1">
        <f t="array" ref="AH32">IFERROR(_xlfn.XLOOKUP(TRIM($E32),TRIM('Año 2026'!$E$3:$E$66),'Año 2026'!$I$3:$I$66),"")</f>
        <v>5</v>
      </c>
      <c r="AI32" s="41" cm="1">
        <f t="array" ref="AI32">IFERROR(_xlfn.XLOOKUP(TRIM($E32),TRIM('Año 2026'!$E$3:$E$66),'Año 2026'!$J$3:$J$66),"")</f>
        <v>46094</v>
      </c>
      <c r="AJ32" s="41" cm="1">
        <f t="array" aca="1" ref="AJ32" ca="1">IFERROR(_xlfn.XLOOKUP(TRIM($E32),TRIM('Año 2026'!$E$3:$E$66),'Año 2026'!$K$3:$K$66),"")</f>
        <v>-98</v>
      </c>
      <c r="AK32" s="41" t="str" cm="1">
        <f t="array" aca="1" ref="AK32" ca="1">IFERROR(_xlfn.XLOOKUP(TRIM($E32),TRIM('Año 2026'!$E$3:$E$66),'Año 2026'!$L$3:$L$66),"")</f>
        <v>NUEVA FECHA</v>
      </c>
      <c r="AL32" s="41" t="str" cm="1">
        <f t="array" aca="1" ref="AL32" ca="1">IFERROR(_xlfn.XLOOKUP(TRIM($E32),TRIM('Año 2026'!$E$3:$E$66),'Año 2026'!$M$3:$M$66),"")</f>
        <v>NUEVA FECHA</v>
      </c>
      <c r="AM32" s="41" t="str" cm="1">
        <f t="array" ref="AM32">IFERROR(_xlfn.XLOOKUP(TRIM($E32),TRIM('Año 2026'!$E$3:$E$66),'Año 2026'!$N$3:$N$66),"")</f>
        <v>Ajustes al plazo</v>
      </c>
      <c r="AN32" s="41" cm="1">
        <f t="array" ref="AN32">IFERROR(_xlfn.XLOOKUP(TRIM($E32),TRIM('Año 2026'!$E$3:$E$66),'Año 2026'!$O$3:$O$66),"")</f>
        <v>0</v>
      </c>
      <c r="AO32" s="41" t="str" cm="1">
        <f t="array" ref="AO32">IFERROR(_xlfn.XLOOKUP(TRIM($E32),TRIM('Año 2026'!$E$3:$E$66),'Año 2026'!$P$3:$P$66),"")</f>
        <v>Prórroga</v>
      </c>
      <c r="AP32" s="41" cm="1">
        <f t="array" ref="AP32">IFERROR(_xlfn.XLOOKUP(TRIM($E32),TRIM('Año 2026'!$E$3:$E$66),'Año 2026'!$Q$3:$Q$66),"")</f>
        <v>0</v>
      </c>
      <c r="AQ32" s="41" cm="1">
        <f t="array" ref="AQ32">IFERROR(_xlfn.XLOOKUP(TRIM($E32),TRIM('Año 2026'!$E$3:$E$66),'Año 2026'!$R$3:$R$66),"")</f>
        <v>0</v>
      </c>
      <c r="AR32" s="41" cm="1">
        <f t="array" ref="AR32">IFERROR(_xlfn.XLOOKUP(TRIM($E32),TRIM('Año 2026'!$E$3:$E$66),'Año 2026'!$S$3:$S$66),"")</f>
        <v>0</v>
      </c>
      <c r="AS32" s="41" cm="1">
        <f t="array" ref="AS32">IFERROR(_xlfn.XLOOKUP(TRIM($E32),TRIM('Año 2026'!$E$3:$E$66),'Año 2026'!$T$3:$T$66),"")</f>
        <v>0</v>
      </c>
      <c r="AT32" s="41" cm="1">
        <f t="array" ref="AT32">IFERROR(_xlfn.XLOOKUP(TRIM($E32),TRIM('Año 2026'!$E$3:$E$66),'Año 2026'!$U$3:$U$66),"")</f>
        <v>0</v>
      </c>
      <c r="AU32" s="41" cm="1">
        <f t="array" ref="AU32">IFERROR(_xlfn.XLOOKUP(TRIM($E32),TRIM('Año 2026'!$E$3:$E$66),'Año 2026'!$V$3:$V$66),"")</f>
        <v>0</v>
      </c>
      <c r="AV32" s="41" cm="1">
        <f t="array" ref="AV32">IFERROR(_xlfn.XLOOKUP(TRIM($E32),TRIM('Año 2026'!$E$3:$E$66),'Año 2026'!$W$3:$W$66),"")</f>
        <v>0</v>
      </c>
      <c r="AW32" s="41" cm="1">
        <f t="array" ref="AW32">IFERROR(_xlfn.XLOOKUP(TRIM($E32),TRIM('Año 2026'!$E$3:$E$66),'Año 2026'!$X$3:$X$66),"")</f>
        <v>0</v>
      </c>
      <c r="AX32" s="41" cm="1">
        <f t="array" ref="AX32">IFERROR(_xlfn.XLOOKUP(TRIM($E32),TRIM('Año 2026'!$E$3:$E$66),'Año 2026'!$Y$3:$Y$66),"")</f>
        <v>0</v>
      </c>
      <c r="AY32" s="41" cm="1">
        <f t="array" ref="AY32">IFERROR(_xlfn.XLOOKUP(TRIM($E32),TRIM('Año 2026'!$E$3:$E$66),'Año 2026'!$Z$3:$Z$66),"")</f>
        <v>0</v>
      </c>
      <c r="AZ32" s="41" cm="1">
        <f t="array" ref="AZ32">IFERROR(_xlfn.XLOOKUP(TRIM($E32),TRIM('Año 2026'!$E$3:$E$66),'Año 2026'!$AA$3:$AA$66),"")</f>
        <v>0</v>
      </c>
      <c r="BA32" s="41" cm="1">
        <f t="array" ref="BA32">IFERROR(_xlfn.XLOOKUP(TRIM($E32),TRIM('Año 2026'!$E$3:$E$66),'Año 2026'!$AB$3:$AB$66),"")</f>
        <v>0</v>
      </c>
      <c r="BB32" s="41" t="str" cm="1">
        <f t="array" ref="BB32">IFERROR(_xlfn.XLOOKUP(TRIM($E32),TRIM('Año 2026'!$E$3:$E$66),'Año 2026'!$AC$3:$AC$66),"")</f>
        <v>Entregado</v>
      </c>
      <c r="BC32" s="41" t="str" cm="1">
        <f t="array" ref="BC32">IFERROR(_xlfn.XLOOKUP(TRIM($E32),TRIM('Año 2026'!$E$3:$E$66),'Año 2026'!$AD$3:$AD$66),"")</f>
        <v>No se atendió la prórroga</v>
      </c>
    </row>
    <row r="33" spans="1:55" s="41" customFormat="1" ht="147" customHeight="1" x14ac:dyDescent="0.25">
      <c r="A33" s="48">
        <v>32</v>
      </c>
      <c r="B33" s="51">
        <v>2025</v>
      </c>
      <c r="C33" s="51" t="s">
        <v>137</v>
      </c>
      <c r="D33" s="51" t="s">
        <v>284</v>
      </c>
      <c r="E33" s="51" t="s">
        <v>475</v>
      </c>
      <c r="F33" s="53" t="s">
        <v>269</v>
      </c>
      <c r="G33" s="51" t="s">
        <v>474</v>
      </c>
      <c r="H33" s="108">
        <v>16</v>
      </c>
      <c r="I33" s="51" t="s">
        <v>266</v>
      </c>
      <c r="J33" s="51" t="s">
        <v>3211</v>
      </c>
      <c r="K33" s="51" t="s">
        <v>476</v>
      </c>
      <c r="L33" s="51" t="s">
        <v>466</v>
      </c>
      <c r="M33" s="51" t="s">
        <v>465</v>
      </c>
      <c r="N33" s="51" t="s">
        <v>3371</v>
      </c>
      <c r="O33" s="51" t="s">
        <v>798</v>
      </c>
      <c r="P33" s="51" t="s">
        <v>360</v>
      </c>
      <c r="Q33" s="51" t="s">
        <v>472</v>
      </c>
      <c r="R33" s="66" t="s">
        <v>473</v>
      </c>
      <c r="S33" s="51" t="s">
        <v>347</v>
      </c>
      <c r="T33" s="50">
        <v>1</v>
      </c>
      <c r="U33" s="48" t="s">
        <v>471</v>
      </c>
      <c r="V33" s="47">
        <v>45988</v>
      </c>
      <c r="W33" s="45" t="s">
        <v>470</v>
      </c>
      <c r="X33" s="45"/>
      <c r="Y33" s="67" t="s">
        <v>462</v>
      </c>
      <c r="Z33" s="67"/>
      <c r="AA33" s="47"/>
      <c r="AB33" s="48" t="s">
        <v>317</v>
      </c>
      <c r="AC33" s="47"/>
      <c r="AD33" s="46" t="s">
        <v>309</v>
      </c>
      <c r="AE33" s="48" t="s">
        <v>3296</v>
      </c>
      <c r="AF33" s="41" t="str" cm="1">
        <f t="array" ref="AF33">IFERROR(_xlfn.XLOOKUP(TRIM($E33),TRIM('Año 2026'!$E$3:$E$66),'Año 2026'!$G$3:$G$66),"")</f>
        <v/>
      </c>
      <c r="AG33" s="41" t="str" cm="1">
        <f t="array" ref="AG33">IFERROR(_xlfn.XLOOKUP(TRIM($E33),TRIM('Año 2026'!$E$3:$E$66),'Año 2026'!$H$3:$H$66),"")</f>
        <v/>
      </c>
      <c r="AH33" s="41" t="str" cm="1">
        <f t="array" ref="AH33">IFERROR(_xlfn.XLOOKUP(TRIM($E33),TRIM('Año 2026'!$E$3:$E$66),'Año 2026'!$I$3:$I$66),"")</f>
        <v/>
      </c>
      <c r="AI33" s="41" t="str" cm="1">
        <f t="array" ref="AI33">IFERROR(_xlfn.XLOOKUP(TRIM($E33),TRIM('Año 2026'!$E$3:$E$66),'Año 2026'!$J$3:$J$66),"")</f>
        <v/>
      </c>
      <c r="AJ33" s="41" t="str" cm="1">
        <f t="array" ref="AJ33">IFERROR(_xlfn.XLOOKUP(TRIM($E33),TRIM('Año 2026'!$E$3:$E$66),'Año 2026'!$K$3:$K$66),"")</f>
        <v/>
      </c>
      <c r="AK33" s="41" t="str" cm="1">
        <f t="array" ref="AK33">IFERROR(_xlfn.XLOOKUP(TRIM($E33),TRIM('Año 2026'!$E$3:$E$66),'Año 2026'!$L$3:$L$66),"")</f>
        <v/>
      </c>
      <c r="AL33" s="41" t="str" cm="1">
        <f t="array" ref="AL33">IFERROR(_xlfn.XLOOKUP(TRIM($E33),TRIM('Año 2026'!$E$3:$E$66),'Año 2026'!$M$3:$M$66),"")</f>
        <v/>
      </c>
      <c r="AM33" s="41" t="str" cm="1">
        <f t="array" ref="AM33">IFERROR(_xlfn.XLOOKUP(TRIM($E33),TRIM('Año 2026'!$E$3:$E$66),'Año 2026'!$N$3:$N$66),"")</f>
        <v/>
      </c>
      <c r="AN33" s="41" t="str" cm="1">
        <f t="array" ref="AN33">IFERROR(_xlfn.XLOOKUP(TRIM($E33),TRIM('Año 2026'!$E$3:$E$66),'Año 2026'!$O$3:$O$66),"")</f>
        <v/>
      </c>
      <c r="AO33" s="41" t="str" cm="1">
        <f t="array" ref="AO33">IFERROR(_xlfn.XLOOKUP(TRIM($E33),TRIM('Año 2026'!$E$3:$E$66),'Año 2026'!$P$3:$P$66),"")</f>
        <v/>
      </c>
      <c r="AP33" s="41" t="str" cm="1">
        <f t="array" ref="AP33">IFERROR(_xlfn.XLOOKUP(TRIM($E33),TRIM('Año 2026'!$E$3:$E$66),'Año 2026'!$Q$3:$Q$66),"")</f>
        <v/>
      </c>
      <c r="AQ33" s="41" t="str" cm="1">
        <f t="array" ref="AQ33">IFERROR(_xlfn.XLOOKUP(TRIM($E33),TRIM('Año 2026'!$E$3:$E$66),'Año 2026'!$R$3:$R$66),"")</f>
        <v/>
      </c>
      <c r="AR33" s="41" t="str" cm="1">
        <f t="array" ref="AR33">IFERROR(_xlfn.XLOOKUP(TRIM($E33),TRIM('Año 2026'!$E$3:$E$66),'Año 2026'!$S$3:$S$66),"")</f>
        <v/>
      </c>
      <c r="AS33" s="41" t="str" cm="1">
        <f t="array" ref="AS33">IFERROR(_xlfn.XLOOKUP(TRIM($E33),TRIM('Año 2026'!$E$3:$E$66),'Año 2026'!$T$3:$T$66),"")</f>
        <v/>
      </c>
      <c r="AT33" s="41" t="str" cm="1">
        <f t="array" ref="AT33">IFERROR(_xlfn.XLOOKUP(TRIM($E33),TRIM('Año 2026'!$E$3:$E$66),'Año 2026'!$U$3:$U$66),"")</f>
        <v/>
      </c>
      <c r="AU33" s="41" t="str" cm="1">
        <f t="array" ref="AU33">IFERROR(_xlfn.XLOOKUP(TRIM($E33),TRIM('Año 2026'!$E$3:$E$66),'Año 2026'!$V$3:$V$66),"")</f>
        <v/>
      </c>
      <c r="AV33" s="41" t="str" cm="1">
        <f t="array" ref="AV33">IFERROR(_xlfn.XLOOKUP(TRIM($E33),TRIM('Año 2026'!$E$3:$E$66),'Año 2026'!$W$3:$W$66),"")</f>
        <v/>
      </c>
      <c r="AW33" s="41" t="str" cm="1">
        <f t="array" ref="AW33">IFERROR(_xlfn.XLOOKUP(TRIM($E33),TRIM('Año 2026'!$E$3:$E$66),'Año 2026'!$X$3:$X$66),"")</f>
        <v/>
      </c>
      <c r="AX33" s="41" t="str" cm="1">
        <f t="array" ref="AX33">IFERROR(_xlfn.XLOOKUP(TRIM($E33),TRIM('Año 2026'!$E$3:$E$66),'Año 2026'!$Y$3:$Y$66),"")</f>
        <v/>
      </c>
      <c r="AY33" s="41" t="str" cm="1">
        <f t="array" ref="AY33">IFERROR(_xlfn.XLOOKUP(TRIM($E33),TRIM('Año 2026'!$E$3:$E$66),'Año 2026'!$Z$3:$Z$66),"")</f>
        <v/>
      </c>
      <c r="AZ33" s="41" t="str" cm="1">
        <f t="array" ref="AZ33">IFERROR(_xlfn.XLOOKUP(TRIM($E33),TRIM('Año 2026'!$E$3:$E$66),'Año 2026'!$AA$3:$AA$66),"")</f>
        <v/>
      </c>
      <c r="BA33" s="41" t="str" cm="1">
        <f t="array" ref="BA33">IFERROR(_xlfn.XLOOKUP(TRIM($E33),TRIM('Año 2026'!$E$3:$E$66),'Año 2026'!$AB$3:$AB$66),"")</f>
        <v/>
      </c>
      <c r="BB33" s="41" t="str" cm="1">
        <f t="array" ref="BB33">IFERROR(_xlfn.XLOOKUP(TRIM($E33),TRIM('Año 2026'!$E$3:$E$66),'Año 2026'!$AC$3:$AC$66),"")</f>
        <v/>
      </c>
      <c r="BC33" s="41" t="str" cm="1">
        <f t="array" ref="BC33">IFERROR(_xlfn.XLOOKUP(TRIM($E33),TRIM('Año 2026'!$E$3:$E$66),'Año 2026'!$AD$3:$AD$66),"")</f>
        <v/>
      </c>
    </row>
    <row r="34" spans="1:55" s="41" customFormat="1" ht="114" customHeight="1" x14ac:dyDescent="0.25">
      <c r="A34" s="48">
        <v>33</v>
      </c>
      <c r="B34" s="51">
        <v>2025</v>
      </c>
      <c r="C34" s="51" t="s">
        <v>137</v>
      </c>
      <c r="D34" s="51" t="s">
        <v>284</v>
      </c>
      <c r="E34" s="51" t="s">
        <v>167</v>
      </c>
      <c r="F34" s="53" t="s">
        <v>269</v>
      </c>
      <c r="G34" s="48" t="s">
        <v>168</v>
      </c>
      <c r="H34" s="108">
        <v>16</v>
      </c>
      <c r="I34" s="51" t="s">
        <v>266</v>
      </c>
      <c r="J34" s="51" t="s">
        <v>3211</v>
      </c>
      <c r="K34" s="51" t="s">
        <v>476</v>
      </c>
      <c r="L34" s="51" t="s">
        <v>466</v>
      </c>
      <c r="M34" s="51" t="s">
        <v>465</v>
      </c>
      <c r="N34" s="51" t="s">
        <v>3371</v>
      </c>
      <c r="O34" s="51" t="s">
        <v>798</v>
      </c>
      <c r="P34" s="51" t="s">
        <v>360</v>
      </c>
      <c r="Q34" s="51" t="s">
        <v>373</v>
      </c>
      <c r="R34" s="66" t="s">
        <v>478</v>
      </c>
      <c r="S34" s="51"/>
      <c r="T34" s="50"/>
      <c r="U34" s="48"/>
      <c r="V34" s="47"/>
      <c r="W34" s="45"/>
      <c r="X34" s="45"/>
      <c r="Y34" s="67" t="s">
        <v>477</v>
      </c>
      <c r="Z34" s="67"/>
      <c r="AA34" s="47"/>
      <c r="AB34" s="48" t="s">
        <v>317</v>
      </c>
      <c r="AC34" s="47"/>
      <c r="AD34" s="46" t="s">
        <v>309</v>
      </c>
      <c r="AE34" s="48" t="s">
        <v>3296</v>
      </c>
      <c r="AF34" s="41" t="str" cm="1">
        <f t="array" ref="AF34">IFERROR(_xlfn.XLOOKUP(TRIM($E34),TRIM('Año 2026'!$E$3:$E$66),'Año 2026'!$G$3:$G$66),"")</f>
        <v>Oficio N° 00423-2026-SUNEDU-DS-DIRESESU-UVE (02.02.26)</v>
      </c>
      <c r="AG34" s="41" cm="1">
        <f t="array" ref="AG34">IFERROR(_xlfn.XLOOKUP(TRIM($E34),TRIM('Año 2026'!$E$3:$E$66),'Año 2026'!$H$3:$H$66),"")</f>
        <v>46057</v>
      </c>
      <c r="AH34" s="41" cm="1">
        <f t="array" ref="AH34">IFERROR(_xlfn.XLOOKUP(TRIM($E34),TRIM('Año 2026'!$E$3:$E$66),'Año 2026'!$I$3:$I$66),"")</f>
        <v>2</v>
      </c>
      <c r="AI34" s="41" cm="1">
        <f t="array" ref="AI34">IFERROR(_xlfn.XLOOKUP(TRIM($E34),TRIM('Año 2026'!$E$3:$E$66),'Año 2026'!$J$3:$J$66),"")</f>
        <v>46094</v>
      </c>
      <c r="AJ34" s="41" cm="1">
        <f t="array" aca="1" ref="AJ34" ca="1">IFERROR(_xlfn.XLOOKUP(TRIM($E34),TRIM('Año 2026'!$E$3:$E$66),'Año 2026'!$K$3:$K$66),"")</f>
        <v>-98</v>
      </c>
      <c r="AK34" s="41" t="str" cm="1">
        <f t="array" aca="1" ref="AK34" ca="1">IFERROR(_xlfn.XLOOKUP(TRIM($E34),TRIM('Año 2026'!$E$3:$E$66),'Año 2026'!$L$3:$L$66),"")</f>
        <v>NUEVA FECHA</v>
      </c>
      <c r="AL34" s="41" t="str" cm="1">
        <f t="array" aca="1" ref="AL34" ca="1">IFERROR(_xlfn.XLOOKUP(TRIM($E34),TRIM('Año 2026'!$E$3:$E$66),'Año 2026'!$M$3:$M$66),"")</f>
        <v>NUEVA FECHA</v>
      </c>
      <c r="AM34" s="41" t="str" cm="1">
        <f t="array" ref="AM34">IFERROR(_xlfn.XLOOKUP(TRIM($E34),TRIM('Año 2026'!$E$3:$E$66),'Año 2026'!$N$3:$N$66),"")</f>
        <v>Ajustes al plazo</v>
      </c>
      <c r="AN34" s="41" cm="1">
        <f t="array" ref="AN34">IFERROR(_xlfn.XLOOKUP(TRIM($E34),TRIM('Año 2026'!$E$3:$E$66),'Año 2026'!$O$3:$O$66),"")</f>
        <v>0</v>
      </c>
      <c r="AO34" s="41" t="str" cm="1">
        <f t="array" ref="AO34">IFERROR(_xlfn.XLOOKUP(TRIM($E34),TRIM('Año 2026'!$E$3:$E$66),'Año 2026'!$P$3:$P$66),"")</f>
        <v>Prórroga</v>
      </c>
      <c r="AP34" s="41" cm="1">
        <f t="array" ref="AP34">IFERROR(_xlfn.XLOOKUP(TRIM($E34),TRIM('Año 2026'!$E$3:$E$66),'Año 2026'!$Q$3:$Q$66),"")</f>
        <v>0</v>
      </c>
      <c r="AQ34" s="41" cm="1">
        <f t="array" ref="AQ34">IFERROR(_xlfn.XLOOKUP(TRIM($E34),TRIM('Año 2026'!$E$3:$E$66),'Año 2026'!$R$3:$R$66),"")</f>
        <v>0</v>
      </c>
      <c r="AR34" s="41" cm="1">
        <f t="array" ref="AR34">IFERROR(_xlfn.XLOOKUP(TRIM($E34),TRIM('Año 2026'!$E$3:$E$66),'Año 2026'!$S$3:$S$66),"")</f>
        <v>0</v>
      </c>
      <c r="AS34" s="41" cm="1">
        <f t="array" ref="AS34">IFERROR(_xlfn.XLOOKUP(TRIM($E34),TRIM('Año 2026'!$E$3:$E$66),'Año 2026'!$T$3:$T$66),"")</f>
        <v>0</v>
      </c>
      <c r="AT34" s="41" cm="1">
        <f t="array" ref="AT34">IFERROR(_xlfn.XLOOKUP(TRIM($E34),TRIM('Año 2026'!$E$3:$E$66),'Año 2026'!$U$3:$U$66),"")</f>
        <v>0</v>
      </c>
      <c r="AU34" s="41" t="str" cm="1">
        <f t="array" ref="AU34">IFERROR(_xlfn.XLOOKUP(TRIM($E34),TRIM('Año 2026'!$E$3:$E$66),'Año 2026'!$V$3:$V$66),"")</f>
        <v>Oficio N° 00820-2026-SUNEDU-DS-DIRESESU-UVE (09.03.26)</v>
      </c>
      <c r="AV34" s="41" cm="1">
        <f t="array" ref="AV34">IFERROR(_xlfn.XLOOKUP(TRIM($E34),TRIM('Año 2026'!$E$3:$E$66),'Año 2026'!$W$3:$W$66),"")</f>
        <v>46090</v>
      </c>
      <c r="AW34" s="41" cm="1">
        <f t="array" ref="AW34">IFERROR(_xlfn.XLOOKUP(TRIM($E34),TRIM('Año 2026'!$E$3:$E$66),'Año 2026'!$X$3:$X$66),"")</f>
        <v>10</v>
      </c>
      <c r="AX34" s="41" t="str" cm="1">
        <f t="array" ref="AX34">IFERROR(_xlfn.XLOOKUP(TRIM($E34),TRIM('Año 2026'!$E$3:$E$66),'Año 2026'!$Y$3:$Y$66),"")</f>
        <v/>
      </c>
      <c r="AY34" s="41" t="str" cm="1">
        <f t="array" aca="1" ref="AY34" ca="1">IFERROR(_xlfn.XLOOKUP(TRIM($E34),TRIM('Año 2026'!$E$3:$E$66),'Año 2026'!$Z$3:$Z$66),"")</f>
        <v/>
      </c>
      <c r="AZ34" s="41" t="str" cm="1">
        <f t="array" aca="1" ref="AZ34" ca="1">IFERROR(_xlfn.XLOOKUP(TRIM($E34),TRIM('Año 2026'!$E$3:$E$66),'Año 2026'!$AA$3:$AA$66),"")</f>
        <v/>
      </c>
      <c r="BA34" s="41" t="str" cm="1">
        <f t="array" aca="1" ref="BA34" ca="1">IFERROR(_xlfn.XLOOKUP(TRIM($E34),TRIM('Año 2026'!$E$3:$E$66),'Año 2026'!$AB$3:$AB$66),"")</f>
        <v/>
      </c>
      <c r="BB34" s="41" t="str" cm="1">
        <f t="array" ref="BB34">IFERROR(_xlfn.XLOOKUP(TRIM($E34),TRIM('Año 2026'!$E$3:$E$66),'Año 2026'!$AC$3:$AC$66),"")</f>
        <v>Entregado</v>
      </c>
      <c r="BC34" s="41" cm="1">
        <f t="array" ref="BC34">IFERROR(_xlfn.XLOOKUP(TRIM($E34),TRIM('Año 2026'!$E$3:$E$66),'Año 2026'!$AD$3:$AD$66),"")</f>
        <v>0</v>
      </c>
    </row>
    <row r="35" spans="1:55" s="41" customFormat="1" ht="114" customHeight="1" x14ac:dyDescent="0.25">
      <c r="A35" s="48">
        <v>34</v>
      </c>
      <c r="B35" s="51">
        <v>2025</v>
      </c>
      <c r="C35" s="51" t="s">
        <v>69</v>
      </c>
      <c r="D35" s="51" t="s">
        <v>284</v>
      </c>
      <c r="E35" s="77" t="s">
        <v>165</v>
      </c>
      <c r="F35" s="53" t="s">
        <v>269</v>
      </c>
      <c r="G35" s="51" t="s">
        <v>3299</v>
      </c>
      <c r="H35" s="108">
        <v>31</v>
      </c>
      <c r="I35" s="48" t="s">
        <v>266</v>
      </c>
      <c r="J35" s="51" t="s">
        <v>324</v>
      </c>
      <c r="K35" s="51" t="s">
        <v>506</v>
      </c>
      <c r="L35" s="51" t="s">
        <v>506</v>
      </c>
      <c r="M35" s="51" t="s">
        <v>505</v>
      </c>
      <c r="N35" s="51" t="s">
        <v>507</v>
      </c>
      <c r="O35" s="51" t="s">
        <v>798</v>
      </c>
      <c r="P35" s="51" t="s">
        <v>360</v>
      </c>
      <c r="Q35" s="51" t="s">
        <v>504</v>
      </c>
      <c r="R35" s="78" t="s">
        <v>3300</v>
      </c>
      <c r="S35" s="51" t="s">
        <v>347</v>
      </c>
      <c r="T35" s="50"/>
      <c r="U35" s="48" t="s">
        <v>3301</v>
      </c>
      <c r="V35" s="47">
        <v>45910</v>
      </c>
      <c r="W35" s="45" t="s">
        <v>418</v>
      </c>
      <c r="X35" s="45"/>
      <c r="Y35" s="52"/>
      <c r="Z35" s="52"/>
      <c r="AA35" s="47"/>
      <c r="AB35" s="48" t="s">
        <v>317</v>
      </c>
      <c r="AC35" s="47"/>
      <c r="AD35" s="46" t="s">
        <v>309</v>
      </c>
      <c r="AE35" s="48" t="s">
        <v>308</v>
      </c>
      <c r="AF35" s="41" t="str" cm="1">
        <f t="array" ref="AF35">IFERROR(_xlfn.XLOOKUP(TRIM($E35),TRIM('Año 2026'!$E$3:$E$66),'Año 2026'!$G$3:$G$66),"")</f>
        <v>05589-2025-SUNEDU-DS-DIRESESU-UVE</v>
      </c>
      <c r="AG35" s="41" cm="1">
        <f t="array" ref="AG35">IFERROR(_xlfn.XLOOKUP(TRIM($E35),TRIM('Año 2026'!$E$3:$E$66),'Año 2026'!$H$3:$H$66),"")</f>
        <v>46029</v>
      </c>
      <c r="AH35" s="41" cm="1">
        <f t="array" ref="AH35">IFERROR(_xlfn.XLOOKUP(TRIM($E35),TRIM('Año 2026'!$E$3:$E$66),'Año 2026'!$I$3:$I$66),"")</f>
        <v>5</v>
      </c>
      <c r="AI35" s="41" cm="1">
        <f t="array" ref="AI35">IFERROR(_xlfn.XLOOKUP(TRIM($E35),TRIM('Año 2026'!$E$3:$E$66),'Año 2026'!$J$3:$J$66),"")</f>
        <v>46094</v>
      </c>
      <c r="AJ35" s="41" cm="1">
        <f t="array" aca="1" ref="AJ35" ca="1">IFERROR(_xlfn.XLOOKUP(TRIM($E35),TRIM('Año 2026'!$E$3:$E$66),'Año 2026'!$K$3:$K$66),"")</f>
        <v>-98</v>
      </c>
      <c r="AK35" s="41" t="str" cm="1">
        <f t="array" aca="1" ref="AK35" ca="1">IFERROR(_xlfn.XLOOKUP(TRIM($E35),TRIM('Año 2026'!$E$3:$E$66),'Año 2026'!$L$3:$L$66),"")</f>
        <v>NUEVA FECHA</v>
      </c>
      <c r="AL35" s="41" t="str" cm="1">
        <f t="array" aca="1" ref="AL35" ca="1">IFERROR(_xlfn.XLOOKUP(TRIM($E35),TRIM('Año 2026'!$E$3:$E$66),'Año 2026'!$M$3:$M$66),"")</f>
        <v>NUEVA FECHA</v>
      </c>
      <c r="AM35" s="41" t="str" cm="1">
        <f t="array" ref="AM35">IFERROR(_xlfn.XLOOKUP(TRIM($E35),TRIM('Año 2026'!$E$3:$E$66),'Año 2026'!$N$3:$N$66),"")</f>
        <v>Ajustes al plazo</v>
      </c>
      <c r="AN35" s="41" cm="1">
        <f t="array" ref="AN35">IFERROR(_xlfn.XLOOKUP(TRIM($E35),TRIM('Año 2026'!$E$3:$E$66),'Año 2026'!$O$3:$O$66),"")</f>
        <v>0</v>
      </c>
      <c r="AO35" s="41" t="str" cm="1">
        <f t="array" ref="AO35">IFERROR(_xlfn.XLOOKUP(TRIM($E35),TRIM('Año 2026'!$E$3:$E$66),'Año 2026'!$P$3:$P$66),"")</f>
        <v>Prórroga</v>
      </c>
      <c r="AP35" s="41" cm="1">
        <f t="array" ref="AP35">IFERROR(_xlfn.XLOOKUP(TRIM($E35),TRIM('Año 2026'!$E$3:$E$66),'Año 2026'!$Q$3:$Q$66),"")</f>
        <v>0</v>
      </c>
      <c r="AQ35" s="41" cm="1">
        <f t="array" ref="AQ35">IFERROR(_xlfn.XLOOKUP(TRIM($E35),TRIM('Año 2026'!$E$3:$E$66),'Año 2026'!$R$3:$R$66),"")</f>
        <v>0</v>
      </c>
      <c r="AR35" s="41" cm="1">
        <f t="array" ref="AR35">IFERROR(_xlfn.XLOOKUP(TRIM($E35),TRIM('Año 2026'!$E$3:$E$66),'Año 2026'!$S$3:$S$66),"")</f>
        <v>0</v>
      </c>
      <c r="AS35" s="41" cm="1">
        <f t="array" ref="AS35">IFERROR(_xlfn.XLOOKUP(TRIM($E35),TRIM('Año 2026'!$E$3:$E$66),'Año 2026'!$T$3:$T$66),"")</f>
        <v>0</v>
      </c>
      <c r="AT35" s="41" cm="1">
        <f t="array" ref="AT35">IFERROR(_xlfn.XLOOKUP(TRIM($E35),TRIM('Año 2026'!$E$3:$E$66),'Año 2026'!$U$3:$U$66),"")</f>
        <v>0</v>
      </c>
      <c r="AU35" s="41" cm="1">
        <f t="array" ref="AU35">IFERROR(_xlfn.XLOOKUP(TRIM($E35),TRIM('Año 2026'!$E$3:$E$66),'Año 2026'!$V$3:$V$66),"")</f>
        <v>0</v>
      </c>
      <c r="AV35" s="41" cm="1">
        <f t="array" ref="AV35">IFERROR(_xlfn.XLOOKUP(TRIM($E35),TRIM('Año 2026'!$E$3:$E$66),'Año 2026'!$W$3:$W$66),"")</f>
        <v>0</v>
      </c>
      <c r="AW35" s="41" cm="1">
        <f t="array" ref="AW35">IFERROR(_xlfn.XLOOKUP(TRIM($E35),TRIM('Año 2026'!$E$3:$E$66),'Año 2026'!$X$3:$X$66),"")</f>
        <v>0</v>
      </c>
      <c r="AX35" s="41" cm="1">
        <f t="array" ref="AX35">IFERROR(_xlfn.XLOOKUP(TRIM($E35),TRIM('Año 2026'!$E$3:$E$66),'Año 2026'!$Y$3:$Y$66),"")</f>
        <v>0</v>
      </c>
      <c r="AY35" s="41" cm="1">
        <f t="array" ref="AY35">IFERROR(_xlfn.XLOOKUP(TRIM($E35),TRIM('Año 2026'!$E$3:$E$66),'Año 2026'!$Z$3:$Z$66),"")</f>
        <v>0</v>
      </c>
      <c r="AZ35" s="41" cm="1">
        <f t="array" ref="AZ35">IFERROR(_xlfn.XLOOKUP(TRIM($E35),TRIM('Año 2026'!$E$3:$E$66),'Año 2026'!$AA$3:$AA$66),"")</f>
        <v>0</v>
      </c>
      <c r="BA35" s="41" cm="1">
        <f t="array" ref="BA35">IFERROR(_xlfn.XLOOKUP(TRIM($E35),TRIM('Año 2026'!$E$3:$E$66),'Año 2026'!$AB$3:$AB$66),"")</f>
        <v>0</v>
      </c>
      <c r="BB35" s="41" t="str" cm="1">
        <f t="array" ref="BB35">IFERROR(_xlfn.XLOOKUP(TRIM($E35),TRIM('Año 2026'!$E$3:$E$66),'Año 2026'!$AC$3:$AC$66),"")</f>
        <v>Entregado</v>
      </c>
      <c r="BC35" s="41" t="str" cm="1">
        <f t="array" ref="BC35">IFERROR(_xlfn.XLOOKUP(TRIM($E35),TRIM('Año 2026'!$E$3:$E$66),'Año 2026'!$AD$3:$AD$66),"")</f>
        <v>No se atendió la prórroga</v>
      </c>
    </row>
    <row r="36" spans="1:55" s="41" customFormat="1" ht="132" customHeight="1" x14ac:dyDescent="0.25">
      <c r="A36" s="48">
        <v>35</v>
      </c>
      <c r="B36" s="51">
        <v>2025</v>
      </c>
      <c r="C36" s="51" t="s">
        <v>137</v>
      </c>
      <c r="D36" s="51" t="s">
        <v>287</v>
      </c>
      <c r="E36" s="51" t="s">
        <v>468</v>
      </c>
      <c r="F36" s="53" t="s">
        <v>269</v>
      </c>
      <c r="G36" s="68" t="s">
        <v>232</v>
      </c>
      <c r="H36" s="108">
        <v>16</v>
      </c>
      <c r="I36" s="51" t="s">
        <v>266</v>
      </c>
      <c r="J36" s="51" t="s">
        <v>3211</v>
      </c>
      <c r="K36" s="51" t="s">
        <v>467</v>
      </c>
      <c r="L36" s="51" t="s">
        <v>466</v>
      </c>
      <c r="M36" s="51" t="s">
        <v>465</v>
      </c>
      <c r="N36" s="51" t="s">
        <v>3371</v>
      </c>
      <c r="O36" s="51" t="s">
        <v>798</v>
      </c>
      <c r="P36" s="51" t="s">
        <v>360</v>
      </c>
      <c r="Q36" s="51" t="s">
        <v>464</v>
      </c>
      <c r="R36" s="55" t="s">
        <v>3302</v>
      </c>
      <c r="S36" s="51" t="s">
        <v>347</v>
      </c>
      <c r="T36" s="50">
        <v>1</v>
      </c>
      <c r="U36" s="48" t="s">
        <v>3303</v>
      </c>
      <c r="V36" s="47">
        <v>46002</v>
      </c>
      <c r="W36" s="45" t="s">
        <v>463</v>
      </c>
      <c r="X36" s="45"/>
      <c r="Y36" s="67" t="s">
        <v>462</v>
      </c>
      <c r="Z36" s="67"/>
      <c r="AA36" s="47"/>
      <c r="AB36" s="48" t="s">
        <v>317</v>
      </c>
      <c r="AC36" s="47"/>
      <c r="AD36" s="46" t="s">
        <v>309</v>
      </c>
      <c r="AE36" s="45" t="s">
        <v>3304</v>
      </c>
      <c r="AF36" s="41" t="str" cm="1">
        <f t="array" ref="AF36">IFERROR(_xlfn.XLOOKUP(TRIM($E36),TRIM('Año 2026'!$E$3:$E$66),'Año 2026'!$G$3:$G$66),"")</f>
        <v/>
      </c>
      <c r="AG36" s="41" t="str" cm="1">
        <f t="array" ref="AG36">IFERROR(_xlfn.XLOOKUP(TRIM($E36),TRIM('Año 2026'!$E$3:$E$66),'Año 2026'!$H$3:$H$66),"")</f>
        <v/>
      </c>
      <c r="AH36" s="41" t="str" cm="1">
        <f t="array" ref="AH36">IFERROR(_xlfn.XLOOKUP(TRIM($E36),TRIM('Año 2026'!$E$3:$E$66),'Año 2026'!$I$3:$I$66),"")</f>
        <v/>
      </c>
      <c r="AI36" s="41" t="str" cm="1">
        <f t="array" ref="AI36">IFERROR(_xlfn.XLOOKUP(TRIM($E36),TRIM('Año 2026'!$E$3:$E$66),'Año 2026'!$J$3:$J$66),"")</f>
        <v/>
      </c>
      <c r="AJ36" s="41" t="str" cm="1">
        <f t="array" ref="AJ36">IFERROR(_xlfn.XLOOKUP(TRIM($E36),TRIM('Año 2026'!$E$3:$E$66),'Año 2026'!$K$3:$K$66),"")</f>
        <v/>
      </c>
      <c r="AK36" s="41" t="str" cm="1">
        <f t="array" ref="AK36">IFERROR(_xlfn.XLOOKUP(TRIM($E36),TRIM('Año 2026'!$E$3:$E$66),'Año 2026'!$L$3:$L$66),"")</f>
        <v/>
      </c>
      <c r="AL36" s="41" t="str" cm="1">
        <f t="array" ref="AL36">IFERROR(_xlfn.XLOOKUP(TRIM($E36),TRIM('Año 2026'!$E$3:$E$66),'Año 2026'!$M$3:$M$66),"")</f>
        <v/>
      </c>
      <c r="AM36" s="41" t="str" cm="1">
        <f t="array" ref="AM36">IFERROR(_xlfn.XLOOKUP(TRIM($E36),TRIM('Año 2026'!$E$3:$E$66),'Año 2026'!$N$3:$N$66),"")</f>
        <v/>
      </c>
      <c r="AN36" s="41" t="str" cm="1">
        <f t="array" ref="AN36">IFERROR(_xlfn.XLOOKUP(TRIM($E36),TRIM('Año 2026'!$E$3:$E$66),'Año 2026'!$O$3:$O$66),"")</f>
        <v/>
      </c>
      <c r="AO36" s="41" t="str" cm="1">
        <f t="array" ref="AO36">IFERROR(_xlfn.XLOOKUP(TRIM($E36),TRIM('Año 2026'!$E$3:$E$66),'Año 2026'!$P$3:$P$66),"")</f>
        <v/>
      </c>
      <c r="AP36" s="41" t="str" cm="1">
        <f t="array" ref="AP36">IFERROR(_xlfn.XLOOKUP(TRIM($E36),TRIM('Año 2026'!$E$3:$E$66),'Año 2026'!$Q$3:$Q$66),"")</f>
        <v/>
      </c>
      <c r="AQ36" s="41" t="str" cm="1">
        <f t="array" ref="AQ36">IFERROR(_xlfn.XLOOKUP(TRIM($E36),TRIM('Año 2026'!$E$3:$E$66),'Año 2026'!$R$3:$R$66),"")</f>
        <v/>
      </c>
      <c r="AR36" s="41" t="str" cm="1">
        <f t="array" ref="AR36">IFERROR(_xlfn.XLOOKUP(TRIM($E36),TRIM('Año 2026'!$E$3:$E$66),'Año 2026'!$S$3:$S$66),"")</f>
        <v/>
      </c>
      <c r="AS36" s="41" t="str" cm="1">
        <f t="array" ref="AS36">IFERROR(_xlfn.XLOOKUP(TRIM($E36),TRIM('Año 2026'!$E$3:$E$66),'Año 2026'!$T$3:$T$66),"")</f>
        <v/>
      </c>
      <c r="AT36" s="41" t="str" cm="1">
        <f t="array" ref="AT36">IFERROR(_xlfn.XLOOKUP(TRIM($E36),TRIM('Año 2026'!$E$3:$E$66),'Año 2026'!$U$3:$U$66),"")</f>
        <v/>
      </c>
      <c r="AU36" s="41" t="str" cm="1">
        <f t="array" ref="AU36">IFERROR(_xlfn.XLOOKUP(TRIM($E36),TRIM('Año 2026'!$E$3:$E$66),'Año 2026'!$V$3:$V$66),"")</f>
        <v/>
      </c>
      <c r="AV36" s="41" t="str" cm="1">
        <f t="array" ref="AV36">IFERROR(_xlfn.XLOOKUP(TRIM($E36),TRIM('Año 2026'!$E$3:$E$66),'Año 2026'!$W$3:$W$66),"")</f>
        <v/>
      </c>
      <c r="AW36" s="41" t="str" cm="1">
        <f t="array" ref="AW36">IFERROR(_xlfn.XLOOKUP(TRIM($E36),TRIM('Año 2026'!$E$3:$E$66),'Año 2026'!$X$3:$X$66),"")</f>
        <v/>
      </c>
      <c r="AX36" s="41" t="str" cm="1">
        <f t="array" ref="AX36">IFERROR(_xlfn.XLOOKUP(TRIM($E36),TRIM('Año 2026'!$E$3:$E$66),'Año 2026'!$Y$3:$Y$66),"")</f>
        <v/>
      </c>
      <c r="AY36" s="41" t="str" cm="1">
        <f t="array" ref="AY36">IFERROR(_xlfn.XLOOKUP(TRIM($E36),TRIM('Año 2026'!$E$3:$E$66),'Año 2026'!$Z$3:$Z$66),"")</f>
        <v/>
      </c>
      <c r="AZ36" s="41" t="str" cm="1">
        <f t="array" ref="AZ36">IFERROR(_xlfn.XLOOKUP(TRIM($E36),TRIM('Año 2026'!$E$3:$E$66),'Año 2026'!$AA$3:$AA$66),"")</f>
        <v/>
      </c>
      <c r="BA36" s="41" t="str" cm="1">
        <f t="array" ref="BA36">IFERROR(_xlfn.XLOOKUP(TRIM($E36),TRIM('Año 2026'!$E$3:$E$66),'Año 2026'!$AB$3:$AB$66),"")</f>
        <v/>
      </c>
      <c r="BB36" s="41" t="str" cm="1">
        <f t="array" ref="BB36">IFERROR(_xlfn.XLOOKUP(TRIM($E36),TRIM('Año 2026'!$E$3:$E$66),'Año 2026'!$AC$3:$AC$66),"")</f>
        <v/>
      </c>
      <c r="BC36" s="41" t="str" cm="1">
        <f t="array" ref="BC36">IFERROR(_xlfn.XLOOKUP(TRIM($E36),TRIM('Año 2026'!$E$3:$E$66),'Año 2026'!$AD$3:$AD$66),"")</f>
        <v/>
      </c>
    </row>
    <row r="37" spans="1:55" s="41" customFormat="1" ht="142.5" customHeight="1" x14ac:dyDescent="0.25">
      <c r="A37" s="48">
        <v>36</v>
      </c>
      <c r="B37" s="51">
        <v>2025</v>
      </c>
      <c r="C37" s="51" t="s">
        <v>277</v>
      </c>
      <c r="D37" s="51" t="s">
        <v>353</v>
      </c>
      <c r="E37" s="54" t="s">
        <v>114</v>
      </c>
      <c r="F37" s="53" t="s">
        <v>269</v>
      </c>
      <c r="G37" s="51"/>
      <c r="H37" s="108">
        <v>26</v>
      </c>
      <c r="I37" s="51" t="s">
        <v>266</v>
      </c>
      <c r="J37" s="51" t="s">
        <v>3204</v>
      </c>
      <c r="K37" s="51" t="s">
        <v>322</v>
      </c>
      <c r="L37" s="51" t="s">
        <v>349</v>
      </c>
      <c r="M37" s="51" t="s">
        <v>3372</v>
      </c>
      <c r="N37" s="51" t="s">
        <v>3373</v>
      </c>
      <c r="O37" s="51" t="s">
        <v>798</v>
      </c>
      <c r="P37" s="51" t="s">
        <v>3235</v>
      </c>
      <c r="Q37" s="51" t="s">
        <v>3227</v>
      </c>
      <c r="R37" s="55" t="s">
        <v>350</v>
      </c>
      <c r="S37" s="51" t="s">
        <v>347</v>
      </c>
      <c r="T37" s="50">
        <v>1</v>
      </c>
      <c r="U37" s="48" t="s">
        <v>346</v>
      </c>
      <c r="V37" s="47">
        <v>46002</v>
      </c>
      <c r="W37" s="45" t="s">
        <v>345</v>
      </c>
      <c r="X37" s="45"/>
      <c r="Y37" s="56" t="s">
        <v>3305</v>
      </c>
      <c r="Z37" s="49" t="s">
        <v>264</v>
      </c>
      <c r="AA37" s="47">
        <v>46318</v>
      </c>
      <c r="AB37" s="48" t="str">
        <f ca="1">IF(AA37&lt;TODAY(),"VENCIDO","POR VENCER")</f>
        <v>POR VENCER</v>
      </c>
      <c r="AC37" s="47">
        <v>46325</v>
      </c>
      <c r="AD37" s="46" t="s">
        <v>309</v>
      </c>
      <c r="AE37" s="48" t="s">
        <v>316</v>
      </c>
      <c r="AF37" s="41" t="str" cm="1">
        <f t="array" ref="AF37">IFERROR(_xlfn.XLOOKUP(TRIM($E37),TRIM('Año 2026'!$E$3:$E$66),'Año 2026'!$G$3:$G$66),"")</f>
        <v>Oficio N° 04289-2025-SUNEDU-DS-DIRESESU-UVE</v>
      </c>
      <c r="AG37" s="41" cm="1">
        <f t="array" ref="AG37">IFERROR(_xlfn.XLOOKUP(TRIM($E37),TRIM('Año 2026'!$E$3:$E$66),'Año 2026'!$H$3:$H$66),"")</f>
        <v>45957</v>
      </c>
      <c r="AH37" s="41" cm="1">
        <f t="array" ref="AH37">IFERROR(_xlfn.XLOOKUP(TRIM($E37),TRIM('Año 2026'!$E$3:$E$66),'Año 2026'!$I$3:$I$66),"")</f>
        <v>10</v>
      </c>
      <c r="AI37" s="41" cm="1">
        <f t="array" ref="AI37">IFERROR(_xlfn.XLOOKUP(TRIM($E37),TRIM('Año 2026'!$E$3:$E$66),'Año 2026'!$J$3:$J$66),"")</f>
        <v>45971</v>
      </c>
      <c r="AJ37" s="41" cm="1">
        <f t="array" aca="1" ref="AJ37" ca="1">IFERROR(_xlfn.XLOOKUP(TRIM($E37),TRIM('Año 2026'!$E$3:$E$66),'Año 2026'!$K$3:$K$66),"")</f>
        <v>-221</v>
      </c>
      <c r="AK37" s="41" t="str" cm="1">
        <f t="array" aca="1" ref="AK37" ca="1">IFERROR(_xlfn.XLOOKUP(TRIM($E37),TRIM('Año 2026'!$E$3:$E$66),'Año 2026'!$L$3:$L$66),"")</f>
        <v>NUEVA FECHA</v>
      </c>
      <c r="AL37" s="41" t="str" cm="1">
        <f t="array" aca="1" ref="AL37" ca="1">IFERROR(_xlfn.XLOOKUP(TRIM($E37),TRIM('Año 2026'!$E$3:$E$66),'Año 2026'!$M$3:$M$66),"")</f>
        <v>NUEVA FECHA</v>
      </c>
      <c r="AM37" s="41" t="str" cm="1">
        <f t="array" ref="AM37">IFERROR(_xlfn.XLOOKUP(TRIM($E37),TRIM('Año 2026'!$E$3:$E$66),'Año 2026'!$N$3:$N$66),"")</f>
        <v>Ajustes al plazo</v>
      </c>
      <c r="AN37" s="41" cm="1">
        <f t="array" ref="AN37">IFERROR(_xlfn.XLOOKUP(TRIM($E37),TRIM('Año 2026'!$E$3:$E$66),'Año 2026'!$O$3:$O$66),"")</f>
        <v>0</v>
      </c>
      <c r="AO37" s="41" t="str" cm="1">
        <f t="array" ref="AO37">IFERROR(_xlfn.XLOOKUP(TRIM($E37),TRIM('Año 2026'!$E$3:$E$66),'Año 2026'!$P$3:$P$66),"")</f>
        <v>Prórroga</v>
      </c>
      <c r="AP37" s="41" cm="1">
        <f t="array" ref="AP37">IFERROR(_xlfn.XLOOKUP(TRIM($E37),TRIM('Año 2026'!$E$3:$E$66),'Año 2026'!$Q$3:$Q$66),"")</f>
        <v>0</v>
      </c>
      <c r="AQ37" s="41" cm="1">
        <f t="array" ref="AQ37">IFERROR(_xlfn.XLOOKUP(TRIM($E37),TRIM('Año 2026'!$E$3:$E$66),'Año 2026'!$R$3:$R$66),"")</f>
        <v>0</v>
      </c>
      <c r="AR37" s="41" cm="1">
        <f t="array" ref="AR37">IFERROR(_xlfn.XLOOKUP(TRIM($E37),TRIM('Año 2026'!$E$3:$E$66),'Año 2026'!$S$3:$S$66),"")</f>
        <v>0</v>
      </c>
      <c r="AS37" s="41" cm="1">
        <f t="array" ref="AS37">IFERROR(_xlfn.XLOOKUP(TRIM($E37),TRIM('Año 2026'!$E$3:$E$66),'Año 2026'!$T$3:$T$66),"")</f>
        <v>0</v>
      </c>
      <c r="AT37" s="41" cm="1">
        <f t="array" ref="AT37">IFERROR(_xlfn.XLOOKUP(TRIM($E37),TRIM('Año 2026'!$E$3:$E$66),'Año 2026'!$U$3:$U$66),"")</f>
        <v>0</v>
      </c>
      <c r="AU37" s="41" t="str" cm="1">
        <f t="array" ref="AU37">IFERROR(_xlfn.XLOOKUP(TRIM($E37),TRIM('Año 2026'!$E$3:$E$66),'Año 2026'!$V$3:$V$66),"")</f>
        <v>0012-2026-SUNEDU-DS-DIRESESU-UVE</v>
      </c>
      <c r="AV37" s="41" cm="1">
        <f t="array" ref="AV37">IFERROR(_xlfn.XLOOKUP(TRIM($E37),TRIM('Año 2026'!$E$3:$E$66),'Año 2026'!$W$3:$W$66),"")</f>
        <v>46034</v>
      </c>
      <c r="AW37" s="41" cm="1">
        <f t="array" ref="AW37">IFERROR(_xlfn.XLOOKUP(TRIM($E37),TRIM('Año 2026'!$E$3:$E$66),'Año 2026'!$X$3:$X$66),"")</f>
        <v>10</v>
      </c>
      <c r="AX37" s="41" t="str" cm="1">
        <f t="array" ref="AX37">IFERROR(_xlfn.XLOOKUP(TRIM($E37),TRIM('Año 2026'!$E$3:$E$66),'Año 2026'!$Y$3:$Y$66),"")</f>
        <v/>
      </c>
      <c r="AY37" s="41" t="str" cm="1">
        <f t="array" aca="1" ref="AY37" ca="1">IFERROR(_xlfn.XLOOKUP(TRIM($E37),TRIM('Año 2026'!$E$3:$E$66),'Año 2026'!$Z$3:$Z$66),"")</f>
        <v/>
      </c>
      <c r="AZ37" s="41" t="str" cm="1">
        <f t="array" aca="1" ref="AZ37" ca="1">IFERROR(_xlfn.XLOOKUP(TRIM($E37),TRIM('Año 2026'!$E$3:$E$66),'Año 2026'!$AA$3:$AA$66),"")</f>
        <v/>
      </c>
      <c r="BA37" s="41" t="str" cm="1">
        <f t="array" aca="1" ref="BA37" ca="1">IFERROR(_xlfn.XLOOKUP(TRIM($E37),TRIM('Año 2026'!$E$3:$E$66),'Año 2026'!$AB$3:$AB$66),"")</f>
        <v/>
      </c>
      <c r="BB37" s="41" t="str" cm="1">
        <f t="array" ref="BB37">IFERROR(_xlfn.XLOOKUP(TRIM($E37),TRIM('Año 2026'!$E$3:$E$66),'Año 2026'!$AC$3:$AC$66),"")</f>
        <v>Entregado</v>
      </c>
      <c r="BC37" s="41" cm="1">
        <f t="array" ref="BC37">IFERROR(_xlfn.XLOOKUP(TRIM($E37),TRIM('Año 2026'!$E$3:$E$66),'Año 2026'!$AD$3:$AD$66),"")</f>
        <v>0</v>
      </c>
    </row>
    <row r="38" spans="1:55" s="41" customFormat="1" ht="101.25" customHeight="1" x14ac:dyDescent="0.25">
      <c r="A38" s="48">
        <v>37</v>
      </c>
      <c r="B38" s="51">
        <v>2025</v>
      </c>
      <c r="C38" s="51" t="s">
        <v>69</v>
      </c>
      <c r="D38" s="51" t="s">
        <v>287</v>
      </c>
      <c r="E38" s="51" t="s">
        <v>223</v>
      </c>
      <c r="F38" s="53" t="s">
        <v>269</v>
      </c>
      <c r="G38" s="51" t="s">
        <v>224</v>
      </c>
      <c r="H38" s="108">
        <v>44</v>
      </c>
      <c r="I38" s="51" t="s">
        <v>266</v>
      </c>
      <c r="J38" s="51" t="s">
        <v>324</v>
      </c>
      <c r="K38" s="51" t="s">
        <v>385</v>
      </c>
      <c r="L38" s="51" t="s">
        <v>487</v>
      </c>
      <c r="M38" s="51" t="s">
        <v>487</v>
      </c>
      <c r="N38" s="51" t="s">
        <v>3374</v>
      </c>
      <c r="O38" s="51" t="s">
        <v>798</v>
      </c>
      <c r="P38" s="51" t="s">
        <v>3238</v>
      </c>
      <c r="Q38" s="51" t="s">
        <v>485</v>
      </c>
      <c r="R38" s="55" t="s">
        <v>3306</v>
      </c>
      <c r="S38" s="51" t="s">
        <v>372</v>
      </c>
      <c r="T38" s="50">
        <v>2</v>
      </c>
      <c r="U38" s="48" t="s">
        <v>482</v>
      </c>
      <c r="V38" s="47">
        <v>45971</v>
      </c>
      <c r="W38" s="55" t="s">
        <v>3307</v>
      </c>
      <c r="X38" s="55"/>
      <c r="Y38" s="69" t="s">
        <v>484</v>
      </c>
      <c r="Z38" s="49" t="s">
        <v>264</v>
      </c>
      <c r="AA38" s="47">
        <v>46283</v>
      </c>
      <c r="AB38" s="48" t="str">
        <f ca="1">IF(AA38&lt;TODAY(),"VENCIDO","POR VENCER")</f>
        <v>POR VENCER</v>
      </c>
      <c r="AC38" s="47">
        <v>46290</v>
      </c>
      <c r="AD38" s="46" t="s">
        <v>309</v>
      </c>
      <c r="AE38" s="48" t="s">
        <v>308</v>
      </c>
      <c r="AF38" s="41" t="str" cm="1">
        <f t="array" ref="AF38">IFERROR(_xlfn.XLOOKUP(TRIM($E38),TRIM('Año 2026'!$E$3:$E$66),'Año 2026'!$G$3:$G$66),"")</f>
        <v xml:space="preserve">	OFICIO Nº 00954-2026-SUNEDU-DS-DIRESESU-UVE</v>
      </c>
      <c r="AG38" s="41" cm="1">
        <f t="array" ref="AG38">IFERROR(_xlfn.XLOOKUP(TRIM($E38),TRIM('Año 2026'!$E$3:$E$66),'Año 2026'!$H$3:$H$66),"")</f>
        <v>46101</v>
      </c>
      <c r="AH38" s="41" cm="1">
        <f t="array" ref="AH38">IFERROR(_xlfn.XLOOKUP(TRIM($E38),TRIM('Año 2026'!$E$3:$E$66),'Año 2026'!$I$3:$I$66),"")</f>
        <v>5</v>
      </c>
      <c r="AI38" s="41" cm="1">
        <f t="array" ref="AI38">IFERROR(_xlfn.XLOOKUP(TRIM($E38),TRIM('Año 2026'!$E$3:$E$66),'Año 2026'!$J$3:$J$66),"")</f>
        <v>46108</v>
      </c>
      <c r="AJ38" s="41" cm="1">
        <f t="array" aca="1" ref="AJ38" ca="1">IFERROR(_xlfn.XLOOKUP(TRIM($E38),TRIM('Año 2026'!$E$3:$E$66),'Año 2026'!$K$3:$K$66),"")</f>
        <v>-84</v>
      </c>
      <c r="AK38" s="41" t="str" cm="1">
        <f t="array" aca="1" ref="AK38" ca="1">IFERROR(_xlfn.XLOOKUP(TRIM($E38),TRIM('Año 2026'!$E$3:$E$66),'Año 2026'!$L$3:$L$66),"")</f>
        <v>NUEVA FECHA</v>
      </c>
      <c r="AL38" s="41" t="str" cm="1">
        <f t="array" aca="1" ref="AL38" ca="1">IFERROR(_xlfn.XLOOKUP(TRIM($E38),TRIM('Año 2026'!$E$3:$E$66),'Año 2026'!$M$3:$M$66),"")</f>
        <v>NUEVA FECHA</v>
      </c>
      <c r="AM38" s="41" t="str" cm="1">
        <f t="array" ref="AM38">IFERROR(_xlfn.XLOOKUP(TRIM($E38),TRIM('Año 2026'!$E$3:$E$66),'Año 2026'!$N$3:$N$66),"")</f>
        <v>Ajustes al plazo</v>
      </c>
      <c r="AN38" s="41" t="str" cm="1">
        <f t="array" ref="AN38">IFERROR(_xlfn.XLOOKUP(TRIM($E38),TRIM('Año 2026'!$E$3:$E$66),'Año 2026'!$O$3:$O$66),"")</f>
        <v>Plazo vencido - preguntar a susana</v>
      </c>
      <c r="AO38" s="41" cm="1">
        <f t="array" ref="AO38">IFERROR(_xlfn.XLOOKUP(TRIM($E38),TRIM('Año 2026'!$E$3:$E$66),'Año 2026'!$P$3:$P$66),"")</f>
        <v>0</v>
      </c>
      <c r="AP38" s="41" cm="1">
        <f t="array" ref="AP38">IFERROR(_xlfn.XLOOKUP(TRIM($E38),TRIM('Año 2026'!$E$3:$E$66),'Año 2026'!$Q$3:$Q$66),"")</f>
        <v>0</v>
      </c>
      <c r="AQ38" s="41" cm="1">
        <f t="array" ref="AQ38">IFERROR(_xlfn.XLOOKUP(TRIM($E38),TRIM('Año 2026'!$E$3:$E$66),'Año 2026'!$R$3:$R$66),"")</f>
        <v>0</v>
      </c>
      <c r="AR38" s="41" cm="1">
        <f t="array" ref="AR38">IFERROR(_xlfn.XLOOKUP(TRIM($E38),TRIM('Año 2026'!$E$3:$E$66),'Año 2026'!$S$3:$S$66),"")</f>
        <v>0</v>
      </c>
      <c r="AS38" s="41" cm="1">
        <f t="array" ref="AS38">IFERROR(_xlfn.XLOOKUP(TRIM($E38),TRIM('Año 2026'!$E$3:$E$66),'Año 2026'!$T$3:$T$66),"")</f>
        <v>0</v>
      </c>
      <c r="AT38" s="41" cm="1">
        <f t="array" ref="AT38">IFERROR(_xlfn.XLOOKUP(TRIM($E38),TRIM('Año 2026'!$E$3:$E$66),'Año 2026'!$U$3:$U$66),"")</f>
        <v>0</v>
      </c>
      <c r="AU38" s="41" cm="1">
        <f t="array" ref="AU38">IFERROR(_xlfn.XLOOKUP(TRIM($E38),TRIM('Año 2026'!$E$3:$E$66),'Año 2026'!$V$3:$V$66),"")</f>
        <v>0</v>
      </c>
      <c r="AV38" s="41" cm="1">
        <f t="array" ref="AV38">IFERROR(_xlfn.XLOOKUP(TRIM($E38),TRIM('Año 2026'!$E$3:$E$66),'Año 2026'!$W$3:$W$66),"")</f>
        <v>0</v>
      </c>
      <c r="AW38" s="41" cm="1">
        <f t="array" ref="AW38">IFERROR(_xlfn.XLOOKUP(TRIM($E38),TRIM('Año 2026'!$E$3:$E$66),'Año 2026'!$X$3:$X$66),"")</f>
        <v>0</v>
      </c>
      <c r="AX38" s="41" cm="1">
        <f t="array" ref="AX38">IFERROR(_xlfn.XLOOKUP(TRIM($E38),TRIM('Año 2026'!$E$3:$E$66),'Año 2026'!$Y$3:$Y$66),"")</f>
        <v>0</v>
      </c>
      <c r="AY38" s="41" cm="1">
        <f t="array" ref="AY38">IFERROR(_xlfn.XLOOKUP(TRIM($E38),TRIM('Año 2026'!$E$3:$E$66),'Año 2026'!$Z$3:$Z$66),"")</f>
        <v>0</v>
      </c>
      <c r="AZ38" s="41" cm="1">
        <f t="array" ref="AZ38">IFERROR(_xlfn.XLOOKUP(TRIM($E38),TRIM('Año 2026'!$E$3:$E$66),'Año 2026'!$AA$3:$AA$66),"")</f>
        <v>0</v>
      </c>
      <c r="BA38" s="41" cm="1">
        <f t="array" ref="BA38">IFERROR(_xlfn.XLOOKUP(TRIM($E38),TRIM('Año 2026'!$E$3:$E$66),'Año 2026'!$AB$3:$AB$66),"")</f>
        <v>0</v>
      </c>
      <c r="BB38" s="41" cm="1">
        <f t="array" ref="BB38">IFERROR(_xlfn.XLOOKUP(TRIM($E38),TRIM('Año 2026'!$E$3:$E$66),'Año 2026'!$AC$3:$AC$66),"")</f>
        <v>0</v>
      </c>
      <c r="BC38" s="41" cm="1">
        <f t="array" ref="BC38">IFERROR(_xlfn.XLOOKUP(TRIM($E38),TRIM('Año 2026'!$E$3:$E$66),'Año 2026'!$AD$3:$AD$66),"")</f>
        <v>0</v>
      </c>
    </row>
    <row r="39" spans="1:55" s="41" customFormat="1" ht="216" customHeight="1" x14ac:dyDescent="0.25">
      <c r="A39" s="48">
        <v>38</v>
      </c>
      <c r="B39" s="51">
        <v>2025</v>
      </c>
      <c r="C39" s="51" t="s">
        <v>277</v>
      </c>
      <c r="D39" s="51" t="s">
        <v>353</v>
      </c>
      <c r="E39" s="54" t="s">
        <v>444</v>
      </c>
      <c r="F39" s="53" t="s">
        <v>269</v>
      </c>
      <c r="G39" s="41" t="s">
        <v>87</v>
      </c>
      <c r="H39" s="108">
        <v>53</v>
      </c>
      <c r="I39" s="51" t="s">
        <v>266</v>
      </c>
      <c r="J39" s="51" t="s">
        <v>324</v>
      </c>
      <c r="K39" s="51" t="s">
        <v>439</v>
      </c>
      <c r="L39" s="51" t="s">
        <v>438</v>
      </c>
      <c r="M39" s="51" t="s">
        <v>437</v>
      </c>
      <c r="N39" s="51" t="s">
        <v>440</v>
      </c>
      <c r="O39" s="51" t="s">
        <v>798</v>
      </c>
      <c r="P39" s="51" t="s">
        <v>3235</v>
      </c>
      <c r="Q39" s="51" t="s">
        <v>435</v>
      </c>
      <c r="R39" s="55" t="s">
        <v>441</v>
      </c>
      <c r="S39" s="51" t="s">
        <v>372</v>
      </c>
      <c r="T39" s="50">
        <v>2</v>
      </c>
      <c r="U39" s="48" t="s">
        <v>434</v>
      </c>
      <c r="V39" s="47">
        <v>45684</v>
      </c>
      <c r="W39" s="45" t="s">
        <v>433</v>
      </c>
      <c r="X39" s="45"/>
      <c r="Y39" s="52" t="s">
        <v>432</v>
      </c>
      <c r="Z39" s="52"/>
      <c r="AA39" s="47"/>
      <c r="AB39" s="48" t="s">
        <v>317</v>
      </c>
      <c r="AC39" s="47"/>
      <c r="AD39" s="46" t="s">
        <v>309</v>
      </c>
      <c r="AE39" s="48" t="s">
        <v>316</v>
      </c>
      <c r="AF39" s="41" t="str" cm="1">
        <f t="array" ref="AF39">IFERROR(_xlfn.XLOOKUP(TRIM($E39),TRIM('Año 2026'!$E$3:$E$66),'Año 2026'!$G$3:$G$66),"")</f>
        <v>Oficio N° 00066-2025-SUNEDU-DS-DIRESESU-UVE</v>
      </c>
      <c r="AG39" s="41" cm="1">
        <f t="array" ref="AG39">IFERROR(_xlfn.XLOOKUP(TRIM($E39),TRIM('Año 2026'!$E$3:$E$66),'Año 2026'!$H$3:$H$66),"")</f>
        <v>45672</v>
      </c>
      <c r="AH39" s="41" cm="1">
        <f t="array" ref="AH39">IFERROR(_xlfn.XLOOKUP(TRIM($E39),TRIM('Año 2026'!$E$3:$E$66),'Año 2026'!$I$3:$I$66),"")</f>
        <v>5</v>
      </c>
      <c r="AI39" s="41" cm="1">
        <f t="array" ref="AI39">IFERROR(_xlfn.XLOOKUP(TRIM($E39),TRIM('Año 2026'!$E$3:$E$66),'Año 2026'!$J$3:$J$66),"")</f>
        <v>45679</v>
      </c>
      <c r="AJ39" s="41" cm="1">
        <f t="array" aca="1" ref="AJ39" ca="1">IFERROR(_xlfn.XLOOKUP(TRIM($E39),TRIM('Año 2026'!$E$3:$E$66),'Año 2026'!$K$3:$K$66),"")</f>
        <v>-513</v>
      </c>
      <c r="AK39" s="41" t="str" cm="1">
        <f t="array" aca="1" ref="AK39" ca="1">IFERROR(_xlfn.XLOOKUP(TRIM($E39),TRIM('Año 2026'!$E$3:$E$66),'Año 2026'!$L$3:$L$66),"")</f>
        <v>NUEVA FECHA</v>
      </c>
      <c r="AL39" s="41" t="str" cm="1">
        <f t="array" aca="1" ref="AL39" ca="1">IFERROR(_xlfn.XLOOKUP(TRIM($E39),TRIM('Año 2026'!$E$3:$E$66),'Año 2026'!$M$3:$M$66),"")</f>
        <v>NUEVA FECHA</v>
      </c>
      <c r="AM39" s="41" t="str" cm="1">
        <f t="array" ref="AM39">IFERROR(_xlfn.XLOOKUP(TRIM($E39),TRIM('Año 2026'!$E$3:$E$66),'Año 2026'!$N$3:$N$66),"")</f>
        <v>Ajustes al plazo</v>
      </c>
      <c r="AN39" s="41" cm="1">
        <f t="array" ref="AN39">IFERROR(_xlfn.XLOOKUP(TRIM($E39),TRIM('Año 2026'!$E$3:$E$66),'Año 2026'!$O$3:$O$66),"")</f>
        <v>0</v>
      </c>
      <c r="AO39" s="41" t="str" cm="1">
        <f t="array" ref="AO39">IFERROR(_xlfn.XLOOKUP(TRIM($E39),TRIM('Año 2026'!$E$3:$E$66),'Año 2026'!$P$3:$P$66),"")</f>
        <v>Prórroga</v>
      </c>
      <c r="AP39" s="41" cm="1">
        <f t="array" ref="AP39">IFERROR(_xlfn.XLOOKUP(TRIM($E39),TRIM('Año 2026'!$E$3:$E$66),'Año 2026'!$Q$3:$Q$66),"")</f>
        <v>0</v>
      </c>
      <c r="AQ39" s="41" cm="1">
        <f t="array" ref="AQ39">IFERROR(_xlfn.XLOOKUP(TRIM($E39),TRIM('Año 2026'!$E$3:$E$66),'Año 2026'!$R$3:$R$66),"")</f>
        <v>0</v>
      </c>
      <c r="AR39" s="41" cm="1">
        <f t="array" ref="AR39">IFERROR(_xlfn.XLOOKUP(TRIM($E39),TRIM('Año 2026'!$E$3:$E$66),'Año 2026'!$S$3:$S$66),"")</f>
        <v>0</v>
      </c>
      <c r="AS39" s="41" cm="1">
        <f t="array" ref="AS39">IFERROR(_xlfn.XLOOKUP(TRIM($E39),TRIM('Año 2026'!$E$3:$E$66),'Año 2026'!$T$3:$T$66),"")</f>
        <v>0</v>
      </c>
      <c r="AT39" s="41" cm="1">
        <f t="array" ref="AT39">IFERROR(_xlfn.XLOOKUP(TRIM($E39),TRIM('Año 2026'!$E$3:$E$66),'Año 2026'!$U$3:$U$66),"")</f>
        <v>0</v>
      </c>
      <c r="AU39" s="41" t="str" cm="1">
        <f t="array" ref="AU39">IFERROR(_xlfn.XLOOKUP(TRIM($E39),TRIM('Año 2026'!$E$3:$E$66),'Año 2026'!$V$3:$V$66),"")</f>
        <v>Oficio N° 04500-2025-SUNEDU-DS-DIRESESU-UVE</v>
      </c>
      <c r="AV39" s="41" cm="1">
        <f t="array" ref="AV39">IFERROR(_xlfn.XLOOKUP(TRIM($E39),TRIM('Año 2026'!$E$3:$E$66),'Año 2026'!$W$3:$W$66),"")</f>
        <v>45966</v>
      </c>
      <c r="AW39" s="41" cm="1">
        <f t="array" ref="AW39">IFERROR(_xlfn.XLOOKUP(TRIM($E39),TRIM('Año 2026'!$E$3:$E$66),'Año 2026'!$X$3:$X$66),"")</f>
        <v>3</v>
      </c>
      <c r="AX39" s="41" t="str" cm="1">
        <f t="array" ref="AX39">IFERROR(_xlfn.XLOOKUP(TRIM($E39),TRIM('Año 2026'!$E$3:$E$66),'Año 2026'!$Y$3:$Y$66),"")</f>
        <v/>
      </c>
      <c r="AY39" s="41" t="str" cm="1">
        <f t="array" aca="1" ref="AY39" ca="1">IFERROR(_xlfn.XLOOKUP(TRIM($E39),TRIM('Año 2026'!$E$3:$E$66),'Año 2026'!$Z$3:$Z$66),"")</f>
        <v/>
      </c>
      <c r="AZ39" s="41" t="str" cm="1">
        <f t="array" aca="1" ref="AZ39" ca="1">IFERROR(_xlfn.XLOOKUP(TRIM($E39),TRIM('Año 2026'!$E$3:$E$66),'Año 2026'!$AA$3:$AA$66),"")</f>
        <v/>
      </c>
      <c r="BA39" s="41" t="str" cm="1">
        <f t="array" aca="1" ref="BA39" ca="1">IFERROR(_xlfn.XLOOKUP(TRIM($E39),TRIM('Año 2026'!$E$3:$E$66),'Año 2026'!$AB$3:$AB$66),"")</f>
        <v/>
      </c>
      <c r="BB39" s="41" t="str" cm="1">
        <f t="array" ref="BB39">IFERROR(_xlfn.XLOOKUP(TRIM($E39),TRIM('Año 2026'!$E$3:$E$66),'Año 2026'!$AC$3:$AC$66),"")</f>
        <v>Entregado</v>
      </c>
      <c r="BC39" s="41" cm="1">
        <f t="array" ref="BC39">IFERROR(_xlfn.XLOOKUP(TRIM($E39),TRIM('Año 2026'!$E$3:$E$66),'Año 2026'!$AD$3:$AD$66),"")</f>
        <v>0</v>
      </c>
    </row>
    <row r="40" spans="1:55" s="41" customFormat="1" ht="99.75" customHeight="1" x14ac:dyDescent="0.25">
      <c r="A40" s="48">
        <v>39</v>
      </c>
      <c r="B40" s="51">
        <v>2025</v>
      </c>
      <c r="C40" s="51" t="s">
        <v>137</v>
      </c>
      <c r="D40" s="51" t="s">
        <v>526</v>
      </c>
      <c r="E40" s="51" t="s">
        <v>151</v>
      </c>
      <c r="F40" s="53" t="s">
        <v>269</v>
      </c>
      <c r="G40" s="41" t="s">
        <v>152</v>
      </c>
      <c r="H40" s="108">
        <v>36</v>
      </c>
      <c r="I40" s="51" t="s">
        <v>266</v>
      </c>
      <c r="J40" s="51" t="s">
        <v>324</v>
      </c>
      <c r="K40" s="51" t="s">
        <v>420</v>
      </c>
      <c r="L40" s="51" t="s">
        <v>420</v>
      </c>
      <c r="M40" s="51" t="s">
        <v>420</v>
      </c>
      <c r="N40" s="51" t="s">
        <v>421</v>
      </c>
      <c r="O40" s="51" t="s">
        <v>798</v>
      </c>
      <c r="P40" s="51" t="s">
        <v>419</v>
      </c>
      <c r="Q40" s="51">
        <v>34</v>
      </c>
      <c r="R40" s="55" t="s">
        <v>422</v>
      </c>
      <c r="S40" s="51" t="s">
        <v>359</v>
      </c>
      <c r="T40" s="50">
        <v>2</v>
      </c>
      <c r="U40" s="48" t="s">
        <v>571</v>
      </c>
      <c r="V40" s="47">
        <v>45832</v>
      </c>
      <c r="W40" s="45" t="s">
        <v>570</v>
      </c>
      <c r="X40" s="45"/>
      <c r="Y40" s="48" t="s">
        <v>569</v>
      </c>
      <c r="Z40" s="48"/>
      <c r="AA40" s="47"/>
      <c r="AB40" s="48" t="s">
        <v>317</v>
      </c>
      <c r="AC40" s="47"/>
      <c r="AD40" s="46" t="s">
        <v>309</v>
      </c>
      <c r="AE40" s="48" t="s">
        <v>503</v>
      </c>
      <c r="AF40" s="41" t="str" cm="1">
        <f t="array" ref="AF40">IFERROR(_xlfn.XLOOKUP(TRIM($E40),TRIM('Año 2026'!$E$3:$E$66),'Año 2026'!$G$3:$G$66),"")</f>
        <v>Oficio N° 01747-2025-SUNEDU-DS-DIRESESU-UVE (27.05.25)</v>
      </c>
      <c r="AG40" s="41" cm="1">
        <f t="array" ref="AG40">IFERROR(_xlfn.XLOOKUP(TRIM($E40),TRIM('Año 2026'!$E$3:$E$66),'Año 2026'!$H$3:$H$66),"")</f>
        <v>45805</v>
      </c>
      <c r="AH40" s="41" cm="1">
        <f t="array" ref="AH40">IFERROR(_xlfn.XLOOKUP(TRIM($E40),TRIM('Año 2026'!$E$3:$E$66),'Año 2026'!$I$3:$I$66),"")</f>
        <v>5</v>
      </c>
      <c r="AI40" s="41" cm="1">
        <f t="array" ref="AI40">IFERROR(_xlfn.XLOOKUP(TRIM($E40),TRIM('Año 2026'!$E$3:$E$66),'Año 2026'!$J$3:$J$66),"")</f>
        <v>45812</v>
      </c>
      <c r="AJ40" s="41" cm="1">
        <f t="array" aca="1" ref="AJ40" ca="1">IFERROR(_xlfn.XLOOKUP(TRIM($E40),TRIM('Año 2026'!$E$3:$E$66),'Año 2026'!$K$3:$K$66),"")</f>
        <v>-380</v>
      </c>
      <c r="AK40" s="41" t="str" cm="1">
        <f t="array" aca="1" ref="AK40" ca="1">IFERROR(_xlfn.XLOOKUP(TRIM($E40),TRIM('Año 2026'!$E$3:$E$66),'Año 2026'!$L$3:$L$66),"")</f>
        <v>NUEVA FECHA</v>
      </c>
      <c r="AL40" s="41" t="str" cm="1">
        <f t="array" aca="1" ref="AL40" ca="1">IFERROR(_xlfn.XLOOKUP(TRIM($E40),TRIM('Año 2026'!$E$3:$E$66),'Año 2026'!$M$3:$M$66),"")</f>
        <v>NUEVA FECHA</v>
      </c>
      <c r="AM40" s="41" t="str" cm="1">
        <f t="array" ref="AM40">IFERROR(_xlfn.XLOOKUP(TRIM($E40),TRIM('Año 2026'!$E$3:$E$66),'Año 2026'!$N$3:$N$66),"")</f>
        <v>Ajustes al plazo</v>
      </c>
      <c r="AN40" s="41" cm="1">
        <f t="array" ref="AN40">IFERROR(_xlfn.XLOOKUP(TRIM($E40),TRIM('Año 2026'!$E$3:$E$66),'Año 2026'!$O$3:$O$66),"")</f>
        <v>0</v>
      </c>
      <c r="AO40" s="41" t="str" cm="1">
        <f t="array" ref="AO40">IFERROR(_xlfn.XLOOKUP(TRIM($E40),TRIM('Año 2026'!$E$3:$E$66),'Año 2026'!$P$3:$P$66),"")</f>
        <v>Requerimiento complementario</v>
      </c>
      <c r="AP40" s="41" cm="1">
        <f t="array" ref="AP40">IFERROR(_xlfn.XLOOKUP(TRIM($E40),TRIM('Año 2026'!$E$3:$E$66),'Año 2026'!$Q$3:$Q$66),"")</f>
        <v>0</v>
      </c>
      <c r="AQ40" s="41" cm="1">
        <f t="array" ref="AQ40">IFERROR(_xlfn.XLOOKUP(TRIM($E40),TRIM('Año 2026'!$E$3:$E$66),'Año 2026'!$R$3:$R$66),"")</f>
        <v>0</v>
      </c>
      <c r="AR40" s="41" cm="1">
        <f t="array" ref="AR40">IFERROR(_xlfn.XLOOKUP(TRIM($E40),TRIM('Año 2026'!$E$3:$E$66),'Año 2026'!$S$3:$S$66),"")</f>
        <v>0</v>
      </c>
      <c r="AS40" s="41" cm="1">
        <f t="array" ref="AS40">IFERROR(_xlfn.XLOOKUP(TRIM($E40),TRIM('Año 2026'!$E$3:$E$66),'Año 2026'!$T$3:$T$66),"")</f>
        <v>0</v>
      </c>
      <c r="AT40" s="41" cm="1">
        <f t="array" ref="AT40">IFERROR(_xlfn.XLOOKUP(TRIM($E40),TRIM('Año 2026'!$E$3:$E$66),'Año 2026'!$U$3:$U$66),"")</f>
        <v>0</v>
      </c>
      <c r="AU40" s="41" t="str" cm="1">
        <f t="array" ref="AU40">IFERROR(_xlfn.XLOOKUP(TRIM($E40),TRIM('Año 2026'!$E$3:$E$66),'Año 2026'!$V$3:$V$66),"")</f>
        <v>Oficio N° 01813-2026-SUNEDU-DS-DIRESESU-UVE</v>
      </c>
      <c r="AV40" s="41" cm="1">
        <f t="array" ref="AV40">IFERROR(_xlfn.XLOOKUP(TRIM($E40),TRIM('Año 2026'!$E$3:$E$66),'Año 2026'!$W$3:$W$66),"")</f>
        <v>46147</v>
      </c>
      <c r="AW40" s="41" cm="1">
        <f t="array" ref="AW40">IFERROR(_xlfn.XLOOKUP(TRIM($E40),TRIM('Año 2026'!$E$3:$E$66),'Año 2026'!$X$3:$X$66),"")</f>
        <v>5</v>
      </c>
      <c r="AX40" s="41" t="str" cm="1">
        <f t="array" ref="AX40">IFERROR(_xlfn.XLOOKUP(TRIM($E40),TRIM('Año 2026'!$E$3:$E$66),'Año 2026'!$Y$3:$Y$66),"")</f>
        <v/>
      </c>
      <c r="AY40" s="41" t="str" cm="1">
        <f t="array" aca="1" ref="AY40" ca="1">IFERROR(_xlfn.XLOOKUP(TRIM($E40),TRIM('Año 2026'!$E$3:$E$66),'Año 2026'!$Z$3:$Z$66),"")</f>
        <v/>
      </c>
      <c r="AZ40" s="41" t="str" cm="1">
        <f t="array" aca="1" ref="AZ40" ca="1">IFERROR(_xlfn.XLOOKUP(TRIM($E40),TRIM('Año 2026'!$E$3:$E$66),'Año 2026'!$AA$3:$AA$66),"")</f>
        <v/>
      </c>
      <c r="BA40" s="41" t="str" cm="1">
        <f t="array" aca="1" ref="BA40" ca="1">IFERROR(_xlfn.XLOOKUP(TRIM($E40),TRIM('Año 2026'!$E$3:$E$66),'Año 2026'!$AB$3:$AB$66),"")</f>
        <v/>
      </c>
      <c r="BB40" s="41" t="str" cm="1">
        <f t="array" ref="BB40">IFERROR(_xlfn.XLOOKUP(TRIM($E40),TRIM('Año 2026'!$E$3:$E$66),'Año 2026'!$AC$3:$AC$66),"")</f>
        <v>Entregado</v>
      </c>
      <c r="BC40" s="41" cm="1">
        <f t="array" ref="BC40">IFERROR(_xlfn.XLOOKUP(TRIM($E40),TRIM('Año 2026'!$E$3:$E$66),'Año 2026'!$AD$3:$AD$66),"")</f>
        <v>0</v>
      </c>
    </row>
    <row r="41" spans="1:55" s="41" customFormat="1" ht="129.75" customHeight="1" x14ac:dyDescent="0.25">
      <c r="A41" s="48">
        <v>40</v>
      </c>
      <c r="B41" s="51">
        <v>2025</v>
      </c>
      <c r="C41" s="51" t="s">
        <v>277</v>
      </c>
      <c r="D41" s="51" t="s">
        <v>287</v>
      </c>
      <c r="E41" s="54" t="s">
        <v>37</v>
      </c>
      <c r="F41" s="53" t="s">
        <v>269</v>
      </c>
      <c r="G41" s="51" t="s">
        <v>458</v>
      </c>
      <c r="H41" s="108">
        <v>26</v>
      </c>
      <c r="I41" s="51" t="s">
        <v>266</v>
      </c>
      <c r="J41" s="51" t="s">
        <v>324</v>
      </c>
      <c r="K41" s="51" t="s">
        <v>322</v>
      </c>
      <c r="L41" s="51" t="s">
        <v>349</v>
      </c>
      <c r="M41" s="51" t="s">
        <v>456</v>
      </c>
      <c r="N41" s="51" t="s">
        <v>457</v>
      </c>
      <c r="O41" s="51" t="s">
        <v>798</v>
      </c>
      <c r="P41" s="51" t="s">
        <v>321</v>
      </c>
      <c r="Q41" s="51">
        <v>44</v>
      </c>
      <c r="R41" s="66" t="s">
        <v>3308</v>
      </c>
      <c r="S41" s="51" t="s">
        <v>372</v>
      </c>
      <c r="T41" s="50">
        <v>1</v>
      </c>
      <c r="U41" s="48" t="s">
        <v>3309</v>
      </c>
      <c r="V41" s="47">
        <v>45993</v>
      </c>
      <c r="W41" s="45" t="s">
        <v>455</v>
      </c>
      <c r="X41" s="45"/>
      <c r="Y41" s="49" t="s">
        <v>3310</v>
      </c>
      <c r="Z41" s="64" t="s">
        <v>264</v>
      </c>
      <c r="AA41" s="47">
        <v>46159</v>
      </c>
      <c r="AB41" s="48" t="str">
        <f ca="1">IF(AA41&lt;TODAY(),"VENCIDO","POR VENCER")</f>
        <v>VENCIDO</v>
      </c>
      <c r="AC41" s="47">
        <v>46166</v>
      </c>
      <c r="AD41" s="46" t="s">
        <v>309</v>
      </c>
      <c r="AE41" s="48" t="s">
        <v>316</v>
      </c>
      <c r="AF41" s="41" t="str" cm="1">
        <f t="array" ref="AF41">IFERROR(_xlfn.XLOOKUP(TRIM($E41),TRIM('Año 2026'!$E$3:$E$66),'Año 2026'!$G$3:$G$66),"")</f>
        <v>Oficio N° 00457-2026-SUNEDU-DS-DIRESESU-UVE</v>
      </c>
      <c r="AG41" s="41" cm="1">
        <f t="array" ref="AG41">IFERROR(_xlfn.XLOOKUP(TRIM($E41),TRIM('Año 2026'!$E$3:$E$66),'Año 2026'!$H$3:$H$66),"")</f>
        <v>46057</v>
      </c>
      <c r="AH41" s="41" cm="1">
        <f t="array" ref="AH41">IFERROR(_xlfn.XLOOKUP(TRIM($E41),TRIM('Año 2026'!$E$3:$E$66),'Año 2026'!$I$3:$I$66),"")</f>
        <v>2</v>
      </c>
      <c r="AI41" s="41" cm="1">
        <f t="array" ref="AI41">IFERROR(_xlfn.XLOOKUP(TRIM($E41),TRIM('Año 2026'!$E$3:$E$66),'Año 2026'!$J$3:$J$66),"")</f>
        <v>46059</v>
      </c>
      <c r="AJ41" s="41" cm="1">
        <f t="array" aca="1" ref="AJ41" ca="1">IFERROR(_xlfn.XLOOKUP(TRIM($E41),TRIM('Año 2026'!$E$3:$E$66),'Año 2026'!$K$3:$K$66),"")</f>
        <v>-133</v>
      </c>
      <c r="AK41" s="41" t="str" cm="1">
        <f t="array" aca="1" ref="AK41" ca="1">IFERROR(_xlfn.XLOOKUP(TRIM($E41),TRIM('Año 2026'!$E$3:$E$66),'Año 2026'!$L$3:$L$66),"")</f>
        <v>NUEVA FECHA</v>
      </c>
      <c r="AL41" s="41" t="str" cm="1">
        <f t="array" aca="1" ref="AL41" ca="1">IFERROR(_xlfn.XLOOKUP(TRIM($E41),TRIM('Año 2026'!$E$3:$E$66),'Año 2026'!$M$3:$M$66),"")</f>
        <v>NUEVA FECHA</v>
      </c>
      <c r="AM41" s="41" t="str" cm="1">
        <f t="array" ref="AM41">IFERROR(_xlfn.XLOOKUP(TRIM($E41),TRIM('Año 2026'!$E$3:$E$66),'Año 2026'!$N$3:$N$66),"")</f>
        <v>Ajustes al plazo</v>
      </c>
      <c r="AN41" s="41" cm="1">
        <f t="array" ref="AN41">IFERROR(_xlfn.XLOOKUP(TRIM($E41),TRIM('Año 2026'!$E$3:$E$66),'Año 2026'!$O$3:$O$66),"")</f>
        <v>0</v>
      </c>
      <c r="AO41" s="41" t="str" cm="1">
        <f t="array" ref="AO41">IFERROR(_xlfn.XLOOKUP(TRIM($E41),TRIM('Año 2026'!$E$3:$E$66),'Año 2026'!$P$3:$P$66),"")</f>
        <v>Prórroga</v>
      </c>
      <c r="AP41" s="41" cm="1">
        <f t="array" ref="AP41">IFERROR(_xlfn.XLOOKUP(TRIM($E41),TRIM('Año 2026'!$E$3:$E$66),'Año 2026'!$Q$3:$Q$66),"")</f>
        <v>0</v>
      </c>
      <c r="AQ41" s="41" cm="1">
        <f t="array" ref="AQ41">IFERROR(_xlfn.XLOOKUP(TRIM($E41),TRIM('Año 2026'!$E$3:$E$66),'Año 2026'!$R$3:$R$66),"")</f>
        <v>0</v>
      </c>
      <c r="AR41" s="41" cm="1">
        <f t="array" ref="AR41">IFERROR(_xlfn.XLOOKUP(TRIM($E41),TRIM('Año 2026'!$E$3:$E$66),'Año 2026'!$S$3:$S$66),"")</f>
        <v>0</v>
      </c>
      <c r="AS41" s="41" cm="1">
        <f t="array" ref="AS41">IFERROR(_xlfn.XLOOKUP(TRIM($E41),TRIM('Año 2026'!$E$3:$E$66),'Año 2026'!$T$3:$T$66),"")</f>
        <v>0</v>
      </c>
      <c r="AT41" s="41" cm="1">
        <f t="array" ref="AT41">IFERROR(_xlfn.XLOOKUP(TRIM($E41),TRIM('Año 2026'!$E$3:$E$66),'Año 2026'!$U$3:$U$66),"")</f>
        <v>0</v>
      </c>
      <c r="AU41" s="41" t="str" cm="1">
        <f t="array" ref="AU41">IFERROR(_xlfn.XLOOKUP(TRIM($E41),TRIM('Año 2026'!$E$3:$E$66),'Año 2026'!$V$3:$V$66),"")</f>
        <v>Oficio N° 00831-2026-SUNEDU-DS-DIRESESU-UVE</v>
      </c>
      <c r="AV41" s="41" cm="1">
        <f t="array" ref="AV41">IFERROR(_xlfn.XLOOKUP(TRIM($E41),TRIM('Año 2026'!$E$3:$E$66),'Año 2026'!$W$3:$W$66),"")</f>
        <v>46092</v>
      </c>
      <c r="AW41" s="41" cm="1">
        <f t="array" ref="AW41">IFERROR(_xlfn.XLOOKUP(TRIM($E41),TRIM('Año 2026'!$E$3:$E$66),'Año 2026'!$X$3:$X$66),"")</f>
        <v>5</v>
      </c>
      <c r="AX41" s="41" t="str" cm="1">
        <f t="array" ref="AX41">IFERROR(_xlfn.XLOOKUP(TRIM($E41),TRIM('Año 2026'!$E$3:$E$66),'Año 2026'!$Y$3:$Y$66),"")</f>
        <v/>
      </c>
      <c r="AY41" s="41" t="str" cm="1">
        <f t="array" aca="1" ref="AY41" ca="1">IFERROR(_xlfn.XLOOKUP(TRIM($E41),TRIM('Año 2026'!$E$3:$E$66),'Año 2026'!$Z$3:$Z$66),"")</f>
        <v/>
      </c>
      <c r="AZ41" s="41" t="str" cm="1">
        <f t="array" aca="1" ref="AZ41" ca="1">IFERROR(_xlfn.XLOOKUP(TRIM($E41),TRIM('Año 2026'!$E$3:$E$66),'Año 2026'!$AA$3:$AA$66),"")</f>
        <v/>
      </c>
      <c r="BA41" s="41" t="str" cm="1">
        <f t="array" aca="1" ref="BA41" ca="1">IFERROR(_xlfn.XLOOKUP(TRIM($E41),TRIM('Año 2026'!$E$3:$E$66),'Año 2026'!$AB$3:$AB$66),"")</f>
        <v/>
      </c>
      <c r="BB41" s="41" t="str" cm="1">
        <f t="array" ref="BB41">IFERROR(_xlfn.XLOOKUP(TRIM($E41),TRIM('Año 2026'!$E$3:$E$66),'Año 2026'!$AC$3:$AC$66),"")</f>
        <v>Entregado</v>
      </c>
      <c r="BC41" s="41" cm="1">
        <f t="array" ref="BC41">IFERROR(_xlfn.XLOOKUP(TRIM($E41),TRIM('Año 2026'!$E$3:$E$66),'Año 2026'!$AD$3:$AD$66),"")</f>
        <v>0</v>
      </c>
    </row>
    <row r="42" spans="1:55" s="41" customFormat="1" ht="121.5" customHeight="1" x14ac:dyDescent="0.25">
      <c r="A42" s="48">
        <v>41</v>
      </c>
      <c r="B42" s="51">
        <v>2025</v>
      </c>
      <c r="C42" s="58" t="s">
        <v>69</v>
      </c>
      <c r="D42" s="51" t="s">
        <v>287</v>
      </c>
      <c r="E42" s="58" t="s">
        <v>468</v>
      </c>
      <c r="F42" s="53" t="s">
        <v>269</v>
      </c>
      <c r="G42" s="68" t="s">
        <v>232</v>
      </c>
      <c r="H42" s="108">
        <v>16</v>
      </c>
      <c r="I42" s="51" t="s">
        <v>266</v>
      </c>
      <c r="J42" s="51" t="s">
        <v>3211</v>
      </c>
      <c r="K42" s="51" t="s">
        <v>467</v>
      </c>
      <c r="L42" s="51" t="s">
        <v>466</v>
      </c>
      <c r="M42" s="51" t="s">
        <v>465</v>
      </c>
      <c r="N42" s="51" t="s">
        <v>3371</v>
      </c>
      <c r="O42" s="51" t="s">
        <v>798</v>
      </c>
      <c r="P42" s="51" t="s">
        <v>360</v>
      </c>
      <c r="Q42" s="51" t="s">
        <v>464</v>
      </c>
      <c r="R42" s="55" t="s">
        <v>3311</v>
      </c>
      <c r="S42" s="51" t="s">
        <v>347</v>
      </c>
      <c r="T42" s="50">
        <v>1</v>
      </c>
      <c r="U42" s="48" t="s">
        <v>3303</v>
      </c>
      <c r="V42" s="47">
        <v>46002</v>
      </c>
      <c r="W42" s="45" t="s">
        <v>463</v>
      </c>
      <c r="X42" s="45"/>
      <c r="Y42" s="67" t="s">
        <v>462</v>
      </c>
      <c r="Z42" s="67"/>
      <c r="AA42" s="47"/>
      <c r="AB42" s="48" t="s">
        <v>317</v>
      </c>
      <c r="AC42" s="47"/>
      <c r="AD42" s="46" t="s">
        <v>309</v>
      </c>
      <c r="AE42" s="45" t="s">
        <v>461</v>
      </c>
      <c r="AF42" s="41" t="str" cm="1">
        <f t="array" ref="AF42">IFERROR(_xlfn.XLOOKUP(TRIM($E42),TRIM('Año 2026'!$E$3:$E$66),'Año 2026'!$G$3:$G$66),"")</f>
        <v/>
      </c>
      <c r="AG42" s="41" t="str" cm="1">
        <f t="array" ref="AG42">IFERROR(_xlfn.XLOOKUP(TRIM($E42),TRIM('Año 2026'!$E$3:$E$66),'Año 2026'!$H$3:$H$66),"")</f>
        <v/>
      </c>
      <c r="AH42" s="41" t="str" cm="1">
        <f t="array" ref="AH42">IFERROR(_xlfn.XLOOKUP(TRIM($E42),TRIM('Año 2026'!$E$3:$E$66),'Año 2026'!$I$3:$I$66),"")</f>
        <v/>
      </c>
      <c r="AI42" s="41" t="str" cm="1">
        <f t="array" ref="AI42">IFERROR(_xlfn.XLOOKUP(TRIM($E42),TRIM('Año 2026'!$E$3:$E$66),'Año 2026'!$J$3:$J$66),"")</f>
        <v/>
      </c>
      <c r="AJ42" s="41" t="str" cm="1">
        <f t="array" ref="AJ42">IFERROR(_xlfn.XLOOKUP(TRIM($E42),TRIM('Año 2026'!$E$3:$E$66),'Año 2026'!$K$3:$K$66),"")</f>
        <v/>
      </c>
      <c r="AK42" s="41" t="str" cm="1">
        <f t="array" ref="AK42">IFERROR(_xlfn.XLOOKUP(TRIM($E42),TRIM('Año 2026'!$E$3:$E$66),'Año 2026'!$L$3:$L$66),"")</f>
        <v/>
      </c>
      <c r="AL42" s="41" t="str" cm="1">
        <f t="array" ref="AL42">IFERROR(_xlfn.XLOOKUP(TRIM($E42),TRIM('Año 2026'!$E$3:$E$66),'Año 2026'!$M$3:$M$66),"")</f>
        <v/>
      </c>
      <c r="AM42" s="41" t="str" cm="1">
        <f t="array" ref="AM42">IFERROR(_xlfn.XLOOKUP(TRIM($E42),TRIM('Año 2026'!$E$3:$E$66),'Año 2026'!$N$3:$N$66),"")</f>
        <v/>
      </c>
      <c r="AN42" s="41" t="str" cm="1">
        <f t="array" ref="AN42">IFERROR(_xlfn.XLOOKUP(TRIM($E42),TRIM('Año 2026'!$E$3:$E$66),'Año 2026'!$O$3:$O$66),"")</f>
        <v/>
      </c>
      <c r="AO42" s="41" t="str" cm="1">
        <f t="array" ref="AO42">IFERROR(_xlfn.XLOOKUP(TRIM($E42),TRIM('Año 2026'!$E$3:$E$66),'Año 2026'!$P$3:$P$66),"")</f>
        <v/>
      </c>
      <c r="AP42" s="41" t="str" cm="1">
        <f t="array" ref="AP42">IFERROR(_xlfn.XLOOKUP(TRIM($E42),TRIM('Año 2026'!$E$3:$E$66),'Año 2026'!$Q$3:$Q$66),"")</f>
        <v/>
      </c>
      <c r="AQ42" s="41" t="str" cm="1">
        <f t="array" ref="AQ42">IFERROR(_xlfn.XLOOKUP(TRIM($E42),TRIM('Año 2026'!$E$3:$E$66),'Año 2026'!$R$3:$R$66),"")</f>
        <v/>
      </c>
      <c r="AR42" s="41" t="str" cm="1">
        <f t="array" ref="AR42">IFERROR(_xlfn.XLOOKUP(TRIM($E42),TRIM('Año 2026'!$E$3:$E$66),'Año 2026'!$S$3:$S$66),"")</f>
        <v/>
      </c>
      <c r="AS42" s="41" t="str" cm="1">
        <f t="array" ref="AS42">IFERROR(_xlfn.XLOOKUP(TRIM($E42),TRIM('Año 2026'!$E$3:$E$66),'Año 2026'!$T$3:$T$66),"")</f>
        <v/>
      </c>
      <c r="AT42" s="41" t="str" cm="1">
        <f t="array" ref="AT42">IFERROR(_xlfn.XLOOKUP(TRIM($E42),TRIM('Año 2026'!$E$3:$E$66),'Año 2026'!$U$3:$U$66),"")</f>
        <v/>
      </c>
      <c r="AU42" s="41" t="str" cm="1">
        <f t="array" ref="AU42">IFERROR(_xlfn.XLOOKUP(TRIM($E42),TRIM('Año 2026'!$E$3:$E$66),'Año 2026'!$V$3:$V$66),"")</f>
        <v/>
      </c>
      <c r="AV42" s="41" t="str" cm="1">
        <f t="array" ref="AV42">IFERROR(_xlfn.XLOOKUP(TRIM($E42),TRIM('Año 2026'!$E$3:$E$66),'Año 2026'!$W$3:$W$66),"")</f>
        <v/>
      </c>
      <c r="AW42" s="41" t="str" cm="1">
        <f t="array" ref="AW42">IFERROR(_xlfn.XLOOKUP(TRIM($E42),TRIM('Año 2026'!$E$3:$E$66),'Año 2026'!$X$3:$X$66),"")</f>
        <v/>
      </c>
      <c r="AX42" s="41" t="str" cm="1">
        <f t="array" ref="AX42">IFERROR(_xlfn.XLOOKUP(TRIM($E42),TRIM('Año 2026'!$E$3:$E$66),'Año 2026'!$Y$3:$Y$66),"")</f>
        <v/>
      </c>
      <c r="AY42" s="41" t="str" cm="1">
        <f t="array" ref="AY42">IFERROR(_xlfn.XLOOKUP(TRIM($E42),TRIM('Año 2026'!$E$3:$E$66),'Año 2026'!$Z$3:$Z$66),"")</f>
        <v/>
      </c>
      <c r="AZ42" s="41" t="str" cm="1">
        <f t="array" ref="AZ42">IFERROR(_xlfn.XLOOKUP(TRIM($E42),TRIM('Año 2026'!$E$3:$E$66),'Año 2026'!$AA$3:$AA$66),"")</f>
        <v/>
      </c>
      <c r="BA42" s="41" t="str" cm="1">
        <f t="array" ref="BA42">IFERROR(_xlfn.XLOOKUP(TRIM($E42),TRIM('Año 2026'!$E$3:$E$66),'Año 2026'!$AB$3:$AB$66),"")</f>
        <v/>
      </c>
      <c r="BB42" s="41" t="str" cm="1">
        <f t="array" ref="BB42">IFERROR(_xlfn.XLOOKUP(TRIM($E42),TRIM('Año 2026'!$E$3:$E$66),'Año 2026'!$AC$3:$AC$66),"")</f>
        <v/>
      </c>
      <c r="BC42" s="41" t="str" cm="1">
        <f t="array" ref="BC42">IFERROR(_xlfn.XLOOKUP(TRIM($E42),TRIM('Año 2026'!$E$3:$E$66),'Año 2026'!$AD$3:$AD$66),"")</f>
        <v/>
      </c>
    </row>
    <row r="43" spans="1:55" s="41" customFormat="1" ht="121.5" customHeight="1" x14ac:dyDescent="0.25">
      <c r="A43" s="48">
        <v>42</v>
      </c>
      <c r="B43" s="51">
        <v>2025</v>
      </c>
      <c r="C43" s="51" t="s">
        <v>69</v>
      </c>
      <c r="D43" s="51" t="s">
        <v>284</v>
      </c>
      <c r="E43" s="58" t="s">
        <v>176</v>
      </c>
      <c r="F43" s="53" t="s">
        <v>269</v>
      </c>
      <c r="G43" s="48" t="s">
        <v>177</v>
      </c>
      <c r="H43" s="108">
        <v>41</v>
      </c>
      <c r="I43" s="72" t="s">
        <v>266</v>
      </c>
      <c r="J43" s="72" t="s">
        <v>399</v>
      </c>
      <c r="K43" s="72" t="s">
        <v>397</v>
      </c>
      <c r="L43" s="72" t="s">
        <v>493</v>
      </c>
      <c r="M43" s="72" t="s">
        <v>572</v>
      </c>
      <c r="N43" s="55" t="s">
        <v>573</v>
      </c>
      <c r="O43" s="51" t="s">
        <v>798</v>
      </c>
      <c r="P43" s="72" t="s">
        <v>360</v>
      </c>
      <c r="Q43" s="72" t="s">
        <v>513</v>
      </c>
      <c r="R43" s="88" t="s">
        <v>587</v>
      </c>
      <c r="S43" s="51" t="s">
        <v>347</v>
      </c>
      <c r="T43" s="50">
        <v>2</v>
      </c>
      <c r="U43" s="72" t="s">
        <v>3312</v>
      </c>
      <c r="V43" s="97">
        <v>45931</v>
      </c>
      <c r="W43" s="90" t="s">
        <v>3313</v>
      </c>
      <c r="X43" s="71" t="s">
        <v>534</v>
      </c>
      <c r="Y43" s="49" t="s">
        <v>3314</v>
      </c>
      <c r="Z43" s="49" t="s">
        <v>264</v>
      </c>
      <c r="AA43" s="47">
        <v>46227</v>
      </c>
      <c r="AB43" s="48" t="str">
        <f ca="1">IF(AA43&lt;TODAY(),"VENCIDO","POR VENCER")</f>
        <v>POR VENCER</v>
      </c>
      <c r="AC43" s="47">
        <v>46234</v>
      </c>
      <c r="AD43" s="46" t="s">
        <v>309</v>
      </c>
      <c r="AE43" s="48" t="s">
        <v>308</v>
      </c>
      <c r="AF43" s="41" t="str" cm="1">
        <f t="array" ref="AF43">IFERROR(_xlfn.XLOOKUP(TRIM($E43),TRIM('Año 2026'!$E$3:$E$66),'Año 2026'!$G$3:$G$66),"")</f>
        <v>Oficio N° 03497-2025-SUNEDU-DS-DIRESESU-UVE (08.09.25)</v>
      </c>
      <c r="AG43" s="41" cm="1">
        <f t="array" ref="AG43">IFERROR(_xlfn.XLOOKUP(TRIM($E43),TRIM('Año 2026'!$E$3:$E$66),'Año 2026'!$H$3:$H$66),"")</f>
        <v>45909</v>
      </c>
      <c r="AH43" s="41" cm="1">
        <f t="array" ref="AH43">IFERROR(_xlfn.XLOOKUP(TRIM($E43),TRIM('Año 2026'!$E$3:$E$66),'Año 2026'!$I$3:$I$66),"")</f>
        <v>2</v>
      </c>
      <c r="AI43" s="41" cm="1">
        <f t="array" ref="AI43">IFERROR(_xlfn.XLOOKUP(TRIM($E43),TRIM('Año 2026'!$E$3:$E$66),'Año 2026'!$J$3:$J$66),"")</f>
        <v>45911</v>
      </c>
      <c r="AJ43" s="41" cm="1">
        <f t="array" aca="1" ref="AJ43" ca="1">IFERROR(_xlfn.XLOOKUP(TRIM($E43),TRIM('Año 2026'!$E$3:$E$66),'Año 2026'!$K$3:$K$66),"")</f>
        <v>-281</v>
      </c>
      <c r="AK43" s="41" t="str" cm="1">
        <f t="array" aca="1" ref="AK43" ca="1">IFERROR(_xlfn.XLOOKUP(TRIM($E43),TRIM('Año 2026'!$E$3:$E$66),'Año 2026'!$L$3:$L$66),"")</f>
        <v>NUEVA FECHA</v>
      </c>
      <c r="AL43" s="41" t="str" cm="1">
        <f t="array" aca="1" ref="AL43" ca="1">IFERROR(_xlfn.XLOOKUP(TRIM($E43),TRIM('Año 2026'!$E$3:$E$66),'Año 2026'!$M$3:$M$66),"")</f>
        <v>NUEVA FECHA</v>
      </c>
      <c r="AM43" s="41" t="str" cm="1">
        <f t="array" ref="AM43">IFERROR(_xlfn.XLOOKUP(TRIM($E43),TRIM('Año 2026'!$E$3:$E$66),'Año 2026'!$N$3:$N$66),"")</f>
        <v>Ajustes al plazo</v>
      </c>
      <c r="AN43" s="41" cm="1">
        <f t="array" ref="AN43">IFERROR(_xlfn.XLOOKUP(TRIM($E43),TRIM('Año 2026'!$E$3:$E$66),'Año 2026'!$O$3:$O$66),"")</f>
        <v>0</v>
      </c>
      <c r="AO43" s="41" t="str" cm="1">
        <f t="array" ref="AO43">IFERROR(_xlfn.XLOOKUP(TRIM($E43),TRIM('Año 2026'!$E$3:$E$66),'Año 2026'!$P$3:$P$66),"")</f>
        <v>Prórroga</v>
      </c>
      <c r="AP43" s="41" cm="1">
        <f t="array" ref="AP43">IFERROR(_xlfn.XLOOKUP(TRIM($E43),TRIM('Año 2026'!$E$3:$E$66),'Año 2026'!$Q$3:$Q$66),"")</f>
        <v>0</v>
      </c>
      <c r="AQ43" s="41" cm="1">
        <f t="array" ref="AQ43">IFERROR(_xlfn.XLOOKUP(TRIM($E43),TRIM('Año 2026'!$E$3:$E$66),'Año 2026'!$R$3:$R$66),"")</f>
        <v>0</v>
      </c>
      <c r="AR43" s="41" cm="1">
        <f t="array" ref="AR43">IFERROR(_xlfn.XLOOKUP(TRIM($E43),TRIM('Año 2026'!$E$3:$E$66),'Año 2026'!$S$3:$S$66),"")</f>
        <v>0</v>
      </c>
      <c r="AS43" s="41" cm="1">
        <f t="array" ref="AS43">IFERROR(_xlfn.XLOOKUP(TRIM($E43),TRIM('Año 2026'!$E$3:$E$66),'Año 2026'!$T$3:$T$66),"")</f>
        <v>0</v>
      </c>
      <c r="AT43" s="41" cm="1">
        <f t="array" ref="AT43">IFERROR(_xlfn.XLOOKUP(TRIM($E43),TRIM('Año 2026'!$E$3:$E$66),'Año 2026'!$U$3:$U$66),"")</f>
        <v>0</v>
      </c>
      <c r="AU43" s="41" t="str" cm="1">
        <f t="array" ref="AU43">IFERROR(_xlfn.XLOOKUP(TRIM($E43),TRIM('Año 2026'!$E$3:$E$66),'Año 2026'!$V$3:$V$66),"")</f>
        <v>Oficio N° 03963-2025-SUNEDU-DS-DIRESESU-UVE</v>
      </c>
      <c r="AV43" s="41" cm="1">
        <f t="array" ref="AV43">IFERROR(_xlfn.XLOOKUP(TRIM($E43),TRIM('Año 2026'!$E$3:$E$66),'Año 2026'!$W$3:$W$66),"")</f>
        <v>45932</v>
      </c>
      <c r="AW43" s="41" cm="1">
        <f t="array" ref="AW43">IFERROR(_xlfn.XLOOKUP(TRIM($E43),TRIM('Año 2026'!$E$3:$E$66),'Año 2026'!$X$3:$X$66),"")</f>
        <v>3</v>
      </c>
      <c r="AX43" s="41" t="str" cm="1">
        <f t="array" ref="AX43">IFERROR(_xlfn.XLOOKUP(TRIM($E43),TRIM('Año 2026'!$E$3:$E$66),'Año 2026'!$Y$3:$Y$66),"")</f>
        <v/>
      </c>
      <c r="AY43" s="41" t="str" cm="1">
        <f t="array" aca="1" ref="AY43" ca="1">IFERROR(_xlfn.XLOOKUP(TRIM($E43),TRIM('Año 2026'!$E$3:$E$66),'Año 2026'!$Z$3:$Z$66),"")</f>
        <v/>
      </c>
      <c r="AZ43" s="41" t="str" cm="1">
        <f t="array" aca="1" ref="AZ43" ca="1">IFERROR(_xlfn.XLOOKUP(TRIM($E43),TRIM('Año 2026'!$E$3:$E$66),'Año 2026'!$AA$3:$AA$66),"")</f>
        <v/>
      </c>
      <c r="BA43" s="41" t="str" cm="1">
        <f t="array" aca="1" ref="BA43" ca="1">IFERROR(_xlfn.XLOOKUP(TRIM($E43),TRIM('Año 2026'!$E$3:$E$66),'Año 2026'!$AB$3:$AB$66),"")</f>
        <v/>
      </c>
      <c r="BB43" s="41" t="str" cm="1">
        <f t="array" ref="BB43">IFERROR(_xlfn.XLOOKUP(TRIM($E43),TRIM('Año 2026'!$E$3:$E$66),'Año 2026'!$AC$3:$AC$66),"")</f>
        <v>Entregado</v>
      </c>
      <c r="BC43" s="41" cm="1">
        <f t="array" ref="BC43">IFERROR(_xlfn.XLOOKUP(TRIM($E43),TRIM('Año 2026'!$E$3:$E$66),'Año 2026'!$AD$3:$AD$66),"")</f>
        <v>0</v>
      </c>
    </row>
    <row r="44" spans="1:55" s="41" customFormat="1" ht="135" customHeight="1" x14ac:dyDescent="0.25">
      <c r="A44" s="48">
        <v>43</v>
      </c>
      <c r="B44" s="51">
        <v>2025</v>
      </c>
      <c r="C44" s="51" t="s">
        <v>69</v>
      </c>
      <c r="D44" s="51" t="s">
        <v>284</v>
      </c>
      <c r="E44" s="58" t="s">
        <v>180</v>
      </c>
      <c r="F44" s="53" t="s">
        <v>269</v>
      </c>
      <c r="G44" s="48" t="s">
        <v>181</v>
      </c>
      <c r="H44" s="108">
        <v>41</v>
      </c>
      <c r="I44" s="72" t="s">
        <v>266</v>
      </c>
      <c r="J44" s="72" t="s">
        <v>399</v>
      </c>
      <c r="K44" s="72" t="s">
        <v>397</v>
      </c>
      <c r="L44" s="72" t="s">
        <v>493</v>
      </c>
      <c r="M44" s="72" t="s">
        <v>572</v>
      </c>
      <c r="N44" s="55" t="s">
        <v>573</v>
      </c>
      <c r="O44" s="51" t="s">
        <v>798</v>
      </c>
      <c r="P44" s="72" t="s">
        <v>360</v>
      </c>
      <c r="Q44" s="72">
        <v>19</v>
      </c>
      <c r="R44" s="88" t="s">
        <v>574</v>
      </c>
      <c r="S44" s="51" t="s">
        <v>347</v>
      </c>
      <c r="T44" s="50">
        <v>2</v>
      </c>
      <c r="U44" s="72" t="s">
        <v>471</v>
      </c>
      <c r="V44" s="138"/>
      <c r="W44" s="86" t="s">
        <v>3315</v>
      </c>
      <c r="X44" s="71" t="s">
        <v>534</v>
      </c>
      <c r="Y44" s="49" t="s">
        <v>3314</v>
      </c>
      <c r="Z44" s="49" t="s">
        <v>264</v>
      </c>
      <c r="AA44" s="47">
        <v>46227</v>
      </c>
      <c r="AB44" s="48" t="str">
        <f ca="1">IF(AA44&lt;TODAY(),"VENCIDO","POR VENCER")</f>
        <v>POR VENCER</v>
      </c>
      <c r="AC44" s="47">
        <v>46234</v>
      </c>
      <c r="AD44" s="46" t="s">
        <v>309</v>
      </c>
      <c r="AE44" s="48"/>
      <c r="AF44" s="41" t="str" cm="1">
        <f t="array" ref="AF44">IFERROR(_xlfn.XLOOKUP(TRIM($E44),TRIM('Año 2026'!$E$3:$E$66),'Año 2026'!$G$3:$G$66),"")</f>
        <v>Oficio N° 03497-2025-SUNEDU-DS-DIRESESU-UVE (08.09.25)</v>
      </c>
      <c r="AG44" s="41" cm="1">
        <f t="array" ref="AG44">IFERROR(_xlfn.XLOOKUP(TRIM($E44),TRIM('Año 2026'!$E$3:$E$66),'Año 2026'!$H$3:$H$66),"")</f>
        <v>45909</v>
      </c>
      <c r="AH44" s="41" cm="1">
        <f t="array" ref="AH44">IFERROR(_xlfn.XLOOKUP(TRIM($E44),TRIM('Año 2026'!$E$3:$E$66),'Año 2026'!$I$3:$I$66),"")</f>
        <v>2</v>
      </c>
      <c r="AI44" s="41" cm="1">
        <f t="array" ref="AI44">IFERROR(_xlfn.XLOOKUP(TRIM($E44),TRIM('Año 2026'!$E$3:$E$66),'Año 2026'!$J$3:$J$66),"")</f>
        <v>45911</v>
      </c>
      <c r="AJ44" s="41" cm="1">
        <f t="array" aca="1" ref="AJ44" ca="1">IFERROR(_xlfn.XLOOKUP(TRIM($E44),TRIM('Año 2026'!$E$3:$E$66),'Año 2026'!$K$3:$K$66),"")</f>
        <v>-281</v>
      </c>
      <c r="AK44" s="41" t="str" cm="1">
        <f t="array" aca="1" ref="AK44" ca="1">IFERROR(_xlfn.XLOOKUP(TRIM($E44),TRIM('Año 2026'!$E$3:$E$66),'Año 2026'!$L$3:$L$66),"")</f>
        <v>NUEVA FECHA</v>
      </c>
      <c r="AL44" s="41" t="str" cm="1">
        <f t="array" aca="1" ref="AL44" ca="1">IFERROR(_xlfn.XLOOKUP(TRIM($E44),TRIM('Año 2026'!$E$3:$E$66),'Año 2026'!$M$3:$M$66),"")</f>
        <v>NUEVA FECHA</v>
      </c>
      <c r="AM44" s="41" t="str" cm="1">
        <f t="array" ref="AM44">IFERROR(_xlfn.XLOOKUP(TRIM($E44),TRIM('Año 2026'!$E$3:$E$66),'Año 2026'!$N$3:$N$66),"")</f>
        <v>Ajustes al plazo</v>
      </c>
      <c r="AN44" s="41" cm="1">
        <f t="array" ref="AN44">IFERROR(_xlfn.XLOOKUP(TRIM($E44),TRIM('Año 2026'!$E$3:$E$66),'Año 2026'!$O$3:$O$66),"")</f>
        <v>0</v>
      </c>
      <c r="AO44" s="41" t="str" cm="1">
        <f t="array" ref="AO44">IFERROR(_xlfn.XLOOKUP(TRIM($E44),TRIM('Año 2026'!$E$3:$E$66),'Año 2026'!$P$3:$P$66),"")</f>
        <v>Prórroga</v>
      </c>
      <c r="AP44" s="41" cm="1">
        <f t="array" ref="AP44">IFERROR(_xlfn.XLOOKUP(TRIM($E44),TRIM('Año 2026'!$E$3:$E$66),'Año 2026'!$Q$3:$Q$66),"")</f>
        <v>0</v>
      </c>
      <c r="AQ44" s="41" cm="1">
        <f t="array" ref="AQ44">IFERROR(_xlfn.XLOOKUP(TRIM($E44),TRIM('Año 2026'!$E$3:$E$66),'Año 2026'!$R$3:$R$66),"")</f>
        <v>0</v>
      </c>
      <c r="AR44" s="41" cm="1">
        <f t="array" ref="AR44">IFERROR(_xlfn.XLOOKUP(TRIM($E44),TRIM('Año 2026'!$E$3:$E$66),'Año 2026'!$S$3:$S$66),"")</f>
        <v>0</v>
      </c>
      <c r="AS44" s="41" cm="1">
        <f t="array" ref="AS44">IFERROR(_xlfn.XLOOKUP(TRIM($E44),TRIM('Año 2026'!$E$3:$E$66),'Año 2026'!$T$3:$T$66),"")</f>
        <v>0</v>
      </c>
      <c r="AT44" s="41" cm="1">
        <f t="array" ref="AT44">IFERROR(_xlfn.XLOOKUP(TRIM($E44),TRIM('Año 2026'!$E$3:$E$66),'Año 2026'!$U$3:$U$66),"")</f>
        <v>0</v>
      </c>
      <c r="AU44" s="41" t="str" cm="1">
        <f t="array" ref="AU44">IFERROR(_xlfn.XLOOKUP(TRIM($E44),TRIM('Año 2026'!$E$3:$E$66),'Año 2026'!$V$3:$V$66),"")</f>
        <v>Oficio N° 03963-2025-SUNEDU-DS-DIRESESU-UVE</v>
      </c>
      <c r="AV44" s="41" cm="1">
        <f t="array" ref="AV44">IFERROR(_xlfn.XLOOKUP(TRIM($E44),TRIM('Año 2026'!$E$3:$E$66),'Año 2026'!$W$3:$W$66),"")</f>
        <v>45932</v>
      </c>
      <c r="AW44" s="41" cm="1">
        <f t="array" ref="AW44">IFERROR(_xlfn.XLOOKUP(TRIM($E44),TRIM('Año 2026'!$E$3:$E$66),'Año 2026'!$X$3:$X$66),"")</f>
        <v>3</v>
      </c>
      <c r="AX44" s="41" t="str" cm="1">
        <f t="array" ref="AX44">IFERROR(_xlfn.XLOOKUP(TRIM($E44),TRIM('Año 2026'!$E$3:$E$66),'Año 2026'!$Y$3:$Y$66),"")</f>
        <v/>
      </c>
      <c r="AY44" s="41" t="str" cm="1">
        <f t="array" aca="1" ref="AY44" ca="1">IFERROR(_xlfn.XLOOKUP(TRIM($E44),TRIM('Año 2026'!$E$3:$E$66),'Año 2026'!$Z$3:$Z$66),"")</f>
        <v/>
      </c>
      <c r="AZ44" s="41" t="str" cm="1">
        <f t="array" aca="1" ref="AZ44" ca="1">IFERROR(_xlfn.XLOOKUP(TRIM($E44),TRIM('Año 2026'!$E$3:$E$66),'Año 2026'!$AA$3:$AA$66),"")</f>
        <v/>
      </c>
      <c r="BA44" s="41" t="str" cm="1">
        <f t="array" aca="1" ref="BA44" ca="1">IFERROR(_xlfn.XLOOKUP(TRIM($E44),TRIM('Año 2026'!$E$3:$E$66),'Año 2026'!$AB$3:$AB$66),"")</f>
        <v/>
      </c>
      <c r="BB44" s="41" t="str" cm="1">
        <f t="array" ref="BB44">IFERROR(_xlfn.XLOOKUP(TRIM($E44),TRIM('Año 2026'!$E$3:$E$66),'Año 2026'!$AC$3:$AC$66),"")</f>
        <v>Entregado</v>
      </c>
      <c r="BC44" s="41" cm="1">
        <f t="array" ref="BC44">IFERROR(_xlfn.XLOOKUP(TRIM($E44),TRIM('Año 2026'!$E$3:$E$66),'Año 2026'!$AD$3:$AD$66),"")</f>
        <v>0</v>
      </c>
    </row>
    <row r="45" spans="1:55" s="41" customFormat="1" ht="103.5" customHeight="1" x14ac:dyDescent="0.25">
      <c r="A45" s="48">
        <v>44</v>
      </c>
      <c r="B45" s="51">
        <v>2025</v>
      </c>
      <c r="C45" s="51" t="s">
        <v>69</v>
      </c>
      <c r="D45" s="51" t="s">
        <v>287</v>
      </c>
      <c r="E45" s="58" t="s">
        <v>203</v>
      </c>
      <c r="F45" s="53" t="s">
        <v>269</v>
      </c>
      <c r="G45" s="48" t="s">
        <v>3316</v>
      </c>
      <c r="H45" s="108">
        <v>41</v>
      </c>
      <c r="I45" s="51" t="s">
        <v>266</v>
      </c>
      <c r="J45" s="73" t="s">
        <v>495</v>
      </c>
      <c r="K45" s="51" t="s">
        <v>397</v>
      </c>
      <c r="L45" s="51" t="s">
        <v>493</v>
      </c>
      <c r="M45" s="51" t="s">
        <v>492</v>
      </c>
      <c r="N45" s="51" t="s">
        <v>494</v>
      </c>
      <c r="O45" s="51" t="s">
        <v>798</v>
      </c>
      <c r="P45" s="51" t="s">
        <v>360</v>
      </c>
      <c r="Q45" s="51" t="s">
        <v>3228</v>
      </c>
      <c r="R45" s="55" t="s">
        <v>536</v>
      </c>
      <c r="S45" s="51" t="s">
        <v>347</v>
      </c>
      <c r="T45" s="50">
        <v>2</v>
      </c>
      <c r="U45" s="72" t="s">
        <v>535</v>
      </c>
      <c r="V45" s="139">
        <v>45945</v>
      </c>
      <c r="W45" s="82" t="s">
        <v>3315</v>
      </c>
      <c r="X45" s="71" t="s">
        <v>534</v>
      </c>
      <c r="Y45" s="49" t="s">
        <v>3314</v>
      </c>
      <c r="Z45" s="49" t="s">
        <v>264</v>
      </c>
      <c r="AA45" s="47">
        <v>46227</v>
      </c>
      <c r="AB45" s="48" t="str">
        <f ca="1">IF(AA45&lt;TODAY(),"VENCIDO","POR VENCER")</f>
        <v>POR VENCER</v>
      </c>
      <c r="AC45" s="47">
        <v>46234</v>
      </c>
      <c r="AD45" s="46" t="s">
        <v>309</v>
      </c>
      <c r="AE45" s="48"/>
      <c r="AF45" s="41" t="str" cm="1">
        <f t="array" ref="AF45">IFERROR(_xlfn.XLOOKUP(TRIM($E45),TRIM('Año 2026'!$E$3:$E$66),'Año 2026'!$G$3:$G$66),"")</f>
        <v>Oficio Nº 04148-2025-SUNEDU-DS-DIRESESU-UVE</v>
      </c>
      <c r="AG45" s="41" cm="1">
        <f t="array" ref="AG45">IFERROR(_xlfn.XLOOKUP(TRIM($E45),TRIM('Año 2026'!$E$3:$E$66),'Año 2026'!$H$3:$H$66),"")</f>
        <v>45945</v>
      </c>
      <c r="AH45" s="41" cm="1">
        <f t="array" ref="AH45">IFERROR(_xlfn.XLOOKUP(TRIM($E45),TRIM('Año 2026'!$E$3:$E$66),'Año 2026'!$I$3:$I$66),"")</f>
        <v>3</v>
      </c>
      <c r="AI45" s="41" cm="1">
        <f t="array" ref="AI45">IFERROR(_xlfn.XLOOKUP(TRIM($E45),TRIM('Año 2026'!$E$3:$E$66),'Año 2026'!$J$3:$J$66),"")</f>
        <v>45950</v>
      </c>
      <c r="AJ45" s="41" cm="1">
        <f t="array" aca="1" ref="AJ45" ca="1">IFERROR(_xlfn.XLOOKUP(TRIM($E45),TRIM('Año 2026'!$E$3:$E$66),'Año 2026'!$K$3:$K$66),"")</f>
        <v>-242</v>
      </c>
      <c r="AK45" s="41" t="str" cm="1">
        <f t="array" aca="1" ref="AK45" ca="1">IFERROR(_xlfn.XLOOKUP(TRIM($E45),TRIM('Año 2026'!$E$3:$E$66),'Año 2026'!$L$3:$L$66),"")</f>
        <v>CONCLUIDO</v>
      </c>
      <c r="AL45" s="41" t="str" cm="1">
        <f t="array" aca="1" ref="AL45" ca="1">IFERROR(_xlfn.XLOOKUP(TRIM($E45),TRIM('Año 2026'!$E$3:$E$66),'Año 2026'!$M$3:$M$66),"")</f>
        <v>CONCLUIDO</v>
      </c>
      <c r="AM45" s="41" t="str" cm="1">
        <f t="array" ref="AM45">IFERROR(_xlfn.XLOOKUP(TRIM($E45),TRIM('Año 2026'!$E$3:$E$66),'Año 2026'!$N$3:$N$66),"")</f>
        <v>Entregado</v>
      </c>
      <c r="AN45" s="41" cm="1">
        <f t="array" ref="AN45">IFERROR(_xlfn.XLOOKUP(TRIM($E45),TRIM('Año 2026'!$E$3:$E$66),'Año 2026'!$O$3:$O$66),"")</f>
        <v>0</v>
      </c>
      <c r="AO45" s="41" t="str" cm="1">
        <f t="array" ref="AO45">IFERROR(_xlfn.XLOOKUP(TRIM($E45),TRIM('Año 2026'!$E$3:$E$66),'Año 2026'!$P$3:$P$66),"")</f>
        <v>Prórroga</v>
      </c>
      <c r="AP45" s="41" cm="1">
        <f t="array" ref="AP45">IFERROR(_xlfn.XLOOKUP(TRIM($E45),TRIM('Año 2026'!$E$3:$E$66),'Año 2026'!$Q$3:$Q$66),"")</f>
        <v>0</v>
      </c>
      <c r="AQ45" s="41" cm="1">
        <f t="array" ref="AQ45">IFERROR(_xlfn.XLOOKUP(TRIM($E45),TRIM('Año 2026'!$E$3:$E$66),'Año 2026'!$R$3:$R$66),"")</f>
        <v>0</v>
      </c>
      <c r="AR45" s="41" cm="1">
        <f t="array" ref="AR45">IFERROR(_xlfn.XLOOKUP(TRIM($E45),TRIM('Año 2026'!$E$3:$E$66),'Año 2026'!$S$3:$S$66),"")</f>
        <v>0</v>
      </c>
      <c r="AS45" s="41" cm="1">
        <f t="array" ref="AS45">IFERROR(_xlfn.XLOOKUP(TRIM($E45),TRIM('Año 2026'!$E$3:$E$66),'Año 2026'!$T$3:$T$66),"")</f>
        <v>0</v>
      </c>
      <c r="AT45" s="41" cm="1">
        <f t="array" ref="AT45">IFERROR(_xlfn.XLOOKUP(TRIM($E45),TRIM('Año 2026'!$E$3:$E$66),'Año 2026'!$U$3:$U$66),"")</f>
        <v>0</v>
      </c>
      <c r="AU45" s="41" cm="1">
        <f t="array" ref="AU45">IFERROR(_xlfn.XLOOKUP(TRIM($E45),TRIM('Año 2026'!$E$3:$E$66),'Año 2026'!$V$3:$V$66),"")</f>
        <v>0</v>
      </c>
      <c r="AV45" s="41" cm="1">
        <f t="array" ref="AV45">IFERROR(_xlfn.XLOOKUP(TRIM($E45),TRIM('Año 2026'!$E$3:$E$66),'Año 2026'!$W$3:$W$66),"")</f>
        <v>0</v>
      </c>
      <c r="AW45" s="41" cm="1">
        <f t="array" ref="AW45">IFERROR(_xlfn.XLOOKUP(TRIM($E45),TRIM('Año 2026'!$E$3:$E$66),'Año 2026'!$X$3:$X$66),"")</f>
        <v>6</v>
      </c>
      <c r="AX45" s="41" t="str" cm="1">
        <f t="array" ref="AX45">IFERROR(_xlfn.XLOOKUP(TRIM($E45),TRIM('Año 2026'!$E$3:$E$66),'Año 2026'!$Y$3:$Y$66),"")</f>
        <v/>
      </c>
      <c r="AY45" s="41" t="str" cm="1">
        <f t="array" aca="1" ref="AY45" ca="1">IFERROR(_xlfn.XLOOKUP(TRIM($E45),TRIM('Año 2026'!$E$3:$E$66),'Año 2026'!$Z$3:$Z$66),"")</f>
        <v/>
      </c>
      <c r="AZ45" s="41" t="str" cm="1">
        <f t="array" aca="1" ref="AZ45" ca="1">IFERROR(_xlfn.XLOOKUP(TRIM($E45),TRIM('Año 2026'!$E$3:$E$66),'Año 2026'!$AA$3:$AA$66),"")</f>
        <v/>
      </c>
      <c r="BA45" s="41" t="str" cm="1">
        <f t="array" aca="1" ref="BA45" ca="1">IFERROR(_xlfn.XLOOKUP(TRIM($E45),TRIM('Año 2026'!$E$3:$E$66),'Año 2026'!$AB$3:$AB$66),"")</f>
        <v/>
      </c>
      <c r="BB45" s="41" t="str" cm="1">
        <f t="array" ref="BB45">IFERROR(_xlfn.XLOOKUP(TRIM($E45),TRIM('Año 2026'!$E$3:$E$66),'Año 2026'!$AC$3:$AC$66),"")</f>
        <v>Entregado</v>
      </c>
      <c r="BC45" s="41" cm="1">
        <f t="array" ref="BC45">IFERROR(_xlfn.XLOOKUP(TRIM($E45),TRIM('Año 2026'!$E$3:$E$66),'Año 2026'!$AD$3:$AD$66),"")</f>
        <v>0</v>
      </c>
    </row>
    <row r="46" spans="1:55" s="41" customFormat="1" ht="141.75" customHeight="1" x14ac:dyDescent="0.25">
      <c r="A46" s="48">
        <v>45</v>
      </c>
      <c r="B46" s="51">
        <v>2025</v>
      </c>
      <c r="C46" s="51" t="s">
        <v>137</v>
      </c>
      <c r="D46" s="51" t="s">
        <v>287</v>
      </c>
      <c r="E46" s="48" t="s">
        <v>156</v>
      </c>
      <c r="F46" s="53" t="s">
        <v>269</v>
      </c>
      <c r="G46" s="51" t="s">
        <v>3297</v>
      </c>
      <c r="H46" s="108">
        <v>31</v>
      </c>
      <c r="I46" s="51" t="s">
        <v>266</v>
      </c>
      <c r="J46" s="51" t="s">
        <v>324</v>
      </c>
      <c r="K46" s="51" t="s">
        <v>506</v>
      </c>
      <c r="L46" s="51" t="s">
        <v>506</v>
      </c>
      <c r="M46" s="51" t="s">
        <v>505</v>
      </c>
      <c r="N46" s="51" t="s">
        <v>507</v>
      </c>
      <c r="O46" s="51" t="s">
        <v>798</v>
      </c>
      <c r="P46" s="51" t="s">
        <v>360</v>
      </c>
      <c r="Q46" s="51" t="s">
        <v>539</v>
      </c>
      <c r="R46" s="83" t="s">
        <v>3298</v>
      </c>
      <c r="S46" s="51" t="s">
        <v>347</v>
      </c>
      <c r="T46" s="50">
        <v>1</v>
      </c>
      <c r="U46" s="48" t="s">
        <v>538</v>
      </c>
      <c r="V46" s="47">
        <v>45853</v>
      </c>
      <c r="W46" s="45" t="s">
        <v>3317</v>
      </c>
      <c r="X46" s="45"/>
      <c r="Y46" s="76" t="s">
        <v>3318</v>
      </c>
      <c r="Z46" s="62" t="s">
        <v>264</v>
      </c>
      <c r="AA46" s="47">
        <v>46346</v>
      </c>
      <c r="AB46" s="48" t="str">
        <f ca="1">IF(AA46&lt;TODAY(),"VENCIDO","POR VENCER")</f>
        <v>POR VENCER</v>
      </c>
      <c r="AC46" s="47">
        <v>46353</v>
      </c>
      <c r="AD46" s="46" t="s">
        <v>309</v>
      </c>
      <c r="AE46" s="48" t="s">
        <v>503</v>
      </c>
      <c r="AF46" s="41" t="str" cm="1">
        <f t="array" ref="AF46">IFERROR(_xlfn.XLOOKUP(TRIM($E46),TRIM('Año 2026'!$E$3:$E$66),'Año 2026'!$G$3:$G$66),"")</f>
        <v>05589-2025-SUNEDU-DS-DIRESESU-UVE</v>
      </c>
      <c r="AG46" s="41" cm="1">
        <f t="array" ref="AG46">IFERROR(_xlfn.XLOOKUP(TRIM($E46),TRIM('Año 2026'!$E$3:$E$66),'Año 2026'!$H$3:$H$66),"")</f>
        <v>46029</v>
      </c>
      <c r="AH46" s="41" cm="1">
        <f t="array" ref="AH46">IFERROR(_xlfn.XLOOKUP(TRIM($E46),TRIM('Año 2026'!$E$3:$E$66),'Año 2026'!$I$3:$I$66),"")</f>
        <v>5</v>
      </c>
      <c r="AI46" s="41" cm="1">
        <f t="array" ref="AI46">IFERROR(_xlfn.XLOOKUP(TRIM($E46),TRIM('Año 2026'!$E$3:$E$66),'Año 2026'!$J$3:$J$66),"")</f>
        <v>46094</v>
      </c>
      <c r="AJ46" s="41" cm="1">
        <f t="array" aca="1" ref="AJ46" ca="1">IFERROR(_xlfn.XLOOKUP(TRIM($E46),TRIM('Año 2026'!$E$3:$E$66),'Año 2026'!$K$3:$K$66),"")</f>
        <v>-98</v>
      </c>
      <c r="AK46" s="41" t="str" cm="1">
        <f t="array" aca="1" ref="AK46" ca="1">IFERROR(_xlfn.XLOOKUP(TRIM($E46),TRIM('Año 2026'!$E$3:$E$66),'Año 2026'!$L$3:$L$66),"")</f>
        <v>NUEVA FECHA</v>
      </c>
      <c r="AL46" s="41" t="str" cm="1">
        <f t="array" aca="1" ref="AL46" ca="1">IFERROR(_xlfn.XLOOKUP(TRIM($E46),TRIM('Año 2026'!$E$3:$E$66),'Año 2026'!$M$3:$M$66),"")</f>
        <v>NUEVA FECHA</v>
      </c>
      <c r="AM46" s="41" t="str" cm="1">
        <f t="array" ref="AM46">IFERROR(_xlfn.XLOOKUP(TRIM($E46),TRIM('Año 2026'!$E$3:$E$66),'Año 2026'!$N$3:$N$66),"")</f>
        <v>Ajustes al plazo</v>
      </c>
      <c r="AN46" s="41" cm="1">
        <f t="array" ref="AN46">IFERROR(_xlfn.XLOOKUP(TRIM($E46),TRIM('Año 2026'!$E$3:$E$66),'Año 2026'!$O$3:$O$66),"")</f>
        <v>0</v>
      </c>
      <c r="AO46" s="41" t="str" cm="1">
        <f t="array" ref="AO46">IFERROR(_xlfn.XLOOKUP(TRIM($E46),TRIM('Año 2026'!$E$3:$E$66),'Año 2026'!$P$3:$P$66),"")</f>
        <v>Prórroga</v>
      </c>
      <c r="AP46" s="41" cm="1">
        <f t="array" ref="AP46">IFERROR(_xlfn.XLOOKUP(TRIM($E46),TRIM('Año 2026'!$E$3:$E$66),'Año 2026'!$Q$3:$Q$66),"")</f>
        <v>0</v>
      </c>
      <c r="AQ46" s="41" cm="1">
        <f t="array" ref="AQ46">IFERROR(_xlfn.XLOOKUP(TRIM($E46),TRIM('Año 2026'!$E$3:$E$66),'Año 2026'!$R$3:$R$66),"")</f>
        <v>0</v>
      </c>
      <c r="AR46" s="41" cm="1">
        <f t="array" ref="AR46">IFERROR(_xlfn.XLOOKUP(TRIM($E46),TRIM('Año 2026'!$E$3:$E$66),'Año 2026'!$S$3:$S$66),"")</f>
        <v>0</v>
      </c>
      <c r="AS46" s="41" cm="1">
        <f t="array" ref="AS46">IFERROR(_xlfn.XLOOKUP(TRIM($E46),TRIM('Año 2026'!$E$3:$E$66),'Año 2026'!$T$3:$T$66),"")</f>
        <v>0</v>
      </c>
      <c r="AT46" s="41" cm="1">
        <f t="array" ref="AT46">IFERROR(_xlfn.XLOOKUP(TRIM($E46),TRIM('Año 2026'!$E$3:$E$66),'Año 2026'!$U$3:$U$66),"")</f>
        <v>0</v>
      </c>
      <c r="AU46" s="41" cm="1">
        <f t="array" ref="AU46">IFERROR(_xlfn.XLOOKUP(TRIM($E46),TRIM('Año 2026'!$E$3:$E$66),'Año 2026'!$V$3:$V$66),"")</f>
        <v>0</v>
      </c>
      <c r="AV46" s="41" cm="1">
        <f t="array" ref="AV46">IFERROR(_xlfn.XLOOKUP(TRIM($E46),TRIM('Año 2026'!$E$3:$E$66),'Año 2026'!$W$3:$W$66),"")</f>
        <v>0</v>
      </c>
      <c r="AW46" s="41" cm="1">
        <f t="array" ref="AW46">IFERROR(_xlfn.XLOOKUP(TRIM($E46),TRIM('Año 2026'!$E$3:$E$66),'Año 2026'!$X$3:$X$66),"")</f>
        <v>0</v>
      </c>
      <c r="AX46" s="41" cm="1">
        <f t="array" ref="AX46">IFERROR(_xlfn.XLOOKUP(TRIM($E46),TRIM('Año 2026'!$E$3:$E$66),'Año 2026'!$Y$3:$Y$66),"")</f>
        <v>0</v>
      </c>
      <c r="AY46" s="41" cm="1">
        <f t="array" ref="AY46">IFERROR(_xlfn.XLOOKUP(TRIM($E46),TRIM('Año 2026'!$E$3:$E$66),'Año 2026'!$Z$3:$Z$66),"")</f>
        <v>0</v>
      </c>
      <c r="AZ46" s="41" cm="1">
        <f t="array" ref="AZ46">IFERROR(_xlfn.XLOOKUP(TRIM($E46),TRIM('Año 2026'!$E$3:$E$66),'Año 2026'!$AA$3:$AA$66),"")</f>
        <v>0</v>
      </c>
      <c r="BA46" s="41" cm="1">
        <f t="array" ref="BA46">IFERROR(_xlfn.XLOOKUP(TRIM($E46),TRIM('Año 2026'!$E$3:$E$66),'Año 2026'!$AB$3:$AB$66),"")</f>
        <v>0</v>
      </c>
      <c r="BB46" s="41" t="str" cm="1">
        <f t="array" ref="BB46">IFERROR(_xlfn.XLOOKUP(TRIM($E46),TRIM('Año 2026'!$E$3:$E$66),'Año 2026'!$AC$3:$AC$66),"")</f>
        <v>Entregado</v>
      </c>
      <c r="BC46" s="41" t="str" cm="1">
        <f t="array" ref="BC46">IFERROR(_xlfn.XLOOKUP(TRIM($E46),TRIM('Año 2026'!$E$3:$E$66),'Año 2026'!$AD$3:$AD$66),"")</f>
        <v>No se atendió la prórroga</v>
      </c>
    </row>
    <row r="47" spans="1:55" s="41" customFormat="1" ht="72" customHeight="1" x14ac:dyDescent="0.25">
      <c r="A47" s="48">
        <v>46</v>
      </c>
      <c r="B47" s="51">
        <v>2025</v>
      </c>
      <c r="C47" s="51" t="s">
        <v>137</v>
      </c>
      <c r="D47" s="51" t="s">
        <v>284</v>
      </c>
      <c r="E47" s="77" t="s">
        <v>165</v>
      </c>
      <c r="F47" s="53" t="s">
        <v>269</v>
      </c>
      <c r="G47" s="51" t="s">
        <v>3299</v>
      </c>
      <c r="H47" s="108">
        <v>31</v>
      </c>
      <c r="I47" s="51" t="s">
        <v>266</v>
      </c>
      <c r="J47" s="51" t="s">
        <v>324</v>
      </c>
      <c r="K47" s="51" t="s">
        <v>506</v>
      </c>
      <c r="L47" s="51" t="s">
        <v>506</v>
      </c>
      <c r="M47" s="51" t="s">
        <v>505</v>
      </c>
      <c r="N47" s="51" t="s">
        <v>507</v>
      </c>
      <c r="O47" s="51" t="s">
        <v>798</v>
      </c>
      <c r="P47" s="51" t="s">
        <v>360</v>
      </c>
      <c r="Q47" s="51" t="s">
        <v>504</v>
      </c>
      <c r="R47" s="55" t="s">
        <v>3300</v>
      </c>
      <c r="S47" s="51" t="s">
        <v>347</v>
      </c>
      <c r="T47" s="50">
        <v>1</v>
      </c>
      <c r="U47" s="48" t="s">
        <v>3319</v>
      </c>
      <c r="V47" s="47">
        <v>45910</v>
      </c>
      <c r="W47" s="45" t="s">
        <v>3320</v>
      </c>
      <c r="X47" s="45"/>
      <c r="Y47" s="76" t="s">
        <v>3321</v>
      </c>
      <c r="Z47" s="62" t="s">
        <v>264</v>
      </c>
      <c r="AA47" s="47">
        <v>46346</v>
      </c>
      <c r="AB47" s="48" t="str">
        <f ca="1">IF(AA47&lt;TODAY(),"VENCIDO","POR VENCER")</f>
        <v>POR VENCER</v>
      </c>
      <c r="AC47" s="47">
        <v>46353</v>
      </c>
      <c r="AD47" s="46" t="s">
        <v>309</v>
      </c>
      <c r="AE47" s="48" t="s">
        <v>503</v>
      </c>
      <c r="AF47" s="41" t="str" cm="1">
        <f t="array" ref="AF47">IFERROR(_xlfn.XLOOKUP(TRIM($E47),TRIM('Año 2026'!$E$3:$E$66),'Año 2026'!$G$3:$G$66),"")</f>
        <v>05589-2025-SUNEDU-DS-DIRESESU-UVE</v>
      </c>
      <c r="AG47" s="41" cm="1">
        <f t="array" ref="AG47">IFERROR(_xlfn.XLOOKUP(TRIM($E47),TRIM('Año 2026'!$E$3:$E$66),'Año 2026'!$H$3:$H$66),"")</f>
        <v>46029</v>
      </c>
      <c r="AH47" s="41" cm="1">
        <f t="array" ref="AH47">IFERROR(_xlfn.XLOOKUP(TRIM($E47),TRIM('Año 2026'!$E$3:$E$66),'Año 2026'!$I$3:$I$66),"")</f>
        <v>5</v>
      </c>
      <c r="AI47" s="41" cm="1">
        <f t="array" ref="AI47">IFERROR(_xlfn.XLOOKUP(TRIM($E47),TRIM('Año 2026'!$E$3:$E$66),'Año 2026'!$J$3:$J$66),"")</f>
        <v>46094</v>
      </c>
      <c r="AJ47" s="41" cm="1">
        <f t="array" aca="1" ref="AJ47" ca="1">IFERROR(_xlfn.XLOOKUP(TRIM($E47),TRIM('Año 2026'!$E$3:$E$66),'Año 2026'!$K$3:$K$66),"")</f>
        <v>-98</v>
      </c>
      <c r="AK47" s="41" t="str" cm="1">
        <f t="array" aca="1" ref="AK47" ca="1">IFERROR(_xlfn.XLOOKUP(TRIM($E47),TRIM('Año 2026'!$E$3:$E$66),'Año 2026'!$L$3:$L$66),"")</f>
        <v>NUEVA FECHA</v>
      </c>
      <c r="AL47" s="41" t="str" cm="1">
        <f t="array" aca="1" ref="AL47" ca="1">IFERROR(_xlfn.XLOOKUP(TRIM($E47),TRIM('Año 2026'!$E$3:$E$66),'Año 2026'!$M$3:$M$66),"")</f>
        <v>NUEVA FECHA</v>
      </c>
      <c r="AM47" s="41" t="str" cm="1">
        <f t="array" ref="AM47">IFERROR(_xlfn.XLOOKUP(TRIM($E47),TRIM('Año 2026'!$E$3:$E$66),'Año 2026'!$N$3:$N$66),"")</f>
        <v>Ajustes al plazo</v>
      </c>
      <c r="AN47" s="41" cm="1">
        <f t="array" ref="AN47">IFERROR(_xlfn.XLOOKUP(TRIM($E47),TRIM('Año 2026'!$E$3:$E$66),'Año 2026'!$O$3:$O$66),"")</f>
        <v>0</v>
      </c>
      <c r="AO47" s="41" t="str" cm="1">
        <f t="array" ref="AO47">IFERROR(_xlfn.XLOOKUP(TRIM($E47),TRIM('Año 2026'!$E$3:$E$66),'Año 2026'!$P$3:$P$66),"")</f>
        <v>Prórroga</v>
      </c>
      <c r="AP47" s="41" cm="1">
        <f t="array" ref="AP47">IFERROR(_xlfn.XLOOKUP(TRIM($E47),TRIM('Año 2026'!$E$3:$E$66),'Año 2026'!$Q$3:$Q$66),"")</f>
        <v>0</v>
      </c>
      <c r="AQ47" s="41" cm="1">
        <f t="array" ref="AQ47">IFERROR(_xlfn.XLOOKUP(TRIM($E47),TRIM('Año 2026'!$E$3:$E$66),'Año 2026'!$R$3:$R$66),"")</f>
        <v>0</v>
      </c>
      <c r="AR47" s="41" cm="1">
        <f t="array" ref="AR47">IFERROR(_xlfn.XLOOKUP(TRIM($E47),TRIM('Año 2026'!$E$3:$E$66),'Año 2026'!$S$3:$S$66),"")</f>
        <v>0</v>
      </c>
      <c r="AS47" s="41" cm="1">
        <f t="array" ref="AS47">IFERROR(_xlfn.XLOOKUP(TRIM($E47),TRIM('Año 2026'!$E$3:$E$66),'Año 2026'!$T$3:$T$66),"")</f>
        <v>0</v>
      </c>
      <c r="AT47" s="41" cm="1">
        <f t="array" ref="AT47">IFERROR(_xlfn.XLOOKUP(TRIM($E47),TRIM('Año 2026'!$E$3:$E$66),'Año 2026'!$U$3:$U$66),"")</f>
        <v>0</v>
      </c>
      <c r="AU47" s="41" cm="1">
        <f t="array" ref="AU47">IFERROR(_xlfn.XLOOKUP(TRIM($E47),TRIM('Año 2026'!$E$3:$E$66),'Año 2026'!$V$3:$V$66),"")</f>
        <v>0</v>
      </c>
      <c r="AV47" s="41" cm="1">
        <f t="array" ref="AV47">IFERROR(_xlfn.XLOOKUP(TRIM($E47),TRIM('Año 2026'!$E$3:$E$66),'Año 2026'!$W$3:$W$66),"")</f>
        <v>0</v>
      </c>
      <c r="AW47" s="41" cm="1">
        <f t="array" ref="AW47">IFERROR(_xlfn.XLOOKUP(TRIM($E47),TRIM('Año 2026'!$E$3:$E$66),'Año 2026'!$X$3:$X$66),"")</f>
        <v>0</v>
      </c>
      <c r="AX47" s="41" cm="1">
        <f t="array" ref="AX47">IFERROR(_xlfn.XLOOKUP(TRIM($E47),TRIM('Año 2026'!$E$3:$E$66),'Año 2026'!$Y$3:$Y$66),"")</f>
        <v>0</v>
      </c>
      <c r="AY47" s="41" cm="1">
        <f t="array" ref="AY47">IFERROR(_xlfn.XLOOKUP(TRIM($E47),TRIM('Año 2026'!$E$3:$E$66),'Año 2026'!$Z$3:$Z$66),"")</f>
        <v>0</v>
      </c>
      <c r="AZ47" s="41" cm="1">
        <f t="array" ref="AZ47">IFERROR(_xlfn.XLOOKUP(TRIM($E47),TRIM('Año 2026'!$E$3:$E$66),'Año 2026'!$AA$3:$AA$66),"")</f>
        <v>0</v>
      </c>
      <c r="BA47" s="41" cm="1">
        <f t="array" ref="BA47">IFERROR(_xlfn.XLOOKUP(TRIM($E47),TRIM('Año 2026'!$E$3:$E$66),'Año 2026'!$AB$3:$AB$66),"")</f>
        <v>0</v>
      </c>
      <c r="BB47" s="41" t="str" cm="1">
        <f t="array" ref="BB47">IFERROR(_xlfn.XLOOKUP(TRIM($E47),TRIM('Año 2026'!$E$3:$E$66),'Año 2026'!$AC$3:$AC$66),"")</f>
        <v>Entregado</v>
      </c>
      <c r="BC47" s="41" t="str" cm="1">
        <f t="array" ref="BC47">IFERROR(_xlfn.XLOOKUP(TRIM($E47),TRIM('Año 2026'!$E$3:$E$66),'Año 2026'!$AD$3:$AD$66),"")</f>
        <v>No se atendió la prórroga</v>
      </c>
    </row>
    <row r="48" spans="1:55" s="41" customFormat="1" ht="84" customHeight="1" x14ac:dyDescent="0.25">
      <c r="A48" s="48">
        <v>47</v>
      </c>
      <c r="B48" s="51">
        <v>2025</v>
      </c>
      <c r="C48" s="51" t="s">
        <v>137</v>
      </c>
      <c r="D48" s="51" t="s">
        <v>526</v>
      </c>
      <c r="E48" s="51" t="s">
        <v>568</v>
      </c>
      <c r="F48" s="61" t="s">
        <v>431</v>
      </c>
      <c r="G48" s="51"/>
      <c r="H48" s="108">
        <v>40</v>
      </c>
      <c r="I48" s="51" t="s">
        <v>266</v>
      </c>
      <c r="J48" s="51" t="s">
        <v>3212</v>
      </c>
      <c r="K48" s="51" t="s">
        <v>564</v>
      </c>
      <c r="L48" s="51" t="s">
        <v>563</v>
      </c>
      <c r="M48" s="51" t="s">
        <v>562</v>
      </c>
      <c r="N48" s="51" t="s">
        <v>3375</v>
      </c>
      <c r="O48" s="51" t="s">
        <v>798</v>
      </c>
      <c r="P48" s="51" t="s">
        <v>3235</v>
      </c>
      <c r="Q48" s="51" t="s">
        <v>3229</v>
      </c>
      <c r="R48" s="55" t="s">
        <v>565</v>
      </c>
      <c r="S48" s="51" t="s">
        <v>347</v>
      </c>
      <c r="T48" s="50">
        <v>1</v>
      </c>
      <c r="U48" s="48" t="s">
        <v>561</v>
      </c>
      <c r="V48" s="47">
        <v>45986</v>
      </c>
      <c r="W48" s="45" t="s">
        <v>560</v>
      </c>
      <c r="X48" s="48" t="s">
        <v>559</v>
      </c>
      <c r="Y48" s="85" t="s">
        <v>3322</v>
      </c>
      <c r="Z48" s="49" t="s">
        <v>264</v>
      </c>
      <c r="AA48" s="47">
        <v>46101</v>
      </c>
      <c r="AB48" s="48" t="str">
        <f ca="1">IF(AA48&lt;TODAY(),"VENCIDO","POR VENCER")</f>
        <v>VENCIDO</v>
      </c>
      <c r="AC48" s="47">
        <v>46101</v>
      </c>
      <c r="AD48" s="46" t="s">
        <v>333</v>
      </c>
      <c r="AE48" s="45" t="s">
        <v>558</v>
      </c>
      <c r="AF48" s="41" t="str" cm="1">
        <f t="array" ref="AF48">IFERROR(_xlfn.XLOOKUP(TRIM($E48),TRIM('Año 2026'!$E$3:$E$66),'Año 2026'!$G$3:$G$66),"")</f>
        <v/>
      </c>
      <c r="AG48" s="41" t="str" cm="1">
        <f t="array" ref="AG48">IFERROR(_xlfn.XLOOKUP(TRIM($E48),TRIM('Año 2026'!$E$3:$E$66),'Año 2026'!$H$3:$H$66),"")</f>
        <v/>
      </c>
      <c r="AH48" s="41" t="str" cm="1">
        <f t="array" ref="AH48">IFERROR(_xlfn.XLOOKUP(TRIM($E48),TRIM('Año 2026'!$E$3:$E$66),'Año 2026'!$I$3:$I$66),"")</f>
        <v/>
      </c>
      <c r="AI48" s="41" t="str" cm="1">
        <f t="array" ref="AI48">IFERROR(_xlfn.XLOOKUP(TRIM($E48),TRIM('Año 2026'!$E$3:$E$66),'Año 2026'!$J$3:$J$66),"")</f>
        <v/>
      </c>
      <c r="AJ48" s="41" t="str" cm="1">
        <f t="array" ref="AJ48">IFERROR(_xlfn.XLOOKUP(TRIM($E48),TRIM('Año 2026'!$E$3:$E$66),'Año 2026'!$K$3:$K$66),"")</f>
        <v/>
      </c>
      <c r="AK48" s="41" t="str" cm="1">
        <f t="array" ref="AK48">IFERROR(_xlfn.XLOOKUP(TRIM($E48),TRIM('Año 2026'!$E$3:$E$66),'Año 2026'!$L$3:$L$66),"")</f>
        <v/>
      </c>
      <c r="AL48" s="41" t="str" cm="1">
        <f t="array" ref="AL48">IFERROR(_xlfn.XLOOKUP(TRIM($E48),TRIM('Año 2026'!$E$3:$E$66),'Año 2026'!$M$3:$M$66),"")</f>
        <v/>
      </c>
      <c r="AM48" s="41" t="str" cm="1">
        <f t="array" ref="AM48">IFERROR(_xlfn.XLOOKUP(TRIM($E48),TRIM('Año 2026'!$E$3:$E$66),'Año 2026'!$N$3:$N$66),"")</f>
        <v/>
      </c>
      <c r="AN48" s="41" t="str" cm="1">
        <f t="array" ref="AN48">IFERROR(_xlfn.XLOOKUP(TRIM($E48),TRIM('Año 2026'!$E$3:$E$66),'Año 2026'!$O$3:$O$66),"")</f>
        <v/>
      </c>
      <c r="AO48" s="41" t="str" cm="1">
        <f t="array" ref="AO48">IFERROR(_xlfn.XLOOKUP(TRIM($E48),TRIM('Año 2026'!$E$3:$E$66),'Año 2026'!$P$3:$P$66),"")</f>
        <v/>
      </c>
      <c r="AP48" s="41" t="str" cm="1">
        <f t="array" ref="AP48">IFERROR(_xlfn.XLOOKUP(TRIM($E48),TRIM('Año 2026'!$E$3:$E$66),'Año 2026'!$Q$3:$Q$66),"")</f>
        <v/>
      </c>
      <c r="AQ48" s="41" t="str" cm="1">
        <f t="array" ref="AQ48">IFERROR(_xlfn.XLOOKUP(TRIM($E48),TRIM('Año 2026'!$E$3:$E$66),'Año 2026'!$R$3:$R$66),"")</f>
        <v/>
      </c>
      <c r="AR48" s="41" t="str" cm="1">
        <f t="array" ref="AR48">IFERROR(_xlfn.XLOOKUP(TRIM($E48),TRIM('Año 2026'!$E$3:$E$66),'Año 2026'!$S$3:$S$66),"")</f>
        <v/>
      </c>
      <c r="AS48" s="41" t="str" cm="1">
        <f t="array" ref="AS48">IFERROR(_xlfn.XLOOKUP(TRIM($E48),TRIM('Año 2026'!$E$3:$E$66),'Año 2026'!$T$3:$T$66),"")</f>
        <v/>
      </c>
      <c r="AT48" s="41" t="str" cm="1">
        <f t="array" ref="AT48">IFERROR(_xlfn.XLOOKUP(TRIM($E48),TRIM('Año 2026'!$E$3:$E$66),'Año 2026'!$U$3:$U$66),"")</f>
        <v/>
      </c>
      <c r="AU48" s="41" t="str" cm="1">
        <f t="array" ref="AU48">IFERROR(_xlfn.XLOOKUP(TRIM($E48),TRIM('Año 2026'!$E$3:$E$66),'Año 2026'!$V$3:$V$66),"")</f>
        <v/>
      </c>
      <c r="AV48" s="41" t="str" cm="1">
        <f t="array" ref="AV48">IFERROR(_xlfn.XLOOKUP(TRIM($E48),TRIM('Año 2026'!$E$3:$E$66),'Año 2026'!$W$3:$W$66),"")</f>
        <v/>
      </c>
      <c r="AW48" s="41" t="str" cm="1">
        <f t="array" ref="AW48">IFERROR(_xlfn.XLOOKUP(TRIM($E48),TRIM('Año 2026'!$E$3:$E$66),'Año 2026'!$X$3:$X$66),"")</f>
        <v/>
      </c>
      <c r="AX48" s="41" t="str" cm="1">
        <f t="array" ref="AX48">IFERROR(_xlfn.XLOOKUP(TRIM($E48),TRIM('Año 2026'!$E$3:$E$66),'Año 2026'!$Y$3:$Y$66),"")</f>
        <v/>
      </c>
      <c r="AY48" s="41" t="str" cm="1">
        <f t="array" ref="AY48">IFERROR(_xlfn.XLOOKUP(TRIM($E48),TRIM('Año 2026'!$E$3:$E$66),'Año 2026'!$Z$3:$Z$66),"")</f>
        <v/>
      </c>
      <c r="AZ48" s="41" t="str" cm="1">
        <f t="array" ref="AZ48">IFERROR(_xlfn.XLOOKUP(TRIM($E48),TRIM('Año 2026'!$E$3:$E$66),'Año 2026'!$AA$3:$AA$66),"")</f>
        <v/>
      </c>
      <c r="BA48" s="41" t="str" cm="1">
        <f t="array" ref="BA48">IFERROR(_xlfn.XLOOKUP(TRIM($E48),TRIM('Año 2026'!$E$3:$E$66),'Año 2026'!$AB$3:$AB$66),"")</f>
        <v/>
      </c>
      <c r="BB48" s="41" t="str" cm="1">
        <f t="array" ref="BB48">IFERROR(_xlfn.XLOOKUP(TRIM($E48),TRIM('Año 2026'!$E$3:$E$66),'Año 2026'!$AC$3:$AC$66),"")</f>
        <v/>
      </c>
      <c r="BC48" s="41" t="str" cm="1">
        <f t="array" ref="BC48">IFERROR(_xlfn.XLOOKUP(TRIM($E48),TRIM('Año 2026'!$E$3:$E$66),'Año 2026'!$AD$3:$AD$66),"")</f>
        <v/>
      </c>
    </row>
    <row r="49" spans="1:55" s="41" customFormat="1" ht="36" customHeight="1" x14ac:dyDescent="0.25">
      <c r="A49" s="48">
        <v>48</v>
      </c>
      <c r="B49" s="51">
        <v>2025</v>
      </c>
      <c r="C49" s="51" t="s">
        <v>69</v>
      </c>
      <c r="D49" s="51" t="s">
        <v>284</v>
      </c>
      <c r="E49" s="51" t="s">
        <v>217</v>
      </c>
      <c r="F49" s="53" t="s">
        <v>269</v>
      </c>
      <c r="G49" s="41" t="s">
        <v>3323</v>
      </c>
      <c r="H49" s="108">
        <v>41</v>
      </c>
      <c r="I49" s="51" t="s">
        <v>266</v>
      </c>
      <c r="J49" s="73" t="s">
        <v>495</v>
      </c>
      <c r="K49" s="51" t="s">
        <v>397</v>
      </c>
      <c r="L49" s="51" t="s">
        <v>493</v>
      </c>
      <c r="M49" s="51" t="s">
        <v>492</v>
      </c>
      <c r="N49" s="51" t="s">
        <v>494</v>
      </c>
      <c r="O49" s="51" t="s">
        <v>798</v>
      </c>
      <c r="P49" s="51" t="s">
        <v>360</v>
      </c>
      <c r="Q49" s="51" t="s">
        <v>3228</v>
      </c>
      <c r="R49" s="74" t="s">
        <v>496</v>
      </c>
      <c r="S49" s="51" t="s">
        <v>347</v>
      </c>
      <c r="T49" s="50">
        <v>2</v>
      </c>
      <c r="U49" s="72" t="s">
        <v>471</v>
      </c>
      <c r="V49" s="139">
        <v>45931</v>
      </c>
      <c r="W49" s="45" t="s">
        <v>3324</v>
      </c>
      <c r="X49" s="71"/>
      <c r="Y49" s="49" t="s">
        <v>3325</v>
      </c>
      <c r="Z49" s="49" t="s">
        <v>264</v>
      </c>
      <c r="AA49" s="47">
        <v>46227</v>
      </c>
      <c r="AB49" s="48" t="str">
        <f ca="1">IF(AA49&lt;TODAY(),"VENCIDO","POR VENCER")</f>
        <v>POR VENCER</v>
      </c>
      <c r="AC49" s="47">
        <v>46234</v>
      </c>
      <c r="AD49" s="46" t="s">
        <v>309</v>
      </c>
      <c r="AE49" s="48" t="s">
        <v>308</v>
      </c>
      <c r="AF49" s="41" cm="1">
        <f t="array" ref="AF49">IFERROR(_xlfn.XLOOKUP(TRIM($E49),TRIM('Año 2026'!$E$3:$E$66),'Año 2026'!$G$3:$G$66),"")</f>
        <v>0</v>
      </c>
      <c r="AG49" s="41" cm="1">
        <f t="array" ref="AG49">IFERROR(_xlfn.XLOOKUP(TRIM($E49),TRIM('Año 2026'!$E$3:$E$66),'Año 2026'!$H$3:$H$66),"")</f>
        <v>0</v>
      </c>
      <c r="AH49" s="41" cm="1">
        <f t="array" ref="AH49">IFERROR(_xlfn.XLOOKUP(TRIM($E49),TRIM('Año 2026'!$E$3:$E$66),'Año 2026'!$I$3:$I$66),"")</f>
        <v>0</v>
      </c>
      <c r="AI49" s="41" cm="1">
        <f t="array" ref="AI49">IFERROR(_xlfn.XLOOKUP(TRIM($E49),TRIM('Año 2026'!$E$3:$E$66),'Año 2026'!$J$3:$J$66),"")</f>
        <v>0</v>
      </c>
      <c r="AJ49" s="41" cm="1">
        <f t="array" ref="AJ49">IFERROR(_xlfn.XLOOKUP(TRIM($E49),TRIM('Año 2026'!$E$3:$E$66),'Año 2026'!$K$3:$K$66),"")</f>
        <v>0</v>
      </c>
      <c r="AK49" s="41" cm="1">
        <f t="array" ref="AK49">IFERROR(_xlfn.XLOOKUP(TRIM($E49),TRIM('Año 2026'!$E$3:$E$66),'Año 2026'!$L$3:$L$66),"")</f>
        <v>0</v>
      </c>
      <c r="AL49" s="41" cm="1">
        <f t="array" ref="AL49">IFERROR(_xlfn.XLOOKUP(TRIM($E49),TRIM('Año 2026'!$E$3:$E$66),'Año 2026'!$M$3:$M$66),"")</f>
        <v>0</v>
      </c>
      <c r="AM49" s="41" cm="1">
        <f t="array" ref="AM49">IFERROR(_xlfn.XLOOKUP(TRIM($E49),TRIM('Año 2026'!$E$3:$E$66),'Año 2026'!$N$3:$N$66),"")</f>
        <v>0</v>
      </c>
      <c r="AN49" s="41" cm="1">
        <f t="array" ref="AN49">IFERROR(_xlfn.XLOOKUP(TRIM($E49),TRIM('Año 2026'!$E$3:$E$66),'Año 2026'!$O$3:$O$66),"")</f>
        <v>0</v>
      </c>
      <c r="AO49" s="41" cm="1">
        <f t="array" ref="AO49">IFERROR(_xlfn.XLOOKUP(TRIM($E49),TRIM('Año 2026'!$E$3:$E$66),'Año 2026'!$P$3:$P$66),"")</f>
        <v>0</v>
      </c>
      <c r="AP49" s="41" cm="1">
        <f t="array" ref="AP49">IFERROR(_xlfn.XLOOKUP(TRIM($E49),TRIM('Año 2026'!$E$3:$E$66),'Año 2026'!$Q$3:$Q$66),"")</f>
        <v>0</v>
      </c>
      <c r="AQ49" s="41" cm="1">
        <f t="array" ref="AQ49">IFERROR(_xlfn.XLOOKUP(TRIM($E49),TRIM('Año 2026'!$E$3:$E$66),'Año 2026'!$R$3:$R$66),"")</f>
        <v>0</v>
      </c>
      <c r="AR49" s="41" cm="1">
        <f t="array" ref="AR49">IFERROR(_xlfn.XLOOKUP(TRIM($E49),TRIM('Año 2026'!$E$3:$E$66),'Año 2026'!$S$3:$S$66),"")</f>
        <v>0</v>
      </c>
      <c r="AS49" s="41" cm="1">
        <f t="array" ref="AS49">IFERROR(_xlfn.XLOOKUP(TRIM($E49),TRIM('Año 2026'!$E$3:$E$66),'Año 2026'!$T$3:$T$66),"")</f>
        <v>0</v>
      </c>
      <c r="AT49" s="41" cm="1">
        <f t="array" ref="AT49">IFERROR(_xlfn.XLOOKUP(TRIM($E49),TRIM('Año 2026'!$E$3:$E$66),'Año 2026'!$U$3:$U$66),"")</f>
        <v>0</v>
      </c>
      <c r="AU49" s="41" cm="1">
        <f t="array" ref="AU49">IFERROR(_xlfn.XLOOKUP(TRIM($E49),TRIM('Año 2026'!$E$3:$E$66),'Año 2026'!$V$3:$V$66),"")</f>
        <v>0</v>
      </c>
      <c r="AV49" s="41" cm="1">
        <f t="array" ref="AV49">IFERROR(_xlfn.XLOOKUP(TRIM($E49),TRIM('Año 2026'!$E$3:$E$66),'Año 2026'!$W$3:$W$66),"")</f>
        <v>0</v>
      </c>
      <c r="AW49" s="41" cm="1">
        <f t="array" ref="AW49">IFERROR(_xlfn.XLOOKUP(TRIM($E49),TRIM('Año 2026'!$E$3:$E$66),'Año 2026'!$X$3:$X$66),"")</f>
        <v>0</v>
      </c>
      <c r="AX49" s="41" cm="1">
        <f t="array" ref="AX49">IFERROR(_xlfn.XLOOKUP(TRIM($E49),TRIM('Año 2026'!$E$3:$E$66),'Año 2026'!$Y$3:$Y$66),"")</f>
        <v>0</v>
      </c>
      <c r="AY49" s="41" cm="1">
        <f t="array" ref="AY49">IFERROR(_xlfn.XLOOKUP(TRIM($E49),TRIM('Año 2026'!$E$3:$E$66),'Año 2026'!$Z$3:$Z$66),"")</f>
        <v>0</v>
      </c>
      <c r="AZ49" s="41" cm="1">
        <f t="array" ref="AZ49">IFERROR(_xlfn.XLOOKUP(TRIM($E49),TRIM('Año 2026'!$E$3:$E$66),'Año 2026'!$AA$3:$AA$66),"")</f>
        <v>0</v>
      </c>
      <c r="BA49" s="41" cm="1">
        <f t="array" ref="BA49">IFERROR(_xlfn.XLOOKUP(TRIM($E49),TRIM('Año 2026'!$E$3:$E$66),'Año 2026'!$AB$3:$AB$66),"")</f>
        <v>0</v>
      </c>
      <c r="BB49" s="41" cm="1">
        <f t="array" ref="BB49">IFERROR(_xlfn.XLOOKUP(TRIM($E49),TRIM('Año 2026'!$E$3:$E$66),'Año 2026'!$AC$3:$AC$66),"")</f>
        <v>0</v>
      </c>
      <c r="BC49" s="41" cm="1">
        <f t="array" ref="BC49">IFERROR(_xlfn.XLOOKUP(TRIM($E49),TRIM('Año 2026'!$E$3:$E$66),'Año 2026'!$AD$3:$AD$66),"")</f>
        <v>0</v>
      </c>
    </row>
    <row r="50" spans="1:55" s="41" customFormat="1" ht="396" x14ac:dyDescent="0.25">
      <c r="A50" s="48">
        <v>49</v>
      </c>
      <c r="B50" s="51">
        <v>2025</v>
      </c>
      <c r="C50" s="51" t="s">
        <v>277</v>
      </c>
      <c r="D50" s="51" t="s">
        <v>353</v>
      </c>
      <c r="E50" s="54" t="s">
        <v>97</v>
      </c>
      <c r="F50" s="53" t="s">
        <v>269</v>
      </c>
      <c r="G50" s="41" t="s">
        <v>98</v>
      </c>
      <c r="H50" s="108">
        <v>55</v>
      </c>
      <c r="I50" s="51" t="s">
        <v>266</v>
      </c>
      <c r="J50" s="51" t="s">
        <v>324</v>
      </c>
      <c r="K50" s="51" t="s">
        <v>385</v>
      </c>
      <c r="L50" s="51" t="s">
        <v>405</v>
      </c>
      <c r="M50" s="60" t="s">
        <v>404</v>
      </c>
      <c r="N50" s="51" t="s">
        <v>406</v>
      </c>
      <c r="O50" s="51" t="s">
        <v>798</v>
      </c>
      <c r="P50" s="51" t="s">
        <v>3240</v>
      </c>
      <c r="Q50" s="51"/>
      <c r="R50" s="55" t="s">
        <v>407</v>
      </c>
      <c r="S50" s="51" t="s">
        <v>372</v>
      </c>
      <c r="T50" s="50">
        <v>2</v>
      </c>
      <c r="U50" s="48" t="s">
        <v>402</v>
      </c>
      <c r="V50" s="47">
        <v>45978</v>
      </c>
      <c r="W50" s="45" t="s">
        <v>401</v>
      </c>
      <c r="X50" s="45"/>
      <c r="Y50" s="52" t="s">
        <v>355</v>
      </c>
      <c r="Z50" s="52"/>
      <c r="AA50" s="47"/>
      <c r="AB50" s="48" t="s">
        <v>317</v>
      </c>
      <c r="AC50" s="47"/>
      <c r="AD50" s="46" t="s">
        <v>309</v>
      </c>
      <c r="AE50" s="48" t="s">
        <v>316</v>
      </c>
      <c r="AF50" s="41" t="str" cm="1">
        <f t="array" ref="AF50">IFERROR(_xlfn.XLOOKUP(TRIM($E50),TRIM('Año 2026'!$E$3:$E$66),'Año 2026'!$G$3:$G$66),"")</f>
        <v>Oficio N° 00829-2024-SUNEDU-DS-DIRESESU-UVE</v>
      </c>
      <c r="AG50" s="41" cm="1">
        <f t="array" ref="AG50">IFERROR(_xlfn.XLOOKUP(TRIM($E50),TRIM('Año 2026'!$E$3:$E$66),'Año 2026'!$H$3:$H$66),"")</f>
        <v>45610</v>
      </c>
      <c r="AH50" s="41" cm="1">
        <f t="array" ref="AH50">IFERROR(_xlfn.XLOOKUP(TRIM($E50),TRIM('Año 2026'!$E$3:$E$66),'Año 2026'!$I$3:$I$66),"")</f>
        <v>5</v>
      </c>
      <c r="AI50" s="41" cm="1">
        <f t="array" ref="AI50">IFERROR(_xlfn.XLOOKUP(TRIM($E50),TRIM('Año 2026'!$E$3:$E$66),'Año 2026'!$J$3:$J$66),"")</f>
        <v>45617</v>
      </c>
      <c r="AJ50" s="41" cm="1">
        <f t="array" aca="1" ref="AJ50" ca="1">IFERROR(_xlfn.XLOOKUP(TRIM($E50),TRIM('Año 2026'!$E$3:$E$66),'Año 2026'!$K$3:$K$66),"")</f>
        <v>-575</v>
      </c>
      <c r="AK50" s="41" t="str" cm="1">
        <f t="array" aca="1" ref="AK50" ca="1">IFERROR(_xlfn.XLOOKUP(TRIM($E50),TRIM('Año 2026'!$E$3:$E$66),'Año 2026'!$L$3:$L$66),"")</f>
        <v>NUEVA FECHA</v>
      </c>
      <c r="AL50" s="41" t="str" cm="1">
        <f t="array" aca="1" ref="AL50" ca="1">IFERROR(_xlfn.XLOOKUP(TRIM($E50),TRIM('Año 2026'!$E$3:$E$66),'Año 2026'!$M$3:$M$66),"")</f>
        <v>NUEVA FECHA</v>
      </c>
      <c r="AM50" s="41" t="str" cm="1">
        <f t="array" ref="AM50">IFERROR(_xlfn.XLOOKUP(TRIM($E50),TRIM('Año 2026'!$E$3:$E$66),'Año 2026'!$N$3:$N$66),"")</f>
        <v>Ajustes al plazo</v>
      </c>
      <c r="AN50" s="41" cm="1">
        <f t="array" ref="AN50">IFERROR(_xlfn.XLOOKUP(TRIM($E50),TRIM('Año 2026'!$E$3:$E$66),'Año 2026'!$O$3:$O$66),"")</f>
        <v>0</v>
      </c>
      <c r="AO50" s="41" t="str" cm="1">
        <f t="array" ref="AO50">IFERROR(_xlfn.XLOOKUP(TRIM($E50),TRIM('Año 2026'!$E$3:$E$66),'Año 2026'!$P$3:$P$66),"")</f>
        <v>Visita de inspección</v>
      </c>
      <c r="AP50" s="41" cm="1">
        <f t="array" ref="AP50">IFERROR(_xlfn.XLOOKUP(TRIM($E50),TRIM('Año 2026'!$E$3:$E$66),'Año 2026'!$Q$3:$Q$66),"")</f>
        <v>0</v>
      </c>
      <c r="AQ50" s="41" cm="1">
        <f t="array" ref="AQ50">IFERROR(_xlfn.XLOOKUP(TRIM($E50),TRIM('Año 2026'!$E$3:$E$66),'Año 2026'!$R$3:$R$66),"")</f>
        <v>0</v>
      </c>
      <c r="AR50" s="41" cm="1">
        <f t="array" ref="AR50">IFERROR(_xlfn.XLOOKUP(TRIM($E50),TRIM('Año 2026'!$E$3:$E$66),'Año 2026'!$S$3:$S$66),"")</f>
        <v>0</v>
      </c>
      <c r="AS50" s="41" cm="1">
        <f t="array" ref="AS50">IFERROR(_xlfn.XLOOKUP(TRIM($E50),TRIM('Año 2026'!$E$3:$E$66),'Año 2026'!$T$3:$T$66),"")</f>
        <v>0</v>
      </c>
      <c r="AT50" s="41" cm="1">
        <f t="array" ref="AT50">IFERROR(_xlfn.XLOOKUP(TRIM($E50),TRIM('Año 2026'!$E$3:$E$66),'Año 2026'!$U$3:$U$66),"")</f>
        <v>0</v>
      </c>
      <c r="AU50" s="41" t="str" cm="1">
        <f t="array" ref="AU50">IFERROR(_xlfn.XLOOKUP(TRIM($E50),TRIM('Año 2026'!$E$3:$E$66),'Año 2026'!$V$3:$V$66),"")</f>
        <v>Acta de supervisión</v>
      </c>
      <c r="AV50" s="41" cm="1">
        <f t="array" ref="AV50">IFERROR(_xlfn.XLOOKUP(TRIM($E50),TRIM('Año 2026'!$E$3:$E$66),'Año 2026'!$W$3:$W$66),"")</f>
        <v>45974</v>
      </c>
      <c r="AW50" s="41" cm="1">
        <f t="array" ref="AW50">IFERROR(_xlfn.XLOOKUP(TRIM($E50),TRIM('Año 2026'!$E$3:$E$66),'Año 2026'!$X$3:$X$66),"")</f>
        <v>3</v>
      </c>
      <c r="AX50" s="41" t="str" cm="1">
        <f t="array" ref="AX50">IFERROR(_xlfn.XLOOKUP(TRIM($E50),TRIM('Año 2026'!$E$3:$E$66),'Año 2026'!$Y$3:$Y$66),"")</f>
        <v/>
      </c>
      <c r="AY50" s="41" t="str" cm="1">
        <f t="array" aca="1" ref="AY50" ca="1">IFERROR(_xlfn.XLOOKUP(TRIM($E50),TRIM('Año 2026'!$E$3:$E$66),'Año 2026'!$Z$3:$Z$66),"")</f>
        <v/>
      </c>
      <c r="AZ50" s="41" t="str" cm="1">
        <f t="array" aca="1" ref="AZ50" ca="1">IFERROR(_xlfn.XLOOKUP(TRIM($E50),TRIM('Año 2026'!$E$3:$E$66),'Año 2026'!$AA$3:$AA$66),"")</f>
        <v/>
      </c>
      <c r="BA50" s="41" t="str" cm="1">
        <f t="array" aca="1" ref="BA50" ca="1">IFERROR(_xlfn.XLOOKUP(TRIM($E50),TRIM('Año 2026'!$E$3:$E$66),'Año 2026'!$AB$3:$AB$66),"")</f>
        <v/>
      </c>
      <c r="BB50" s="41" t="str" cm="1">
        <f t="array" ref="BB50">IFERROR(_xlfn.XLOOKUP(TRIM($E50),TRIM('Año 2026'!$E$3:$E$66),'Año 2026'!$AC$3:$AC$66),"")</f>
        <v>Entregado</v>
      </c>
      <c r="BC50" s="41" cm="1">
        <f t="array" ref="BC50">IFERROR(_xlfn.XLOOKUP(TRIM($E50),TRIM('Año 2026'!$E$3:$E$66),'Año 2026'!$AD$3:$AD$66),"")</f>
        <v>0</v>
      </c>
    </row>
    <row r="51" spans="1:55" s="41" customFormat="1" ht="409.5" x14ac:dyDescent="0.25">
      <c r="A51" s="48">
        <v>50</v>
      </c>
      <c r="B51" s="51">
        <v>2025</v>
      </c>
      <c r="C51" s="51" t="s">
        <v>69</v>
      </c>
      <c r="D51" s="51" t="s">
        <v>287</v>
      </c>
      <c r="E51" s="51" t="s">
        <v>228</v>
      </c>
      <c r="F51" s="53" t="s">
        <v>269</v>
      </c>
      <c r="G51" s="51" t="s">
        <v>229</v>
      </c>
      <c r="H51" s="108">
        <v>48</v>
      </c>
      <c r="I51" s="51" t="s">
        <v>266</v>
      </c>
      <c r="J51" s="55" t="s">
        <v>3213</v>
      </c>
      <c r="K51" s="55" t="s">
        <v>3376</v>
      </c>
      <c r="L51" s="55" t="s">
        <v>3377</v>
      </c>
      <c r="M51" s="55" t="s">
        <v>3378</v>
      </c>
      <c r="N51" s="55" t="s">
        <v>3379</v>
      </c>
      <c r="O51" s="51" t="s">
        <v>798</v>
      </c>
      <c r="P51" s="51" t="s">
        <v>3241</v>
      </c>
      <c r="Q51" s="51" t="s">
        <v>3230</v>
      </c>
      <c r="R51" s="66" t="s">
        <v>3326</v>
      </c>
      <c r="S51" s="51" t="s">
        <v>347</v>
      </c>
      <c r="T51" s="50">
        <v>2</v>
      </c>
      <c r="U51" s="48" t="s">
        <v>482</v>
      </c>
      <c r="V51" s="47">
        <v>45981</v>
      </c>
      <c r="W51" s="70" t="s">
        <v>481</v>
      </c>
      <c r="X51" s="70"/>
      <c r="Y51" s="69" t="s">
        <v>480</v>
      </c>
      <c r="Z51" s="49" t="s">
        <v>264</v>
      </c>
      <c r="AA51" s="47">
        <v>46318</v>
      </c>
      <c r="AB51" s="48" t="str">
        <f ca="1">IF(AA51&lt;TODAY(),"VENCIDO","POR VENCER")</f>
        <v>POR VENCER</v>
      </c>
      <c r="AC51" s="47">
        <v>46325</v>
      </c>
      <c r="AD51" s="46" t="s">
        <v>309</v>
      </c>
      <c r="AE51" s="48" t="s">
        <v>308</v>
      </c>
      <c r="AF51" s="41" t="str" cm="1">
        <f t="array" ref="AF51">IFERROR(_xlfn.XLOOKUP(TRIM($E51),TRIM('Año 2026'!$E$3:$E$66),'Año 2026'!$G$3:$G$66),"")</f>
        <v>Oficio N↑ 02239-2026-SUNEDU-DS-DIRESESU-UVE</v>
      </c>
      <c r="AG51" s="41" cm="1">
        <f t="array" ref="AG51">IFERROR(_xlfn.XLOOKUP(TRIM($E51),TRIM('Año 2026'!$E$3:$E$66),'Año 2026'!$H$3:$H$66),"")</f>
        <v>46155</v>
      </c>
      <c r="AH51" s="41" cm="1">
        <f t="array" ref="AH51">IFERROR(_xlfn.XLOOKUP(TRIM($E51),TRIM('Año 2026'!$E$3:$E$66),'Año 2026'!$I$3:$I$66),"")</f>
        <v>10</v>
      </c>
      <c r="AI51" s="41" cm="1">
        <f t="array" ref="AI51">IFERROR(_xlfn.XLOOKUP(TRIM($E51),TRIM('Año 2026'!$E$3:$E$66),'Año 2026'!$J$3:$J$66),"")</f>
        <v>46169</v>
      </c>
      <c r="AJ51" s="41" cm="1">
        <f t="array" aca="1" ref="AJ51" ca="1">IFERROR(_xlfn.XLOOKUP(TRIM($E51),TRIM('Año 2026'!$E$3:$E$66),'Año 2026'!$K$3:$K$66),"")</f>
        <v>-23</v>
      </c>
      <c r="AK51" s="41" t="str" cm="1">
        <f t="array" aca="1" ref="AK51" ca="1">IFERROR(_xlfn.XLOOKUP(TRIM($E51),TRIM('Año 2026'!$E$3:$E$66),'Año 2026'!$L$3:$L$66),"")</f>
        <v>🚨 VENCIDO</v>
      </c>
      <c r="AL51" s="41" t="str" cm="1">
        <f t="array" aca="1" ref="AL51" ca="1">IFERROR(_xlfn.XLOOKUP(TRIM($E51),TRIM('Año 2026'!$E$3:$E$66),'Año 2026'!$M$3:$M$66),"")</f>
        <v>❌ Vencido por 23 días</v>
      </c>
      <c r="AM51" s="41" cm="1">
        <f t="array" ref="AM51">IFERROR(_xlfn.XLOOKUP(TRIM($E51),TRIM('Año 2026'!$E$3:$E$66),'Año 2026'!$N$3:$N$66),"")</f>
        <v>0</v>
      </c>
      <c r="AN51" s="41" cm="1">
        <f t="array" ref="AN51">IFERROR(_xlfn.XLOOKUP(TRIM($E51),TRIM('Año 2026'!$E$3:$E$66),'Año 2026'!$O$3:$O$66),"")</f>
        <v>0</v>
      </c>
      <c r="AO51" s="41" cm="1">
        <f t="array" ref="AO51">IFERROR(_xlfn.XLOOKUP(TRIM($E51),TRIM('Año 2026'!$E$3:$E$66),'Año 2026'!$P$3:$P$66),"")</f>
        <v>0</v>
      </c>
      <c r="AP51" s="41" cm="1">
        <f t="array" ref="AP51">IFERROR(_xlfn.XLOOKUP(TRIM($E51),TRIM('Año 2026'!$E$3:$E$66),'Año 2026'!$Q$3:$Q$66),"")</f>
        <v>0</v>
      </c>
      <c r="AQ51" s="41" cm="1">
        <f t="array" ref="AQ51">IFERROR(_xlfn.XLOOKUP(TRIM($E51),TRIM('Año 2026'!$E$3:$E$66),'Año 2026'!$R$3:$R$66),"")</f>
        <v>0</v>
      </c>
      <c r="AR51" s="41" cm="1">
        <f t="array" ref="AR51">IFERROR(_xlfn.XLOOKUP(TRIM($E51),TRIM('Año 2026'!$E$3:$E$66),'Año 2026'!$S$3:$S$66),"")</f>
        <v>0</v>
      </c>
      <c r="AS51" s="41" cm="1">
        <f t="array" ref="AS51">IFERROR(_xlfn.XLOOKUP(TRIM($E51),TRIM('Año 2026'!$E$3:$E$66),'Año 2026'!$T$3:$T$66),"")</f>
        <v>0</v>
      </c>
      <c r="AT51" s="41" cm="1">
        <f t="array" ref="AT51">IFERROR(_xlfn.XLOOKUP(TRIM($E51),TRIM('Año 2026'!$E$3:$E$66),'Año 2026'!$U$3:$U$66),"")</f>
        <v>0</v>
      </c>
      <c r="AU51" s="41" cm="1">
        <f t="array" ref="AU51">IFERROR(_xlfn.XLOOKUP(TRIM($E51),TRIM('Año 2026'!$E$3:$E$66),'Año 2026'!$V$3:$V$66),"")</f>
        <v>0</v>
      </c>
      <c r="AV51" s="41" cm="1">
        <f t="array" ref="AV51">IFERROR(_xlfn.XLOOKUP(TRIM($E51),TRIM('Año 2026'!$E$3:$E$66),'Año 2026'!$W$3:$W$66),"")</f>
        <v>0</v>
      </c>
      <c r="AW51" s="41" cm="1">
        <f t="array" ref="AW51">IFERROR(_xlfn.XLOOKUP(TRIM($E51),TRIM('Año 2026'!$E$3:$E$66),'Año 2026'!$X$3:$X$66),"")</f>
        <v>0</v>
      </c>
      <c r="AX51" s="41" cm="1">
        <f t="array" ref="AX51">IFERROR(_xlfn.XLOOKUP(TRIM($E51),TRIM('Año 2026'!$E$3:$E$66),'Año 2026'!$Y$3:$Y$66),"")</f>
        <v>0</v>
      </c>
      <c r="AY51" s="41" cm="1">
        <f t="array" ref="AY51">IFERROR(_xlfn.XLOOKUP(TRIM($E51),TRIM('Año 2026'!$E$3:$E$66),'Año 2026'!$Z$3:$Z$66),"")</f>
        <v>0</v>
      </c>
      <c r="AZ51" s="41" cm="1">
        <f t="array" ref="AZ51">IFERROR(_xlfn.XLOOKUP(TRIM($E51),TRIM('Año 2026'!$E$3:$E$66),'Año 2026'!$AA$3:$AA$66),"")</f>
        <v>0</v>
      </c>
      <c r="BA51" s="41" cm="1">
        <f t="array" ref="BA51">IFERROR(_xlfn.XLOOKUP(TRIM($E51),TRIM('Año 2026'!$E$3:$E$66),'Año 2026'!$AB$3:$AB$66),"")</f>
        <v>0</v>
      </c>
      <c r="BB51" s="41" cm="1">
        <f t="array" ref="BB51">IFERROR(_xlfn.XLOOKUP(TRIM($E51),TRIM('Año 2026'!$E$3:$E$66),'Año 2026'!$AC$3:$AC$66),"")</f>
        <v>0</v>
      </c>
      <c r="BC51" s="41" cm="1">
        <f t="array" ref="BC51">IFERROR(_xlfn.XLOOKUP(TRIM($E51),TRIM('Año 2026'!$E$3:$E$66),'Año 2026'!$AD$3:$AD$66),"")</f>
        <v>0</v>
      </c>
    </row>
    <row r="52" spans="1:55" s="41" customFormat="1" ht="83.45" customHeight="1" x14ac:dyDescent="0.25">
      <c r="A52" s="48">
        <v>51</v>
      </c>
      <c r="B52" s="51">
        <v>2025</v>
      </c>
      <c r="C52" s="51" t="s">
        <v>69</v>
      </c>
      <c r="D52" s="51" t="s">
        <v>284</v>
      </c>
      <c r="E52" s="51" t="s">
        <v>220</v>
      </c>
      <c r="F52" s="53" t="s">
        <v>269</v>
      </c>
      <c r="G52" s="51" t="s">
        <v>3327</v>
      </c>
      <c r="H52" s="108">
        <v>147</v>
      </c>
      <c r="I52" s="51" t="s">
        <v>266</v>
      </c>
      <c r="J52" s="51" t="s">
        <v>3214</v>
      </c>
      <c r="K52" s="51" t="s">
        <v>385</v>
      </c>
      <c r="L52" s="51" t="s">
        <v>385</v>
      </c>
      <c r="M52" s="51" t="s">
        <v>385</v>
      </c>
      <c r="N52" s="55" t="s">
        <v>3380</v>
      </c>
      <c r="O52" s="51" t="s">
        <v>798</v>
      </c>
      <c r="P52" s="51" t="s">
        <v>3239</v>
      </c>
      <c r="Q52" s="51" t="s">
        <v>3231</v>
      </c>
      <c r="R52" s="55" t="s">
        <v>490</v>
      </c>
      <c r="S52" s="51" t="s">
        <v>372</v>
      </c>
      <c r="T52" s="50">
        <v>1</v>
      </c>
      <c r="U52" s="48" t="s">
        <v>482</v>
      </c>
      <c r="V52" s="47">
        <v>45959</v>
      </c>
      <c r="W52" s="45" t="s">
        <v>3328</v>
      </c>
      <c r="X52" s="45"/>
      <c r="Y52" s="49" t="s">
        <v>3329</v>
      </c>
      <c r="Z52" s="49" t="s">
        <v>264</v>
      </c>
      <c r="AA52" s="47">
        <v>46192</v>
      </c>
      <c r="AB52" s="48" t="str">
        <f ca="1">IF(AA52&lt;TODAY(),"VENCIDO","POR VENCER")</f>
        <v>POR VENCER</v>
      </c>
      <c r="AC52" s="47">
        <v>46199</v>
      </c>
      <c r="AD52" s="46" t="s">
        <v>309</v>
      </c>
      <c r="AE52" s="48" t="s">
        <v>308</v>
      </c>
      <c r="AF52" s="41" cm="1">
        <f t="array" ref="AF52">IFERROR(_xlfn.XLOOKUP(TRIM($E52),TRIM('Año 2026'!$E$3:$E$66),'Año 2026'!$G$3:$G$66),"")</f>
        <v>0</v>
      </c>
      <c r="AG52" s="41" cm="1">
        <f t="array" ref="AG52">IFERROR(_xlfn.XLOOKUP(TRIM($E52),TRIM('Año 2026'!$E$3:$E$66),'Año 2026'!$H$3:$H$66),"")</f>
        <v>0</v>
      </c>
      <c r="AH52" s="41" cm="1">
        <f t="array" ref="AH52">IFERROR(_xlfn.XLOOKUP(TRIM($E52),TRIM('Año 2026'!$E$3:$E$66),'Año 2026'!$I$3:$I$66),"")</f>
        <v>0</v>
      </c>
      <c r="AI52" s="41" cm="1">
        <f t="array" ref="AI52">IFERROR(_xlfn.XLOOKUP(TRIM($E52),TRIM('Año 2026'!$E$3:$E$66),'Año 2026'!$J$3:$J$66),"")</f>
        <v>0</v>
      </c>
      <c r="AJ52" s="41" cm="1">
        <f t="array" ref="AJ52">IFERROR(_xlfn.XLOOKUP(TRIM($E52),TRIM('Año 2026'!$E$3:$E$66),'Año 2026'!$K$3:$K$66),"")</f>
        <v>0</v>
      </c>
      <c r="AK52" s="41" cm="1">
        <f t="array" ref="AK52">IFERROR(_xlfn.XLOOKUP(TRIM($E52),TRIM('Año 2026'!$E$3:$E$66),'Año 2026'!$L$3:$L$66),"")</f>
        <v>0</v>
      </c>
      <c r="AL52" s="41" cm="1">
        <f t="array" ref="AL52">IFERROR(_xlfn.XLOOKUP(TRIM($E52),TRIM('Año 2026'!$E$3:$E$66),'Año 2026'!$M$3:$M$66),"")</f>
        <v>0</v>
      </c>
      <c r="AM52" s="41" cm="1">
        <f t="array" ref="AM52">IFERROR(_xlfn.XLOOKUP(TRIM($E52),TRIM('Año 2026'!$E$3:$E$66),'Año 2026'!$N$3:$N$66),"")</f>
        <v>0</v>
      </c>
      <c r="AN52" s="41" cm="1">
        <f t="array" ref="AN52">IFERROR(_xlfn.XLOOKUP(TRIM($E52),TRIM('Año 2026'!$E$3:$E$66),'Año 2026'!$O$3:$O$66),"")</f>
        <v>0</v>
      </c>
      <c r="AO52" s="41" cm="1">
        <f t="array" ref="AO52">IFERROR(_xlfn.XLOOKUP(TRIM($E52),TRIM('Año 2026'!$E$3:$E$66),'Año 2026'!$P$3:$P$66),"")</f>
        <v>0</v>
      </c>
      <c r="AP52" s="41" cm="1">
        <f t="array" ref="AP52">IFERROR(_xlfn.XLOOKUP(TRIM($E52),TRIM('Año 2026'!$E$3:$E$66),'Año 2026'!$Q$3:$Q$66),"")</f>
        <v>0</v>
      </c>
      <c r="AQ52" s="41" cm="1">
        <f t="array" ref="AQ52">IFERROR(_xlfn.XLOOKUP(TRIM($E52),TRIM('Año 2026'!$E$3:$E$66),'Año 2026'!$R$3:$R$66),"")</f>
        <v>0</v>
      </c>
      <c r="AR52" s="41" cm="1">
        <f t="array" ref="AR52">IFERROR(_xlfn.XLOOKUP(TRIM($E52),TRIM('Año 2026'!$E$3:$E$66),'Año 2026'!$S$3:$S$66),"")</f>
        <v>0</v>
      </c>
      <c r="AS52" s="41" cm="1">
        <f t="array" ref="AS52">IFERROR(_xlfn.XLOOKUP(TRIM($E52),TRIM('Año 2026'!$E$3:$E$66),'Año 2026'!$T$3:$T$66),"")</f>
        <v>0</v>
      </c>
      <c r="AT52" s="41" cm="1">
        <f t="array" ref="AT52">IFERROR(_xlfn.XLOOKUP(TRIM($E52),TRIM('Año 2026'!$E$3:$E$66),'Año 2026'!$U$3:$U$66),"")</f>
        <v>0</v>
      </c>
      <c r="AU52" s="41" cm="1">
        <f t="array" ref="AU52">IFERROR(_xlfn.XLOOKUP(TRIM($E52),TRIM('Año 2026'!$E$3:$E$66),'Año 2026'!$V$3:$V$66),"")</f>
        <v>0</v>
      </c>
      <c r="AV52" s="41" cm="1">
        <f t="array" ref="AV52">IFERROR(_xlfn.XLOOKUP(TRIM($E52),TRIM('Año 2026'!$E$3:$E$66),'Año 2026'!$W$3:$W$66),"")</f>
        <v>0</v>
      </c>
      <c r="AW52" s="41" cm="1">
        <f t="array" ref="AW52">IFERROR(_xlfn.XLOOKUP(TRIM($E52),TRIM('Año 2026'!$E$3:$E$66),'Año 2026'!$X$3:$X$66),"")</f>
        <v>0</v>
      </c>
      <c r="AX52" s="41" cm="1">
        <f t="array" ref="AX52">IFERROR(_xlfn.XLOOKUP(TRIM($E52),TRIM('Año 2026'!$E$3:$E$66),'Año 2026'!$Y$3:$Y$66),"")</f>
        <v>0</v>
      </c>
      <c r="AY52" s="41" cm="1">
        <f t="array" ref="AY52">IFERROR(_xlfn.XLOOKUP(TRIM($E52),TRIM('Año 2026'!$E$3:$E$66),'Año 2026'!$Z$3:$Z$66),"")</f>
        <v>0</v>
      </c>
      <c r="AZ52" s="41" cm="1">
        <f t="array" ref="AZ52">IFERROR(_xlfn.XLOOKUP(TRIM($E52),TRIM('Año 2026'!$E$3:$E$66),'Año 2026'!$AA$3:$AA$66),"")</f>
        <v>0</v>
      </c>
      <c r="BA52" s="41" cm="1">
        <f t="array" ref="BA52">IFERROR(_xlfn.XLOOKUP(TRIM($E52),TRIM('Año 2026'!$E$3:$E$66),'Año 2026'!$AB$3:$AB$66),"")</f>
        <v>0</v>
      </c>
      <c r="BB52" s="41" cm="1">
        <f t="array" ref="BB52">IFERROR(_xlfn.XLOOKUP(TRIM($E52),TRIM('Año 2026'!$E$3:$E$66),'Año 2026'!$AC$3:$AC$66),"")</f>
        <v>0</v>
      </c>
      <c r="BC52" s="41" cm="1">
        <f t="array" ref="BC52">IFERROR(_xlfn.XLOOKUP(TRIM($E52),TRIM('Año 2026'!$E$3:$E$66),'Año 2026'!$AD$3:$AD$66),"")</f>
        <v>0</v>
      </c>
    </row>
    <row r="53" spans="1:55" s="41" customFormat="1" ht="126" customHeight="1" x14ac:dyDescent="0.25">
      <c r="A53" s="48">
        <v>52</v>
      </c>
      <c r="B53" s="51">
        <v>2025</v>
      </c>
      <c r="C53" s="51" t="s">
        <v>69</v>
      </c>
      <c r="D53" s="51" t="s">
        <v>284</v>
      </c>
      <c r="E53" s="51" t="s">
        <v>197</v>
      </c>
      <c r="F53" s="53" t="s">
        <v>269</v>
      </c>
      <c r="G53" s="51" t="s">
        <v>198</v>
      </c>
      <c r="H53" s="108">
        <v>32</v>
      </c>
      <c r="I53" s="51" t="s">
        <v>266</v>
      </c>
      <c r="J53" s="51" t="s">
        <v>324</v>
      </c>
      <c r="K53" s="51" t="s">
        <v>385</v>
      </c>
      <c r="L53" s="51" t="s">
        <v>385</v>
      </c>
      <c r="M53" s="51" t="s">
        <v>385</v>
      </c>
      <c r="N53" s="51" t="s">
        <v>553</v>
      </c>
      <c r="O53" s="51" t="s">
        <v>798</v>
      </c>
      <c r="P53" s="51" t="s">
        <v>360</v>
      </c>
      <c r="Q53" s="51" t="s">
        <v>383</v>
      </c>
      <c r="R53" s="55" t="s">
        <v>554</v>
      </c>
      <c r="S53" s="51" t="s">
        <v>372</v>
      </c>
      <c r="T53" s="50">
        <v>1</v>
      </c>
      <c r="U53" s="48" t="s">
        <v>482</v>
      </c>
      <c r="V53" s="47">
        <v>45825</v>
      </c>
      <c r="W53" s="45" t="s">
        <v>552</v>
      </c>
      <c r="X53" s="45"/>
      <c r="Y53" s="56" t="s">
        <v>3330</v>
      </c>
      <c r="Z53" s="56"/>
      <c r="AA53" s="47">
        <v>46374</v>
      </c>
      <c r="AB53" s="48" t="str">
        <f ca="1">IF(AA53&lt;TODAY(),"VENCIDO","POR VENCER")</f>
        <v>POR VENCER</v>
      </c>
      <c r="AC53" s="47">
        <v>46379</v>
      </c>
      <c r="AD53" s="46" t="s">
        <v>309</v>
      </c>
      <c r="AE53" s="48" t="s">
        <v>308</v>
      </c>
      <c r="AF53" s="41" cm="1">
        <f t="array" ref="AF53">IFERROR(_xlfn.XLOOKUP(TRIM($E53),TRIM('Año 2026'!$E$3:$E$66),'Año 2026'!$G$3:$G$66),"")</f>
        <v>0</v>
      </c>
      <c r="AG53" s="41" cm="1">
        <f t="array" ref="AG53">IFERROR(_xlfn.XLOOKUP(TRIM($E53),TRIM('Año 2026'!$E$3:$E$66),'Año 2026'!$H$3:$H$66),"")</f>
        <v>0</v>
      </c>
      <c r="AH53" s="41" cm="1">
        <f t="array" ref="AH53">IFERROR(_xlfn.XLOOKUP(TRIM($E53),TRIM('Año 2026'!$E$3:$E$66),'Año 2026'!$I$3:$I$66),"")</f>
        <v>0</v>
      </c>
      <c r="AI53" s="41" cm="1">
        <f t="array" ref="AI53">IFERROR(_xlfn.XLOOKUP(TRIM($E53),TRIM('Año 2026'!$E$3:$E$66),'Año 2026'!$J$3:$J$66),"")</f>
        <v>0</v>
      </c>
      <c r="AJ53" s="41" cm="1">
        <f t="array" ref="AJ53">IFERROR(_xlfn.XLOOKUP(TRIM($E53),TRIM('Año 2026'!$E$3:$E$66),'Año 2026'!$K$3:$K$66),"")</f>
        <v>0</v>
      </c>
      <c r="AK53" s="41" cm="1">
        <f t="array" ref="AK53">IFERROR(_xlfn.XLOOKUP(TRIM($E53),TRIM('Año 2026'!$E$3:$E$66),'Año 2026'!$L$3:$L$66),"")</f>
        <v>0</v>
      </c>
      <c r="AL53" s="41" cm="1">
        <f t="array" ref="AL53">IFERROR(_xlfn.XLOOKUP(TRIM($E53),TRIM('Año 2026'!$E$3:$E$66),'Año 2026'!$M$3:$M$66),"")</f>
        <v>0</v>
      </c>
      <c r="AM53" s="41" cm="1">
        <f t="array" ref="AM53">IFERROR(_xlfn.XLOOKUP(TRIM($E53),TRIM('Año 2026'!$E$3:$E$66),'Año 2026'!$N$3:$N$66),"")</f>
        <v>0</v>
      </c>
      <c r="AN53" s="41" cm="1">
        <f t="array" ref="AN53">IFERROR(_xlfn.XLOOKUP(TRIM($E53),TRIM('Año 2026'!$E$3:$E$66),'Año 2026'!$O$3:$O$66),"")</f>
        <v>0</v>
      </c>
      <c r="AO53" s="41" cm="1">
        <f t="array" ref="AO53">IFERROR(_xlfn.XLOOKUP(TRIM($E53),TRIM('Año 2026'!$E$3:$E$66),'Año 2026'!$P$3:$P$66),"")</f>
        <v>0</v>
      </c>
      <c r="AP53" s="41" cm="1">
        <f t="array" ref="AP53">IFERROR(_xlfn.XLOOKUP(TRIM($E53),TRIM('Año 2026'!$E$3:$E$66),'Año 2026'!$Q$3:$Q$66),"")</f>
        <v>0</v>
      </c>
      <c r="AQ53" s="41" cm="1">
        <f t="array" ref="AQ53">IFERROR(_xlfn.XLOOKUP(TRIM($E53),TRIM('Año 2026'!$E$3:$E$66),'Año 2026'!$R$3:$R$66),"")</f>
        <v>0</v>
      </c>
      <c r="AR53" s="41" cm="1">
        <f t="array" ref="AR53">IFERROR(_xlfn.XLOOKUP(TRIM($E53),TRIM('Año 2026'!$E$3:$E$66),'Año 2026'!$S$3:$S$66),"")</f>
        <v>0</v>
      </c>
      <c r="AS53" s="41" cm="1">
        <f t="array" ref="AS53">IFERROR(_xlfn.XLOOKUP(TRIM($E53),TRIM('Año 2026'!$E$3:$E$66),'Año 2026'!$T$3:$T$66),"")</f>
        <v>0</v>
      </c>
      <c r="AT53" s="41" cm="1">
        <f t="array" ref="AT53">IFERROR(_xlfn.XLOOKUP(TRIM($E53),TRIM('Año 2026'!$E$3:$E$66),'Año 2026'!$U$3:$U$66),"")</f>
        <v>0</v>
      </c>
      <c r="AU53" s="41" cm="1">
        <f t="array" ref="AU53">IFERROR(_xlfn.XLOOKUP(TRIM($E53),TRIM('Año 2026'!$E$3:$E$66),'Año 2026'!$V$3:$V$66),"")</f>
        <v>0</v>
      </c>
      <c r="AV53" s="41" cm="1">
        <f t="array" ref="AV53">IFERROR(_xlfn.XLOOKUP(TRIM($E53),TRIM('Año 2026'!$E$3:$E$66),'Año 2026'!$W$3:$W$66),"")</f>
        <v>0</v>
      </c>
      <c r="AW53" s="41" cm="1">
        <f t="array" ref="AW53">IFERROR(_xlfn.XLOOKUP(TRIM($E53),TRIM('Año 2026'!$E$3:$E$66),'Año 2026'!$X$3:$X$66),"")</f>
        <v>0</v>
      </c>
      <c r="AX53" s="41" cm="1">
        <f t="array" ref="AX53">IFERROR(_xlfn.XLOOKUP(TRIM($E53),TRIM('Año 2026'!$E$3:$E$66),'Año 2026'!$Y$3:$Y$66),"")</f>
        <v>0</v>
      </c>
      <c r="AY53" s="41" cm="1">
        <f t="array" ref="AY53">IFERROR(_xlfn.XLOOKUP(TRIM($E53),TRIM('Año 2026'!$E$3:$E$66),'Año 2026'!$Z$3:$Z$66),"")</f>
        <v>0</v>
      </c>
      <c r="AZ53" s="41" cm="1">
        <f t="array" ref="AZ53">IFERROR(_xlfn.XLOOKUP(TRIM($E53),TRIM('Año 2026'!$E$3:$E$66),'Año 2026'!$AA$3:$AA$66),"")</f>
        <v>0</v>
      </c>
      <c r="BA53" s="41" cm="1">
        <f t="array" ref="BA53">IFERROR(_xlfn.XLOOKUP(TRIM($E53),TRIM('Año 2026'!$E$3:$E$66),'Año 2026'!$AB$3:$AB$66),"")</f>
        <v>0</v>
      </c>
      <c r="BB53" s="41" cm="1">
        <f t="array" ref="BB53">IFERROR(_xlfn.XLOOKUP(TRIM($E53),TRIM('Año 2026'!$E$3:$E$66),'Año 2026'!$AC$3:$AC$66),"")</f>
        <v>0</v>
      </c>
      <c r="BC53" s="41" cm="1">
        <f t="array" ref="BC53">IFERROR(_xlfn.XLOOKUP(TRIM($E53),TRIM('Año 2026'!$E$3:$E$66),'Año 2026'!$AD$3:$AD$66),"")</f>
        <v>0</v>
      </c>
    </row>
    <row r="54" spans="1:55" s="41" customFormat="1" ht="87.75" customHeight="1" x14ac:dyDescent="0.25">
      <c r="A54" s="48">
        <v>53</v>
      </c>
      <c r="B54" s="51">
        <v>2025</v>
      </c>
      <c r="C54" s="51" t="s">
        <v>277</v>
      </c>
      <c r="D54" s="51" t="s">
        <v>353</v>
      </c>
      <c r="E54" s="54" t="s">
        <v>379</v>
      </c>
      <c r="F54" s="53" t="s">
        <v>269</v>
      </c>
      <c r="G54" s="51"/>
      <c r="H54" s="127">
        <v>49</v>
      </c>
      <c r="I54" s="51" t="s">
        <v>266</v>
      </c>
      <c r="J54" s="58" t="s">
        <v>324</v>
      </c>
      <c r="K54" s="51" t="s">
        <v>374</v>
      </c>
      <c r="L54" s="51" t="s">
        <v>374</v>
      </c>
      <c r="M54" s="51" t="s">
        <v>374</v>
      </c>
      <c r="N54" s="51" t="s">
        <v>375</v>
      </c>
      <c r="O54" s="51" t="s">
        <v>798</v>
      </c>
      <c r="P54" s="51" t="s">
        <v>360</v>
      </c>
      <c r="Q54" s="51" t="s">
        <v>373</v>
      </c>
      <c r="R54" s="59" t="s">
        <v>376</v>
      </c>
      <c r="S54" s="51" t="s">
        <v>372</v>
      </c>
      <c r="T54" s="50">
        <v>2</v>
      </c>
      <c r="U54" s="48" t="s">
        <v>371</v>
      </c>
      <c r="V54" s="47">
        <v>45839</v>
      </c>
      <c r="W54" s="45" t="s">
        <v>370</v>
      </c>
      <c r="X54" s="45"/>
      <c r="Y54" s="51" t="s">
        <v>3331</v>
      </c>
      <c r="Z54" s="51"/>
      <c r="AA54" s="47"/>
      <c r="AB54" s="48" t="s">
        <v>317</v>
      </c>
      <c r="AC54" s="47"/>
      <c r="AD54" s="46" t="s">
        <v>309</v>
      </c>
      <c r="AE54" s="48" t="s">
        <v>316</v>
      </c>
      <c r="AF54" s="41" cm="1">
        <f t="array" ref="AF54">IFERROR(_xlfn.XLOOKUP(TRIM($E54),TRIM('Año 2026'!$E$3:$E$66),'Año 2026'!$G$3:$G$66),"")</f>
        <v>0</v>
      </c>
      <c r="AG54" s="41" cm="1">
        <f t="array" ref="AG54">IFERROR(_xlfn.XLOOKUP(TRIM($E54),TRIM('Año 2026'!$E$3:$E$66),'Año 2026'!$H$3:$H$66),"")</f>
        <v>0</v>
      </c>
      <c r="AH54" s="41" cm="1">
        <f t="array" ref="AH54">IFERROR(_xlfn.XLOOKUP(TRIM($E54),TRIM('Año 2026'!$E$3:$E$66),'Año 2026'!$I$3:$I$66),"")</f>
        <v>0</v>
      </c>
      <c r="AI54" s="41" cm="1">
        <f t="array" ref="AI54">IFERROR(_xlfn.XLOOKUP(TRIM($E54),TRIM('Año 2026'!$E$3:$E$66),'Año 2026'!$J$3:$J$66),"")</f>
        <v>0</v>
      </c>
      <c r="AJ54" s="41" cm="1">
        <f t="array" aca="1" ref="AJ54" ca="1">IFERROR(_xlfn.XLOOKUP(TRIM($E54),TRIM('Año 2026'!$E$3:$E$66),'Año 2026'!$K$3:$K$66),"")</f>
        <v>-46192</v>
      </c>
      <c r="AK54" s="41" t="str" cm="1">
        <f t="array" aca="1" ref="AK54" ca="1">IFERROR(_xlfn.XLOOKUP(TRIM($E54),TRIM('Año 2026'!$E$3:$E$66),'Año 2026'!$L$3:$L$66),"")</f>
        <v>🚨 VENCIDO</v>
      </c>
      <c r="AL54" s="41" t="str" cm="1">
        <f t="array" aca="1" ref="AL54" ca="1">IFERROR(_xlfn.XLOOKUP(TRIM($E54),TRIM('Año 2026'!$E$3:$E$66),'Año 2026'!$M$3:$M$66),"")</f>
        <v>❌ Vencido por 46192 días</v>
      </c>
      <c r="AM54" s="41" cm="1">
        <f t="array" ref="AM54">IFERROR(_xlfn.XLOOKUP(TRIM($E54),TRIM('Año 2026'!$E$3:$E$66),'Año 2026'!$N$3:$N$66),"")</f>
        <v>0</v>
      </c>
      <c r="AN54" s="41" cm="1">
        <f t="array" ref="AN54">IFERROR(_xlfn.XLOOKUP(TRIM($E54),TRIM('Año 2026'!$E$3:$E$66),'Año 2026'!$O$3:$O$66),"")</f>
        <v>0</v>
      </c>
      <c r="AO54" s="41" cm="1">
        <f t="array" ref="AO54">IFERROR(_xlfn.XLOOKUP(TRIM($E54),TRIM('Año 2026'!$E$3:$E$66),'Año 2026'!$P$3:$P$66),"")</f>
        <v>0</v>
      </c>
      <c r="AP54" s="41" cm="1">
        <f t="array" ref="AP54">IFERROR(_xlfn.XLOOKUP(TRIM($E54),TRIM('Año 2026'!$E$3:$E$66),'Año 2026'!$Q$3:$Q$66),"")</f>
        <v>0</v>
      </c>
      <c r="AQ54" s="41" cm="1">
        <f t="array" ref="AQ54">IFERROR(_xlfn.XLOOKUP(TRIM($E54),TRIM('Año 2026'!$E$3:$E$66),'Año 2026'!$R$3:$R$66),"")</f>
        <v>0</v>
      </c>
      <c r="AR54" s="41" cm="1">
        <f t="array" ref="AR54">IFERROR(_xlfn.XLOOKUP(TRIM($E54),TRIM('Año 2026'!$E$3:$E$66),'Año 2026'!$S$3:$S$66),"")</f>
        <v>0</v>
      </c>
      <c r="AS54" s="41" cm="1">
        <f t="array" ref="AS54">IFERROR(_xlfn.XLOOKUP(TRIM($E54),TRIM('Año 2026'!$E$3:$E$66),'Año 2026'!$T$3:$T$66),"")</f>
        <v>0</v>
      </c>
      <c r="AT54" s="41" cm="1">
        <f t="array" ref="AT54">IFERROR(_xlfn.XLOOKUP(TRIM($E54),TRIM('Año 2026'!$E$3:$E$66),'Año 2026'!$U$3:$U$66),"")</f>
        <v>0</v>
      </c>
      <c r="AU54" s="41" cm="1">
        <f t="array" ref="AU54">IFERROR(_xlfn.XLOOKUP(TRIM($E54),TRIM('Año 2026'!$E$3:$E$66),'Año 2026'!$V$3:$V$66),"")</f>
        <v>0</v>
      </c>
      <c r="AV54" s="41" cm="1">
        <f t="array" ref="AV54">IFERROR(_xlfn.XLOOKUP(TRIM($E54),TRIM('Año 2026'!$E$3:$E$66),'Año 2026'!$W$3:$W$66),"")</f>
        <v>0</v>
      </c>
      <c r="AW54" s="41" cm="1">
        <f t="array" ref="AW54">IFERROR(_xlfn.XLOOKUP(TRIM($E54),TRIM('Año 2026'!$E$3:$E$66),'Año 2026'!$X$3:$X$66),"")</f>
        <v>0</v>
      </c>
      <c r="AX54" s="41" cm="1">
        <f t="array" ref="AX54">IFERROR(_xlfn.XLOOKUP(TRIM($E54),TRIM('Año 2026'!$E$3:$E$66),'Año 2026'!$Y$3:$Y$66),"")</f>
        <v>0</v>
      </c>
      <c r="AY54" s="41" cm="1">
        <f t="array" ref="AY54">IFERROR(_xlfn.XLOOKUP(TRIM($E54),TRIM('Año 2026'!$E$3:$E$66),'Año 2026'!$Z$3:$Z$66),"")</f>
        <v>0</v>
      </c>
      <c r="AZ54" s="41" cm="1">
        <f t="array" ref="AZ54">IFERROR(_xlfn.XLOOKUP(TRIM($E54),TRIM('Año 2026'!$E$3:$E$66),'Año 2026'!$AA$3:$AA$66),"")</f>
        <v>0</v>
      </c>
      <c r="BA54" s="41" cm="1">
        <f t="array" ref="BA54">IFERROR(_xlfn.XLOOKUP(TRIM($E54),TRIM('Año 2026'!$E$3:$E$66),'Año 2026'!$AB$3:$AB$66),"")</f>
        <v>0</v>
      </c>
      <c r="BB54" s="41" cm="1">
        <f t="array" ref="BB54">IFERROR(_xlfn.XLOOKUP(TRIM($E54),TRIM('Año 2026'!$E$3:$E$66),'Año 2026'!$AC$3:$AC$66),"")</f>
        <v>0</v>
      </c>
      <c r="BC54" s="41" cm="1">
        <f t="array" ref="BC54">IFERROR(_xlfn.XLOOKUP(TRIM($E54),TRIM('Año 2026'!$E$3:$E$66),'Año 2026'!$AD$3:$AD$66),"")</f>
        <v>0</v>
      </c>
    </row>
    <row r="55" spans="1:55" s="41" customFormat="1" ht="44.25" customHeight="1" x14ac:dyDescent="0.25">
      <c r="A55" s="48">
        <v>54</v>
      </c>
      <c r="B55" s="51">
        <v>2025</v>
      </c>
      <c r="C55" s="51" t="s">
        <v>137</v>
      </c>
      <c r="D55" s="51" t="s">
        <v>284</v>
      </c>
      <c r="E55" s="51" t="s">
        <v>147</v>
      </c>
      <c r="F55" s="53" t="s">
        <v>431</v>
      </c>
      <c r="G55" s="51" t="s">
        <v>3332</v>
      </c>
      <c r="H55" s="108">
        <v>46</v>
      </c>
      <c r="I55" s="51" t="s">
        <v>266</v>
      </c>
      <c r="J55" s="51" t="s">
        <v>500</v>
      </c>
      <c r="K55" s="51" t="s">
        <v>606</v>
      </c>
      <c r="L55" s="51" t="s">
        <v>606</v>
      </c>
      <c r="M55" s="51" t="s">
        <v>606</v>
      </c>
      <c r="N55" s="51" t="s">
        <v>607</v>
      </c>
      <c r="O55" s="51" t="s">
        <v>798</v>
      </c>
      <c r="P55" s="51" t="s">
        <v>3235</v>
      </c>
      <c r="Q55" s="51" t="s">
        <v>3232</v>
      </c>
      <c r="R55" s="55" t="s">
        <v>608</v>
      </c>
      <c r="S55" s="51" t="s">
        <v>347</v>
      </c>
      <c r="T55" s="50">
        <v>1</v>
      </c>
      <c r="U55" s="48" t="s">
        <v>605</v>
      </c>
      <c r="V55" s="47">
        <v>45826</v>
      </c>
      <c r="W55" s="45" t="s">
        <v>604</v>
      </c>
      <c r="X55" s="45"/>
      <c r="Y55" s="56" t="s">
        <v>3333</v>
      </c>
      <c r="Z55" s="56"/>
      <c r="AA55" s="47">
        <v>46374</v>
      </c>
      <c r="AB55" s="48" t="str">
        <f ca="1">IF(AA55&lt;TODAY(),"VENCIDO","POR VENCER")</f>
        <v>POR VENCER</v>
      </c>
      <c r="AC55" s="47">
        <v>46379</v>
      </c>
      <c r="AD55" s="46" t="s">
        <v>333</v>
      </c>
      <c r="AE55" s="48" t="s">
        <v>603</v>
      </c>
      <c r="AF55" s="41" t="str" cm="1">
        <f t="array" ref="AF55">IFERROR(_xlfn.XLOOKUP(TRIM($E55),TRIM('Año 2026'!$E$3:$E$66),'Año 2026'!$G$3:$G$66),"")</f>
        <v>Oficio N° 01894-2025-SUNEDU-DS-DIRESESU-UVE (30.05.25)</v>
      </c>
      <c r="AG55" s="41" cm="1">
        <f t="array" ref="AG55">IFERROR(_xlfn.XLOOKUP(TRIM($E55),TRIM('Año 2026'!$E$3:$E$66),'Año 2026'!$H$3:$H$66),"")</f>
        <v>45814</v>
      </c>
      <c r="AH55" s="41" cm="1">
        <f t="array" ref="AH55">IFERROR(_xlfn.XLOOKUP(TRIM($E55),TRIM('Año 2026'!$E$3:$E$66),'Año 2026'!$I$3:$I$66),"")</f>
        <v>3</v>
      </c>
      <c r="AI55" s="41" cm="1">
        <f t="array" ref="AI55">IFERROR(_xlfn.XLOOKUP(TRIM($E55),TRIM('Año 2026'!$E$3:$E$66),'Año 2026'!$J$3:$J$66),"")</f>
        <v>45819</v>
      </c>
      <c r="AJ55" s="41" cm="1">
        <f t="array" aca="1" ref="AJ55" ca="1">IFERROR(_xlfn.XLOOKUP(TRIM($E55),TRIM('Año 2026'!$E$3:$E$66),'Año 2026'!$K$3:$K$66),"")</f>
        <v>-373</v>
      </c>
      <c r="AK55" s="41" t="str" cm="1">
        <f t="array" aca="1" ref="AK55" ca="1">IFERROR(_xlfn.XLOOKUP(TRIM($E55),TRIM('Año 2026'!$E$3:$E$66),'Año 2026'!$L$3:$L$66),"")</f>
        <v>NUEVA FECHA</v>
      </c>
      <c r="AL55" s="41" t="str" cm="1">
        <f t="array" aca="1" ref="AL55" ca="1">IFERROR(_xlfn.XLOOKUP(TRIM($E55),TRIM('Año 2026'!$E$3:$E$66),'Año 2026'!$M$3:$M$66),"")</f>
        <v>NUEVA FECHA</v>
      </c>
      <c r="AM55" s="41" t="str" cm="1">
        <f t="array" ref="AM55">IFERROR(_xlfn.XLOOKUP(TRIM($E55),TRIM('Año 2026'!$E$3:$E$66),'Año 2026'!$N$3:$N$66),"")</f>
        <v>Ajustes al plazo</v>
      </c>
      <c r="AN55" s="41" cm="1">
        <f t="array" ref="AN55">IFERROR(_xlfn.XLOOKUP(TRIM($E55),TRIM('Año 2026'!$E$3:$E$66),'Año 2026'!$O$3:$O$66),"")</f>
        <v>0</v>
      </c>
      <c r="AO55" s="41" t="str" cm="1">
        <f t="array" ref="AO55">IFERROR(_xlfn.XLOOKUP(TRIM($E55),TRIM('Año 2026'!$E$3:$E$66),'Año 2026'!$P$3:$P$66),"")</f>
        <v>Visita de inspección</v>
      </c>
      <c r="AP55" s="41" cm="1">
        <f t="array" ref="AP55">IFERROR(_xlfn.XLOOKUP(TRIM($E55),TRIM('Año 2026'!$E$3:$E$66),'Año 2026'!$Q$3:$Q$66),"")</f>
        <v>0</v>
      </c>
      <c r="AQ55" s="41" cm="1">
        <f t="array" ref="AQ55">IFERROR(_xlfn.XLOOKUP(TRIM($E55),TRIM('Año 2026'!$E$3:$E$66),'Año 2026'!$R$3:$R$66),"")</f>
        <v>0</v>
      </c>
      <c r="AR55" s="41" cm="1">
        <f t="array" ref="AR55">IFERROR(_xlfn.XLOOKUP(TRIM($E55),TRIM('Año 2026'!$E$3:$E$66),'Año 2026'!$S$3:$S$66),"")</f>
        <v>0</v>
      </c>
      <c r="AS55" s="41" cm="1">
        <f t="array" ref="AS55">IFERROR(_xlfn.XLOOKUP(TRIM($E55),TRIM('Año 2026'!$E$3:$E$66),'Año 2026'!$T$3:$T$66),"")</f>
        <v>0</v>
      </c>
      <c r="AT55" s="41" cm="1">
        <f t="array" ref="AT55">IFERROR(_xlfn.XLOOKUP(TRIM($E55),TRIM('Año 2026'!$E$3:$E$66),'Año 2026'!$U$3:$U$66),"")</f>
        <v>0</v>
      </c>
      <c r="AU55" s="41" t="str" cm="1">
        <f t="array" ref="AU55">IFERROR(_xlfn.XLOOKUP(TRIM($E55),TRIM('Año 2026'!$E$3:$E$66),'Año 2026'!$V$3:$V$66),"")</f>
        <v>Acta de Supervisión</v>
      </c>
      <c r="AV55" s="41" cm="1">
        <f t="array" ref="AV55">IFERROR(_xlfn.XLOOKUP(TRIM($E55),TRIM('Año 2026'!$E$3:$E$66),'Año 2026'!$W$3:$W$66),"")</f>
        <v>45821</v>
      </c>
      <c r="AW55" s="41" cm="1">
        <f t="array" ref="AW55">IFERROR(_xlfn.XLOOKUP(TRIM($E55),TRIM('Año 2026'!$E$3:$E$66),'Año 2026'!$X$3:$X$66),"")</f>
        <v>3</v>
      </c>
      <c r="AX55" s="41" t="str" cm="1">
        <f t="array" ref="AX55">IFERROR(_xlfn.XLOOKUP(TRIM($E55),TRIM('Año 2026'!$E$3:$E$66),'Año 2026'!$Y$3:$Y$66),"")</f>
        <v/>
      </c>
      <c r="AY55" s="41" t="str" cm="1">
        <f t="array" aca="1" ref="AY55" ca="1">IFERROR(_xlfn.XLOOKUP(TRIM($E55),TRIM('Año 2026'!$E$3:$E$66),'Año 2026'!$Z$3:$Z$66),"")</f>
        <v/>
      </c>
      <c r="AZ55" s="41" t="str" cm="1">
        <f t="array" aca="1" ref="AZ55" ca="1">IFERROR(_xlfn.XLOOKUP(TRIM($E55),TRIM('Año 2026'!$E$3:$E$66),'Año 2026'!$AA$3:$AA$66),"")</f>
        <v/>
      </c>
      <c r="BA55" s="41" t="str" cm="1">
        <f t="array" aca="1" ref="BA55" ca="1">IFERROR(_xlfn.XLOOKUP(TRIM($E55),TRIM('Año 2026'!$E$3:$E$66),'Año 2026'!$AB$3:$AB$66),"")</f>
        <v/>
      </c>
      <c r="BB55" s="41" t="str" cm="1">
        <f t="array" ref="BB55">IFERROR(_xlfn.XLOOKUP(TRIM($E55),TRIM('Año 2026'!$E$3:$E$66),'Año 2026'!$AC$3:$AC$66),"")</f>
        <v>Entregado</v>
      </c>
      <c r="BC55" s="41" cm="1">
        <f t="array" ref="BC55">IFERROR(_xlfn.XLOOKUP(TRIM($E55),TRIM('Año 2026'!$E$3:$E$66),'Año 2026'!$AD$3:$AD$66),"")</f>
        <v>0</v>
      </c>
    </row>
    <row r="56" spans="1:55" s="41" customFormat="1" ht="72" customHeight="1" x14ac:dyDescent="0.25">
      <c r="A56" s="48">
        <v>55</v>
      </c>
      <c r="B56" s="51">
        <v>2025</v>
      </c>
      <c r="C56" s="51" t="s">
        <v>69</v>
      </c>
      <c r="D56" s="51" t="s">
        <v>353</v>
      </c>
      <c r="E56" s="51" t="s">
        <v>172</v>
      </c>
      <c r="F56" s="53" t="s">
        <v>269</v>
      </c>
      <c r="G56" s="51" t="s">
        <v>173</v>
      </c>
      <c r="H56" s="108">
        <v>47</v>
      </c>
      <c r="I56" s="72" t="s">
        <v>266</v>
      </c>
      <c r="J56" s="71" t="s">
        <v>324</v>
      </c>
      <c r="K56" s="51" t="s">
        <v>589</v>
      </c>
      <c r="L56" s="51" t="s">
        <v>589</v>
      </c>
      <c r="M56" s="51" t="s">
        <v>589</v>
      </c>
      <c r="N56" s="51" t="s">
        <v>590</v>
      </c>
      <c r="O56" s="51" t="s">
        <v>798</v>
      </c>
      <c r="P56" s="51" t="s">
        <v>360</v>
      </c>
      <c r="Q56" s="51">
        <v>27</v>
      </c>
      <c r="R56" s="90" t="s">
        <v>591</v>
      </c>
      <c r="S56" s="51" t="s">
        <v>372</v>
      </c>
      <c r="T56" s="50">
        <v>1</v>
      </c>
      <c r="U56" s="48" t="s">
        <v>482</v>
      </c>
      <c r="V56" s="47">
        <v>45731</v>
      </c>
      <c r="W56" s="90" t="s">
        <v>588</v>
      </c>
      <c r="X56" s="90"/>
      <c r="Y56" s="69" t="s">
        <v>3334</v>
      </c>
      <c r="Z56" s="62" t="s">
        <v>264</v>
      </c>
      <c r="AA56" s="47">
        <v>46346</v>
      </c>
      <c r="AB56" s="48" t="str">
        <f ca="1">IF(AA56&lt;TODAY(),"VENCIDO","POR VENCER")</f>
        <v>POR VENCER</v>
      </c>
      <c r="AC56" s="47">
        <v>46353</v>
      </c>
      <c r="AD56" s="46" t="s">
        <v>309</v>
      </c>
      <c r="AE56" s="48" t="s">
        <v>308</v>
      </c>
      <c r="AF56" s="41" t="str" cm="1">
        <f t="array" ref="AF56">IFERROR(_xlfn.XLOOKUP(TRIM($E56),TRIM('Año 2026'!$E$3:$E$66),'Año 2026'!$G$3:$G$66),"")</f>
        <v>Oficio N° 00953-2026-SUNEDU-DS-DIRESESU-UVE (19.03.26)</v>
      </c>
      <c r="AG56" s="41" cm="1">
        <f t="array" ref="AG56">IFERROR(_xlfn.XLOOKUP(TRIM($E56),TRIM('Año 2026'!$E$3:$E$66),'Año 2026'!$H$3:$H$66),"")</f>
        <v>46101</v>
      </c>
      <c r="AH56" s="41" cm="1">
        <f t="array" ref="AH56">IFERROR(_xlfn.XLOOKUP(TRIM($E56),TRIM('Año 2026'!$E$3:$E$66),'Año 2026'!$I$3:$I$66),"")</f>
        <v>5</v>
      </c>
      <c r="AI56" s="41" cm="1">
        <f t="array" ref="AI56">IFERROR(_xlfn.XLOOKUP(TRIM($E56),TRIM('Año 2026'!$E$3:$E$66),'Año 2026'!$J$3:$J$66),"")</f>
        <v>46101</v>
      </c>
      <c r="AJ56" s="41" cm="1">
        <f t="array" aca="1" ref="AJ56" ca="1">IFERROR(_xlfn.XLOOKUP(TRIM($E56),TRIM('Año 2026'!$E$3:$E$66),'Año 2026'!$K$3:$K$66),"")</f>
        <v>-91</v>
      </c>
      <c r="AK56" s="41" t="str" cm="1">
        <f t="array" aca="1" ref="AK56" ca="1">IFERROR(_xlfn.XLOOKUP(TRIM($E56),TRIM('Año 2026'!$E$3:$E$66),'Año 2026'!$L$3:$L$66),"")</f>
        <v>CONCLUIDO</v>
      </c>
      <c r="AL56" s="41" t="str" cm="1">
        <f t="array" aca="1" ref="AL56" ca="1">IFERROR(_xlfn.XLOOKUP(TRIM($E56),TRIM('Año 2026'!$E$3:$E$66),'Año 2026'!$M$3:$M$66),"")</f>
        <v>CONCLUIDO</v>
      </c>
      <c r="AM56" s="41" t="str" cm="1">
        <f t="array" ref="AM56">IFERROR(_xlfn.XLOOKUP(TRIM($E56),TRIM('Año 2026'!$E$3:$E$66),'Año 2026'!$N$3:$N$66),"")</f>
        <v>Entregado</v>
      </c>
      <c r="AN56" s="41" cm="1">
        <f t="array" ref="AN56">IFERROR(_xlfn.XLOOKUP(TRIM($E56),TRIM('Año 2026'!$E$3:$E$66),'Año 2026'!$O$3:$O$66),"")</f>
        <v>0</v>
      </c>
      <c r="AO56" s="41" cm="1">
        <f t="array" ref="AO56">IFERROR(_xlfn.XLOOKUP(TRIM($E56),TRIM('Año 2026'!$E$3:$E$66),'Año 2026'!$P$3:$P$66),"")</f>
        <v>0</v>
      </c>
      <c r="AP56" s="41" cm="1">
        <f t="array" ref="AP56">IFERROR(_xlfn.XLOOKUP(TRIM($E56),TRIM('Año 2026'!$E$3:$E$66),'Año 2026'!$Q$3:$Q$66),"")</f>
        <v>0</v>
      </c>
      <c r="AQ56" s="41" cm="1">
        <f t="array" ref="AQ56">IFERROR(_xlfn.XLOOKUP(TRIM($E56),TRIM('Año 2026'!$E$3:$E$66),'Año 2026'!$R$3:$R$66),"")</f>
        <v>0</v>
      </c>
      <c r="AR56" s="41" cm="1">
        <f t="array" ref="AR56">IFERROR(_xlfn.XLOOKUP(TRIM($E56),TRIM('Año 2026'!$E$3:$E$66),'Año 2026'!$S$3:$S$66),"")</f>
        <v>0</v>
      </c>
      <c r="AS56" s="41" cm="1">
        <f t="array" ref="AS56">IFERROR(_xlfn.XLOOKUP(TRIM($E56),TRIM('Año 2026'!$E$3:$E$66),'Año 2026'!$T$3:$T$66),"")</f>
        <v>0</v>
      </c>
      <c r="AT56" s="41" cm="1">
        <f t="array" ref="AT56">IFERROR(_xlfn.XLOOKUP(TRIM($E56),TRIM('Año 2026'!$E$3:$E$66),'Año 2026'!$U$3:$U$66),"")</f>
        <v>0</v>
      </c>
      <c r="AU56" s="41" cm="1">
        <f t="array" ref="AU56">IFERROR(_xlfn.XLOOKUP(TRIM($E56),TRIM('Año 2026'!$E$3:$E$66),'Año 2026'!$V$3:$V$66),"")</f>
        <v>0</v>
      </c>
      <c r="AV56" s="41" cm="1">
        <f t="array" ref="AV56">IFERROR(_xlfn.XLOOKUP(TRIM($E56),TRIM('Año 2026'!$E$3:$E$66),'Año 2026'!$W$3:$W$66),"")</f>
        <v>0</v>
      </c>
      <c r="AW56" s="41" cm="1">
        <f t="array" ref="AW56">IFERROR(_xlfn.XLOOKUP(TRIM($E56),TRIM('Año 2026'!$E$3:$E$66),'Año 2026'!$X$3:$X$66),"")</f>
        <v>0</v>
      </c>
      <c r="AX56" s="41" cm="1">
        <f t="array" ref="AX56">IFERROR(_xlfn.XLOOKUP(TRIM($E56),TRIM('Año 2026'!$E$3:$E$66),'Año 2026'!$Y$3:$Y$66),"")</f>
        <v>0</v>
      </c>
      <c r="AY56" s="41" cm="1">
        <f t="array" ref="AY56">IFERROR(_xlfn.XLOOKUP(TRIM($E56),TRIM('Año 2026'!$E$3:$E$66),'Año 2026'!$Z$3:$Z$66),"")</f>
        <v>0</v>
      </c>
      <c r="AZ56" s="41" cm="1">
        <f t="array" ref="AZ56">IFERROR(_xlfn.XLOOKUP(TRIM($E56),TRIM('Año 2026'!$E$3:$E$66),'Año 2026'!$AA$3:$AA$66),"")</f>
        <v>0</v>
      </c>
      <c r="BA56" s="41" cm="1">
        <f t="array" ref="BA56">IFERROR(_xlfn.XLOOKUP(TRIM($E56),TRIM('Año 2026'!$E$3:$E$66),'Año 2026'!$AB$3:$AB$66),"")</f>
        <v>0</v>
      </c>
      <c r="BB56" s="41" cm="1">
        <f t="array" ref="BB56">IFERROR(_xlfn.XLOOKUP(TRIM($E56),TRIM('Año 2026'!$E$3:$E$66),'Año 2026'!$AC$3:$AC$66),"")</f>
        <v>0</v>
      </c>
      <c r="BC56" s="41" cm="1">
        <f t="array" ref="BC56">IFERROR(_xlfn.XLOOKUP(TRIM($E56),TRIM('Año 2026'!$E$3:$E$66),'Año 2026'!$AD$3:$AD$66),"")</f>
        <v>0</v>
      </c>
    </row>
    <row r="57" spans="1:55" s="41" customFormat="1" ht="72" customHeight="1" x14ac:dyDescent="0.25">
      <c r="A57" s="48">
        <v>56</v>
      </c>
      <c r="B57" s="51">
        <v>2025</v>
      </c>
      <c r="C57" s="51" t="s">
        <v>277</v>
      </c>
      <c r="D57" s="51" t="s">
        <v>353</v>
      </c>
      <c r="E57" s="54" t="s">
        <v>101</v>
      </c>
      <c r="F57" s="53" t="s">
        <v>269</v>
      </c>
      <c r="G57" s="41" t="s">
        <v>102</v>
      </c>
      <c r="H57" s="108">
        <v>23</v>
      </c>
      <c r="I57" s="51" t="s">
        <v>295</v>
      </c>
      <c r="J57" s="51" t="s">
        <v>399</v>
      </c>
      <c r="K57" s="51" t="s">
        <v>397</v>
      </c>
      <c r="L57" s="51" t="s">
        <v>396</v>
      </c>
      <c r="M57" s="51" t="s">
        <v>396</v>
      </c>
      <c r="N57" s="51" t="s">
        <v>398</v>
      </c>
      <c r="O57" s="51" t="s">
        <v>798</v>
      </c>
      <c r="P57" s="51" t="s">
        <v>321</v>
      </c>
      <c r="Q57" s="51"/>
      <c r="R57" s="55" t="s">
        <v>400</v>
      </c>
      <c r="S57" s="51" t="s">
        <v>359</v>
      </c>
      <c r="T57" s="50">
        <v>1</v>
      </c>
      <c r="U57" s="48" t="s">
        <v>395</v>
      </c>
      <c r="V57" s="47">
        <v>45888</v>
      </c>
      <c r="W57" s="45" t="s">
        <v>394</v>
      </c>
      <c r="X57" s="45"/>
      <c r="Y57" s="52" t="s">
        <v>380</v>
      </c>
      <c r="Z57" s="52"/>
      <c r="AA57" s="47"/>
      <c r="AB57" s="48" t="s">
        <v>317</v>
      </c>
      <c r="AC57" s="47"/>
      <c r="AD57" s="46" t="s">
        <v>309</v>
      </c>
      <c r="AE57" s="48" t="s">
        <v>316</v>
      </c>
      <c r="AF57" s="41" t="str" cm="1">
        <f t="array" ref="AF57">IFERROR(_xlfn.XLOOKUP(TRIM($E57),TRIM('Año 2026'!$E$3:$E$66),'Año 2026'!$G$3:$G$66),"")</f>
        <v>Oficio N° 02015-2025-SUNEDU-DS-DIRESESU-UVE</v>
      </c>
      <c r="AG57" s="41" cm="1">
        <f t="array" ref="AG57">IFERROR(_xlfn.XLOOKUP(TRIM($E57),TRIM('Año 2026'!$E$3:$E$66),'Año 2026'!$H$3:$H$66),"")</f>
        <v>45817</v>
      </c>
      <c r="AH57" s="41" cm="1">
        <f t="array" ref="AH57">IFERROR(_xlfn.XLOOKUP(TRIM($E57),TRIM('Año 2026'!$E$3:$E$66),'Año 2026'!$I$3:$I$66),"")</f>
        <v>5</v>
      </c>
      <c r="AI57" s="41" cm="1">
        <f t="array" ref="AI57">IFERROR(_xlfn.XLOOKUP(TRIM($E57),TRIM('Año 2026'!$E$3:$E$66),'Año 2026'!$J$3:$J$66),"")</f>
        <v>45824</v>
      </c>
      <c r="AJ57" s="41" cm="1">
        <f t="array" aca="1" ref="AJ57" ca="1">IFERROR(_xlfn.XLOOKUP(TRIM($E57),TRIM('Año 2026'!$E$3:$E$66),'Año 2026'!$K$3:$K$66),"")</f>
        <v>-368</v>
      </c>
      <c r="AK57" s="41" t="str" cm="1">
        <f t="array" aca="1" ref="AK57" ca="1">IFERROR(_xlfn.XLOOKUP(TRIM($E57),TRIM('Año 2026'!$E$3:$E$66),'Año 2026'!$L$3:$L$66),"")</f>
        <v>NUEVA FECHA</v>
      </c>
      <c r="AL57" s="41" t="str" cm="1">
        <f t="array" aca="1" ref="AL57" ca="1">IFERROR(_xlfn.XLOOKUP(TRIM($E57),TRIM('Año 2026'!$E$3:$E$66),'Año 2026'!$M$3:$M$66),"")</f>
        <v>NUEVA FECHA</v>
      </c>
      <c r="AM57" s="41" t="str" cm="1">
        <f t="array" ref="AM57">IFERROR(_xlfn.XLOOKUP(TRIM($E57),TRIM('Año 2026'!$E$3:$E$66),'Año 2026'!$N$3:$N$66),"")</f>
        <v>Ajustes al plazo</v>
      </c>
      <c r="AN57" s="41" cm="1">
        <f t="array" ref="AN57">IFERROR(_xlfn.XLOOKUP(TRIM($E57),TRIM('Año 2026'!$E$3:$E$66),'Año 2026'!$O$3:$O$66),"")</f>
        <v>0</v>
      </c>
      <c r="AO57" s="41" t="str" cm="1">
        <f t="array" ref="AO57">IFERROR(_xlfn.XLOOKUP(TRIM($E57),TRIM('Año 2026'!$E$3:$E$66),'Año 2026'!$P$3:$P$66),"")</f>
        <v>Visita de inspección</v>
      </c>
      <c r="AP57" s="41" cm="1">
        <f t="array" ref="AP57">IFERROR(_xlfn.XLOOKUP(TRIM($E57),TRIM('Año 2026'!$E$3:$E$66),'Año 2026'!$Q$3:$Q$66),"")</f>
        <v>0</v>
      </c>
      <c r="AQ57" s="41" cm="1">
        <f t="array" ref="AQ57">IFERROR(_xlfn.XLOOKUP(TRIM($E57),TRIM('Año 2026'!$E$3:$E$66),'Año 2026'!$R$3:$R$66),"")</f>
        <v>0</v>
      </c>
      <c r="AR57" s="41" cm="1">
        <f t="array" ref="AR57">IFERROR(_xlfn.XLOOKUP(TRIM($E57),TRIM('Año 2026'!$E$3:$E$66),'Año 2026'!$S$3:$S$66),"")</f>
        <v>0</v>
      </c>
      <c r="AS57" s="41" cm="1">
        <f t="array" ref="AS57">IFERROR(_xlfn.XLOOKUP(TRIM($E57),TRIM('Año 2026'!$E$3:$E$66),'Año 2026'!$T$3:$T$66),"")</f>
        <v>0</v>
      </c>
      <c r="AT57" s="41" cm="1">
        <f t="array" ref="AT57">IFERROR(_xlfn.XLOOKUP(TRIM($E57),TRIM('Año 2026'!$E$3:$E$66),'Año 2026'!$U$3:$U$66),"")</f>
        <v>0</v>
      </c>
      <c r="AU57" s="41" t="str" cm="1">
        <f t="array" ref="AU57">IFERROR(_xlfn.XLOOKUP(TRIM($E57),TRIM('Año 2026'!$E$3:$E$66),'Año 2026'!$V$3:$V$66),"")</f>
        <v xml:space="preserve">Oficio N°03052-2025-SUNEDU-DS-DIRESESU-UVE </v>
      </c>
      <c r="AV57" s="41" cm="1">
        <f t="array" ref="AV57">IFERROR(_xlfn.XLOOKUP(TRIM($E57),TRIM('Año 2026'!$E$3:$E$66),'Año 2026'!$W$3:$W$66),"")</f>
        <v>45888</v>
      </c>
      <c r="AW57" s="41" cm="1">
        <f t="array" ref="AW57">IFERROR(_xlfn.XLOOKUP(TRIM($E57),TRIM('Año 2026'!$E$3:$E$66),'Año 2026'!$X$3:$X$66),"")</f>
        <v>5</v>
      </c>
      <c r="AX57" s="41" t="str" cm="1">
        <f t="array" ref="AX57">IFERROR(_xlfn.XLOOKUP(TRIM($E57),TRIM('Año 2026'!$E$3:$E$66),'Año 2026'!$Y$3:$Y$66),"")</f>
        <v/>
      </c>
      <c r="AY57" s="41" t="str" cm="1">
        <f t="array" aca="1" ref="AY57" ca="1">IFERROR(_xlfn.XLOOKUP(TRIM($E57),TRIM('Año 2026'!$E$3:$E$66),'Año 2026'!$Z$3:$Z$66),"")</f>
        <v/>
      </c>
      <c r="AZ57" s="41" t="str" cm="1">
        <f t="array" aca="1" ref="AZ57" ca="1">IFERROR(_xlfn.XLOOKUP(TRIM($E57),TRIM('Año 2026'!$E$3:$E$66),'Año 2026'!$AA$3:$AA$66),"")</f>
        <v/>
      </c>
      <c r="BA57" s="41" t="str" cm="1">
        <f t="array" aca="1" ref="BA57" ca="1">IFERROR(_xlfn.XLOOKUP(TRIM($E57),TRIM('Año 2026'!$E$3:$E$66),'Año 2026'!$AB$3:$AB$66),"")</f>
        <v/>
      </c>
      <c r="BB57" s="41" cm="1">
        <f t="array" ref="BB57">IFERROR(_xlfn.XLOOKUP(TRIM($E57),TRIM('Año 2026'!$E$3:$E$66),'Año 2026'!$AC$3:$AC$66),"")</f>
        <v>0</v>
      </c>
      <c r="BC57" s="41" cm="1">
        <f t="array" ref="BC57">IFERROR(_xlfn.XLOOKUP(TRIM($E57),TRIM('Año 2026'!$E$3:$E$66),'Año 2026'!$AD$3:$AD$66),"")</f>
        <v>0</v>
      </c>
    </row>
    <row r="58" spans="1:55" s="41" customFormat="1" ht="102.75" customHeight="1" x14ac:dyDescent="0.25">
      <c r="A58" s="48">
        <v>57</v>
      </c>
      <c r="B58" s="51">
        <v>2025</v>
      </c>
      <c r="C58" s="51" t="s">
        <v>277</v>
      </c>
      <c r="D58" s="51" t="s">
        <v>353</v>
      </c>
      <c r="E58" s="54" t="s">
        <v>105</v>
      </c>
      <c r="F58" s="53" t="s">
        <v>269</v>
      </c>
      <c r="G58" s="41" t="s">
        <v>106</v>
      </c>
      <c r="H58" s="108">
        <v>23</v>
      </c>
      <c r="I58" s="51" t="s">
        <v>295</v>
      </c>
      <c r="J58" s="51" t="s">
        <v>3215</v>
      </c>
      <c r="K58" s="51" t="s">
        <v>385</v>
      </c>
      <c r="L58" s="51" t="s">
        <v>385</v>
      </c>
      <c r="M58" s="51" t="s">
        <v>384</v>
      </c>
      <c r="N58" s="51" t="s">
        <v>3381</v>
      </c>
      <c r="O58" s="51" t="s">
        <v>798</v>
      </c>
      <c r="P58" s="51" t="s">
        <v>360</v>
      </c>
      <c r="Q58" s="51" t="s">
        <v>383</v>
      </c>
      <c r="R58" s="55" t="s">
        <v>386</v>
      </c>
      <c r="S58" s="51" t="s">
        <v>359</v>
      </c>
      <c r="T58" s="50">
        <v>1</v>
      </c>
      <c r="U58" s="48" t="s">
        <v>382</v>
      </c>
      <c r="V58" s="47">
        <v>45894</v>
      </c>
      <c r="W58" s="45" t="s">
        <v>381</v>
      </c>
      <c r="X58" s="45"/>
      <c r="Y58" s="52" t="s">
        <v>380</v>
      </c>
      <c r="Z58" s="52"/>
      <c r="AA58" s="47">
        <v>46223</v>
      </c>
      <c r="AB58" s="48" t="str">
        <f ca="1">IF(AA58&lt;TODAY(),"VENCIDO","POR VENCER")</f>
        <v>POR VENCER</v>
      </c>
      <c r="AC58" s="47">
        <v>46230</v>
      </c>
      <c r="AD58" s="46" t="s">
        <v>309</v>
      </c>
      <c r="AE58" s="48" t="s">
        <v>316</v>
      </c>
      <c r="AF58" s="41" t="str" cm="1">
        <f t="array" ref="AF58">IFERROR(_xlfn.XLOOKUP(TRIM($E58),TRIM('Año 2026'!$E$3:$E$66),'Año 2026'!$G$3:$G$66),"")</f>
        <v>Acta de Supervisión</v>
      </c>
      <c r="AG58" s="41" cm="1">
        <f t="array" ref="AG58">IFERROR(_xlfn.XLOOKUP(TRIM($E58),TRIM('Año 2026'!$E$3:$E$66),'Año 2026'!$H$3:$H$66),"")</f>
        <v>45838</v>
      </c>
      <c r="AH58" s="41" cm="1">
        <f t="array" ref="AH58">IFERROR(_xlfn.XLOOKUP(TRIM($E58),TRIM('Año 2026'!$E$3:$E$66),'Año 2026'!$I$3:$I$66),"")</f>
        <v>3</v>
      </c>
      <c r="AI58" s="41" t="str" cm="1">
        <f t="array" ref="AI58">IFERROR(_xlfn.XLOOKUP(TRIM($E58),TRIM('Año 2026'!$E$3:$E$66),'Año 2026'!$J$3:$J$66),"")</f>
        <v/>
      </c>
      <c r="AJ58" s="41" t="str" cm="1">
        <f t="array" aca="1" ref="AJ58" ca="1">IFERROR(_xlfn.XLOOKUP(TRIM($E58),TRIM('Año 2026'!$E$3:$E$66),'Año 2026'!$K$3:$K$66),"")</f>
        <v/>
      </c>
      <c r="AK58" s="41" t="str" cm="1">
        <f t="array" aca="1" ref="AK58" ca="1">IFERROR(_xlfn.XLOOKUP(TRIM($E58),TRIM('Año 2026'!$E$3:$E$66),'Año 2026'!$L$3:$L$66),"")</f>
        <v>NUEVA FECHA</v>
      </c>
      <c r="AL58" s="41" t="str" cm="1">
        <f t="array" aca="1" ref="AL58" ca="1">IFERROR(_xlfn.XLOOKUP(TRIM($E58),TRIM('Año 2026'!$E$3:$E$66),'Año 2026'!$M$3:$M$66),"")</f>
        <v>NUEVA FECHA</v>
      </c>
      <c r="AM58" s="41" t="str" cm="1">
        <f t="array" ref="AM58">IFERROR(_xlfn.XLOOKUP(TRIM($E58),TRIM('Año 2026'!$E$3:$E$66),'Año 2026'!$N$3:$N$66),"")</f>
        <v>Ajustes al plazo</v>
      </c>
      <c r="AN58" s="41" cm="1">
        <f t="array" ref="AN58">IFERROR(_xlfn.XLOOKUP(TRIM($E58),TRIM('Año 2026'!$E$3:$E$66),'Año 2026'!$O$3:$O$66),"")</f>
        <v>0</v>
      </c>
      <c r="AO58" s="41" t="str" cm="1">
        <f t="array" ref="AO58">IFERROR(_xlfn.XLOOKUP(TRIM($E58),TRIM('Año 2026'!$E$3:$E$66),'Año 2026'!$P$3:$P$66),"")</f>
        <v>Requerimiento complementario</v>
      </c>
      <c r="AP58" s="41" cm="1">
        <f t="array" ref="AP58">IFERROR(_xlfn.XLOOKUP(TRIM($E58),TRIM('Año 2026'!$E$3:$E$66),'Año 2026'!$Q$3:$Q$66),"")</f>
        <v>0</v>
      </c>
      <c r="AQ58" s="41" cm="1">
        <f t="array" ref="AQ58">IFERROR(_xlfn.XLOOKUP(TRIM($E58),TRIM('Año 2026'!$E$3:$E$66),'Año 2026'!$R$3:$R$66),"")</f>
        <v>0</v>
      </c>
      <c r="AR58" s="41" cm="1">
        <f t="array" ref="AR58">IFERROR(_xlfn.XLOOKUP(TRIM($E58),TRIM('Año 2026'!$E$3:$E$66),'Año 2026'!$S$3:$S$66),"")</f>
        <v>0</v>
      </c>
      <c r="AS58" s="41" cm="1">
        <f t="array" ref="AS58">IFERROR(_xlfn.XLOOKUP(TRIM($E58),TRIM('Año 2026'!$E$3:$E$66),'Año 2026'!$T$3:$T$66),"")</f>
        <v>0</v>
      </c>
      <c r="AT58" s="41" cm="1">
        <f t="array" ref="AT58">IFERROR(_xlfn.XLOOKUP(TRIM($E58),TRIM('Año 2026'!$E$3:$E$66),'Año 2026'!$U$3:$U$66),"")</f>
        <v>0</v>
      </c>
      <c r="AU58" s="41" t="str" cm="1">
        <f t="array" ref="AU58">IFERROR(_xlfn.XLOOKUP(TRIM($E58),TRIM('Año 2026'!$E$3:$E$66),'Año 2026'!$V$3:$V$66),"")</f>
        <v>Oficio N°03029-2025-SUNEDU-DS-DIRESESU-UVE</v>
      </c>
      <c r="AV58" s="41" cm="1">
        <f t="array" ref="AV58">IFERROR(_xlfn.XLOOKUP(TRIM($E58),TRIM('Año 2026'!$E$3:$E$66),'Año 2026'!$W$3:$W$66),"")</f>
        <v>45887</v>
      </c>
      <c r="AW58" s="41" cm="1">
        <f t="array" ref="AW58">IFERROR(_xlfn.XLOOKUP(TRIM($E58),TRIM('Año 2026'!$E$3:$E$66),'Año 2026'!$X$3:$X$66),"")</f>
        <v>5</v>
      </c>
      <c r="AX58" s="41" t="str" cm="1">
        <f t="array" ref="AX58">IFERROR(_xlfn.XLOOKUP(TRIM($E58),TRIM('Año 2026'!$E$3:$E$66),'Año 2026'!$Y$3:$Y$66),"")</f>
        <v/>
      </c>
      <c r="AY58" s="41" t="str" cm="1">
        <f t="array" aca="1" ref="AY58" ca="1">IFERROR(_xlfn.XLOOKUP(TRIM($E58),TRIM('Año 2026'!$E$3:$E$66),'Año 2026'!$Z$3:$Z$66),"")</f>
        <v/>
      </c>
      <c r="AZ58" s="41" t="str" cm="1">
        <f t="array" aca="1" ref="AZ58" ca="1">IFERROR(_xlfn.XLOOKUP(TRIM($E58),TRIM('Año 2026'!$E$3:$E$66),'Año 2026'!$AA$3:$AA$66),"")</f>
        <v/>
      </c>
      <c r="BA58" s="41" t="str" cm="1">
        <f t="array" aca="1" ref="BA58" ca="1">IFERROR(_xlfn.XLOOKUP(TRIM($E58),TRIM('Año 2026'!$E$3:$E$66),'Año 2026'!$AB$3:$AB$66),"")</f>
        <v/>
      </c>
      <c r="BB58" s="41" t="str" cm="1">
        <f t="array" ref="BB58">IFERROR(_xlfn.XLOOKUP(TRIM($E58),TRIM('Año 2026'!$E$3:$E$66),'Año 2026'!$AC$3:$AC$66),"")</f>
        <v>Entregado</v>
      </c>
      <c r="BC58" s="41" t="str" cm="1">
        <f t="array" ref="BC58">IFERROR(_xlfn.XLOOKUP(TRIM($E58),TRIM('Año 2026'!$E$3:$E$66),'Año 2026'!$AD$3:$AD$66),"")</f>
        <v xml:space="preserve">Falta descargar inf. de enlaces consignados en informes </v>
      </c>
    </row>
    <row r="59" spans="1:55" s="41" customFormat="1" ht="69.75" customHeight="1" x14ac:dyDescent="0.25">
      <c r="A59" s="48">
        <v>58</v>
      </c>
      <c r="B59" s="51">
        <v>2025</v>
      </c>
      <c r="C59" s="51" t="s">
        <v>69</v>
      </c>
      <c r="D59" s="51" t="s">
        <v>284</v>
      </c>
      <c r="E59" s="51" t="s">
        <v>199</v>
      </c>
      <c r="F59" s="53" t="s">
        <v>269</v>
      </c>
      <c r="G59" s="51" t="s">
        <v>200</v>
      </c>
      <c r="H59" s="108">
        <v>23</v>
      </c>
      <c r="I59" s="51" t="s">
        <v>295</v>
      </c>
      <c r="J59" s="51" t="s">
        <v>550</v>
      </c>
      <c r="K59" s="51" t="s">
        <v>385</v>
      </c>
      <c r="L59" s="51" t="s">
        <v>385</v>
      </c>
      <c r="M59" s="51" t="s">
        <v>384</v>
      </c>
      <c r="N59" s="51" t="s">
        <v>549</v>
      </c>
      <c r="O59" s="51" t="s">
        <v>798</v>
      </c>
      <c r="P59" s="51" t="s">
        <v>360</v>
      </c>
      <c r="Q59" s="51" t="s">
        <v>383</v>
      </c>
      <c r="R59" s="55" t="s">
        <v>551</v>
      </c>
      <c r="S59" s="51" t="s">
        <v>359</v>
      </c>
      <c r="T59" s="50">
        <v>1</v>
      </c>
      <c r="U59" s="48" t="s">
        <v>482</v>
      </c>
      <c r="V59" s="47">
        <v>45828</v>
      </c>
      <c r="W59" s="45" t="s">
        <v>548</v>
      </c>
      <c r="X59" s="45"/>
      <c r="Y59" s="52" t="s">
        <v>388</v>
      </c>
      <c r="Z59" s="52"/>
      <c r="AA59" s="47"/>
      <c r="AB59" s="48" t="s">
        <v>317</v>
      </c>
      <c r="AC59" s="47"/>
      <c r="AD59" s="46" t="s">
        <v>309</v>
      </c>
      <c r="AE59" s="48" t="s">
        <v>308</v>
      </c>
      <c r="AF59" s="41" cm="1">
        <f t="array" ref="AF59">IFERROR(_xlfn.XLOOKUP(TRIM($E59),TRIM('Año 2026'!$E$3:$E$66),'Año 2026'!$G$3:$G$66),"")</f>
        <v>0</v>
      </c>
      <c r="AG59" s="41" cm="1">
        <f t="array" ref="AG59">IFERROR(_xlfn.XLOOKUP(TRIM($E59),TRIM('Año 2026'!$E$3:$E$66),'Año 2026'!$H$3:$H$66),"")</f>
        <v>0</v>
      </c>
      <c r="AH59" s="41" cm="1">
        <f t="array" ref="AH59">IFERROR(_xlfn.XLOOKUP(TRIM($E59),TRIM('Año 2026'!$E$3:$E$66),'Año 2026'!$I$3:$I$66),"")</f>
        <v>0</v>
      </c>
      <c r="AI59" s="41" cm="1">
        <f t="array" ref="AI59">IFERROR(_xlfn.XLOOKUP(TRIM($E59),TRIM('Año 2026'!$E$3:$E$66),'Año 2026'!$J$3:$J$66),"")</f>
        <v>0</v>
      </c>
      <c r="AJ59" s="41" cm="1">
        <f t="array" ref="AJ59">IFERROR(_xlfn.XLOOKUP(TRIM($E59),TRIM('Año 2026'!$E$3:$E$66),'Año 2026'!$K$3:$K$66),"")</f>
        <v>0</v>
      </c>
      <c r="AK59" s="41" cm="1">
        <f t="array" ref="AK59">IFERROR(_xlfn.XLOOKUP(TRIM($E59),TRIM('Año 2026'!$E$3:$E$66),'Año 2026'!$L$3:$L$66),"")</f>
        <v>0</v>
      </c>
      <c r="AL59" s="41" cm="1">
        <f t="array" ref="AL59">IFERROR(_xlfn.XLOOKUP(TRIM($E59),TRIM('Año 2026'!$E$3:$E$66),'Año 2026'!$M$3:$M$66),"")</f>
        <v>0</v>
      </c>
      <c r="AM59" s="41" cm="1">
        <f t="array" ref="AM59">IFERROR(_xlfn.XLOOKUP(TRIM($E59),TRIM('Año 2026'!$E$3:$E$66),'Año 2026'!$N$3:$N$66),"")</f>
        <v>0</v>
      </c>
      <c r="AN59" s="41" cm="1">
        <f t="array" ref="AN59">IFERROR(_xlfn.XLOOKUP(TRIM($E59),TRIM('Año 2026'!$E$3:$E$66),'Año 2026'!$O$3:$O$66),"")</f>
        <v>0</v>
      </c>
      <c r="AO59" s="41" cm="1">
        <f t="array" ref="AO59">IFERROR(_xlfn.XLOOKUP(TRIM($E59),TRIM('Año 2026'!$E$3:$E$66),'Año 2026'!$P$3:$P$66),"")</f>
        <v>0</v>
      </c>
      <c r="AP59" s="41" cm="1">
        <f t="array" ref="AP59">IFERROR(_xlfn.XLOOKUP(TRIM($E59),TRIM('Año 2026'!$E$3:$E$66),'Año 2026'!$Q$3:$Q$66),"")</f>
        <v>0</v>
      </c>
      <c r="AQ59" s="41" cm="1">
        <f t="array" ref="AQ59">IFERROR(_xlfn.XLOOKUP(TRIM($E59),TRIM('Año 2026'!$E$3:$E$66),'Año 2026'!$R$3:$R$66),"")</f>
        <v>0</v>
      </c>
      <c r="AR59" s="41" cm="1">
        <f t="array" ref="AR59">IFERROR(_xlfn.XLOOKUP(TRIM($E59),TRIM('Año 2026'!$E$3:$E$66),'Año 2026'!$S$3:$S$66),"")</f>
        <v>0</v>
      </c>
      <c r="AS59" s="41" cm="1">
        <f t="array" ref="AS59">IFERROR(_xlfn.XLOOKUP(TRIM($E59),TRIM('Año 2026'!$E$3:$E$66),'Año 2026'!$T$3:$T$66),"")</f>
        <v>0</v>
      </c>
      <c r="AT59" s="41" cm="1">
        <f t="array" ref="AT59">IFERROR(_xlfn.XLOOKUP(TRIM($E59),TRIM('Año 2026'!$E$3:$E$66),'Año 2026'!$U$3:$U$66),"")</f>
        <v>0</v>
      </c>
      <c r="AU59" s="41" cm="1">
        <f t="array" ref="AU59">IFERROR(_xlfn.XLOOKUP(TRIM($E59),TRIM('Año 2026'!$E$3:$E$66),'Año 2026'!$V$3:$V$66),"")</f>
        <v>0</v>
      </c>
      <c r="AV59" s="41" cm="1">
        <f t="array" ref="AV59">IFERROR(_xlfn.XLOOKUP(TRIM($E59),TRIM('Año 2026'!$E$3:$E$66),'Año 2026'!$W$3:$W$66),"")</f>
        <v>0</v>
      </c>
      <c r="AW59" s="41" cm="1">
        <f t="array" ref="AW59">IFERROR(_xlfn.XLOOKUP(TRIM($E59),TRIM('Año 2026'!$E$3:$E$66),'Año 2026'!$X$3:$X$66),"")</f>
        <v>0</v>
      </c>
      <c r="AX59" s="41" cm="1">
        <f t="array" ref="AX59">IFERROR(_xlfn.XLOOKUP(TRIM($E59),TRIM('Año 2026'!$E$3:$E$66),'Año 2026'!$Y$3:$Y$66),"")</f>
        <v>0</v>
      </c>
      <c r="AY59" s="41" cm="1">
        <f t="array" ref="AY59">IFERROR(_xlfn.XLOOKUP(TRIM($E59),TRIM('Año 2026'!$E$3:$E$66),'Año 2026'!$Z$3:$Z$66),"")</f>
        <v>0</v>
      </c>
      <c r="AZ59" s="41" cm="1">
        <f t="array" ref="AZ59">IFERROR(_xlfn.XLOOKUP(TRIM($E59),TRIM('Año 2026'!$E$3:$E$66),'Año 2026'!$AA$3:$AA$66),"")</f>
        <v>0</v>
      </c>
      <c r="BA59" s="41" cm="1">
        <f t="array" ref="BA59">IFERROR(_xlfn.XLOOKUP(TRIM($E59),TRIM('Año 2026'!$E$3:$E$66),'Año 2026'!$AB$3:$AB$66),"")</f>
        <v>0</v>
      </c>
      <c r="BB59" s="41" cm="1">
        <f t="array" ref="BB59">IFERROR(_xlfn.XLOOKUP(TRIM($E59),TRIM('Año 2026'!$E$3:$E$66),'Año 2026'!$AC$3:$AC$66),"")</f>
        <v>0</v>
      </c>
      <c r="BC59" s="41" cm="1">
        <f t="array" ref="BC59">IFERROR(_xlfn.XLOOKUP(TRIM($E59),TRIM('Año 2026'!$E$3:$E$66),'Año 2026'!$AD$3:$AD$66),"")</f>
        <v>0</v>
      </c>
    </row>
    <row r="60" spans="1:55" s="41" customFormat="1" ht="75" customHeight="1" x14ac:dyDescent="0.25">
      <c r="A60" s="48">
        <v>59</v>
      </c>
      <c r="B60" s="51">
        <v>2025</v>
      </c>
      <c r="C60" s="51" t="s">
        <v>277</v>
      </c>
      <c r="D60" s="51" t="s">
        <v>353</v>
      </c>
      <c r="E60" s="54" t="s">
        <v>83</v>
      </c>
      <c r="F60" s="53" t="s">
        <v>269</v>
      </c>
      <c r="G60" s="51"/>
      <c r="H60" s="108">
        <v>38</v>
      </c>
      <c r="I60" s="51" t="s">
        <v>295</v>
      </c>
      <c r="J60" s="51" t="s">
        <v>3216</v>
      </c>
      <c r="K60" s="51" t="s">
        <v>385</v>
      </c>
      <c r="L60" s="51" t="s">
        <v>385</v>
      </c>
      <c r="M60" s="51" t="s">
        <v>453</v>
      </c>
      <c r="N60" s="51" t="s">
        <v>3382</v>
      </c>
      <c r="O60" s="51" t="s">
        <v>798</v>
      </c>
      <c r="P60" s="51" t="s">
        <v>360</v>
      </c>
      <c r="Q60" s="51" t="s">
        <v>452</v>
      </c>
      <c r="R60" s="55" t="s">
        <v>3335</v>
      </c>
      <c r="S60" s="51" t="s">
        <v>359</v>
      </c>
      <c r="T60" s="50">
        <v>1</v>
      </c>
      <c r="U60" s="48" t="s">
        <v>451</v>
      </c>
      <c r="V60" s="47">
        <v>45709</v>
      </c>
      <c r="W60" s="45" t="s">
        <v>450</v>
      </c>
      <c r="X60" s="45"/>
      <c r="Y60" s="56" t="s">
        <v>3336</v>
      </c>
      <c r="Z60" s="49" t="s">
        <v>264</v>
      </c>
      <c r="AA60" s="47">
        <v>46196</v>
      </c>
      <c r="AB60" s="48" t="str">
        <f ca="1">IF(AA60&lt;TODAY(),"VENCIDO","POR VENCER")</f>
        <v>POR VENCER</v>
      </c>
      <c r="AC60" s="47">
        <v>46203</v>
      </c>
      <c r="AD60" s="46" t="s">
        <v>309</v>
      </c>
      <c r="AE60" s="48" t="s">
        <v>316</v>
      </c>
      <c r="AF60" s="41" t="str" cm="1">
        <f t="array" ref="AF60">IFERROR(_xlfn.XLOOKUP(TRIM($E60),TRIM('Año 2026'!$E$3:$E$66),'Año 2026'!$G$3:$G$66),"")</f>
        <v>Oficio N° 00453-2025-SUNEDU-DS-DIRESESU-UVE</v>
      </c>
      <c r="AG60" s="41" cm="1">
        <f t="array" ref="AG60">IFERROR(_xlfn.XLOOKUP(TRIM($E60),TRIM('Año 2026'!$E$3:$E$66),'Año 2026'!$H$3:$H$66),"")</f>
        <v>45702</v>
      </c>
      <c r="AH60" s="41" cm="1">
        <f t="array" ref="AH60">IFERROR(_xlfn.XLOOKUP(TRIM($E60),TRIM('Año 2026'!$E$3:$E$66),'Año 2026'!$I$3:$I$66),"")</f>
        <v>2</v>
      </c>
      <c r="AI60" s="41" cm="1">
        <f t="array" ref="AI60">IFERROR(_xlfn.XLOOKUP(TRIM($E60),TRIM('Año 2026'!$E$3:$E$66),'Año 2026'!$J$3:$J$66),"")</f>
        <v>45706</v>
      </c>
      <c r="AJ60" s="41" cm="1">
        <f t="array" aca="1" ref="AJ60" ca="1">IFERROR(_xlfn.XLOOKUP(TRIM($E60),TRIM('Año 2026'!$E$3:$E$66),'Año 2026'!$K$3:$K$66),"")</f>
        <v>-486</v>
      </c>
      <c r="AK60" s="41" t="str" cm="1">
        <f t="array" aca="1" ref="AK60" ca="1">IFERROR(_xlfn.XLOOKUP(TRIM($E60),TRIM('Año 2026'!$E$3:$E$66),'Año 2026'!$L$3:$L$66),"")</f>
        <v>CONCLUIDO</v>
      </c>
      <c r="AL60" s="41" t="str" cm="1">
        <f t="array" aca="1" ref="AL60" ca="1">IFERROR(_xlfn.XLOOKUP(TRIM($E60),TRIM('Año 2026'!$E$3:$E$66),'Año 2026'!$M$3:$M$66),"")</f>
        <v>CONCLUIDO</v>
      </c>
      <c r="AM60" s="41" t="str" cm="1">
        <f t="array" ref="AM60">IFERROR(_xlfn.XLOOKUP(TRIM($E60),TRIM('Año 2026'!$E$3:$E$66),'Año 2026'!$N$3:$N$66),"")</f>
        <v>Entregado</v>
      </c>
      <c r="AN60" s="41" cm="1">
        <f t="array" ref="AN60">IFERROR(_xlfn.XLOOKUP(TRIM($E60),TRIM('Año 2026'!$E$3:$E$66),'Año 2026'!$O$3:$O$66),"")</f>
        <v>0</v>
      </c>
      <c r="AO60" s="41" cm="1">
        <f t="array" ref="AO60">IFERROR(_xlfn.XLOOKUP(TRIM($E60),TRIM('Año 2026'!$E$3:$E$66),'Año 2026'!$P$3:$P$66),"")</f>
        <v>0</v>
      </c>
      <c r="AP60" s="41" cm="1">
        <f t="array" ref="AP60">IFERROR(_xlfn.XLOOKUP(TRIM($E60),TRIM('Año 2026'!$E$3:$E$66),'Año 2026'!$Q$3:$Q$66),"")</f>
        <v>0</v>
      </c>
      <c r="AQ60" s="41" cm="1">
        <f t="array" ref="AQ60">IFERROR(_xlfn.XLOOKUP(TRIM($E60),TRIM('Año 2026'!$E$3:$E$66),'Año 2026'!$R$3:$R$66),"")</f>
        <v>0</v>
      </c>
      <c r="AR60" s="41" cm="1">
        <f t="array" ref="AR60">IFERROR(_xlfn.XLOOKUP(TRIM($E60),TRIM('Año 2026'!$E$3:$E$66),'Año 2026'!$S$3:$S$66),"")</f>
        <v>0</v>
      </c>
      <c r="AS60" s="41" cm="1">
        <f t="array" ref="AS60">IFERROR(_xlfn.XLOOKUP(TRIM($E60),TRIM('Año 2026'!$E$3:$E$66),'Año 2026'!$T$3:$T$66),"")</f>
        <v>0</v>
      </c>
      <c r="AT60" s="41" cm="1">
        <f t="array" ref="AT60">IFERROR(_xlfn.XLOOKUP(TRIM($E60),TRIM('Año 2026'!$E$3:$E$66),'Año 2026'!$U$3:$U$66),"")</f>
        <v>0</v>
      </c>
      <c r="AU60" s="41" cm="1">
        <f t="array" ref="AU60">IFERROR(_xlfn.XLOOKUP(TRIM($E60),TRIM('Año 2026'!$E$3:$E$66),'Año 2026'!$V$3:$V$66),"")</f>
        <v>0</v>
      </c>
      <c r="AV60" s="41" cm="1">
        <f t="array" ref="AV60">IFERROR(_xlfn.XLOOKUP(TRIM($E60),TRIM('Año 2026'!$E$3:$E$66),'Año 2026'!$W$3:$W$66),"")</f>
        <v>0</v>
      </c>
      <c r="AW60" s="41" cm="1">
        <f t="array" ref="AW60">IFERROR(_xlfn.XLOOKUP(TRIM($E60),TRIM('Año 2026'!$E$3:$E$66),'Año 2026'!$X$3:$X$66),"")</f>
        <v>0</v>
      </c>
      <c r="AX60" s="41" cm="1">
        <f t="array" ref="AX60">IFERROR(_xlfn.XLOOKUP(TRIM($E60),TRIM('Año 2026'!$E$3:$E$66),'Año 2026'!$Y$3:$Y$66),"")</f>
        <v>0</v>
      </c>
      <c r="AY60" s="41" cm="1">
        <f t="array" aca="1" ref="AY60" ca="1">IFERROR(_xlfn.XLOOKUP(TRIM($E60),TRIM('Año 2026'!$E$3:$E$66),'Año 2026'!$Z$3:$Z$66),"")</f>
        <v>-46192</v>
      </c>
      <c r="AZ60" s="41" t="str" cm="1">
        <f t="array" aca="1" ref="AZ60" ca="1">IFERROR(_xlfn.XLOOKUP(TRIM($E60),TRIM('Año 2026'!$E$3:$E$66),'Año 2026'!$AA$3:$AA$66),"")</f>
        <v>🚨 VENCIDO</v>
      </c>
      <c r="BA60" s="41" t="str" cm="1">
        <f t="array" aca="1" ref="BA60" ca="1">IFERROR(_xlfn.XLOOKUP(TRIM($E60),TRIM('Año 2026'!$E$3:$E$66),'Año 2026'!$AB$3:$AB$66),"")</f>
        <v>❌ Vencido por 46192 días</v>
      </c>
      <c r="BB60" s="41" cm="1">
        <f t="array" ref="BB60">IFERROR(_xlfn.XLOOKUP(TRIM($E60),TRIM('Año 2026'!$E$3:$E$66),'Año 2026'!$AC$3:$AC$66),"")</f>
        <v>0</v>
      </c>
      <c r="BC60" s="41" cm="1">
        <f t="array" ref="BC60">IFERROR(_xlfn.XLOOKUP(TRIM($E60),TRIM('Año 2026'!$E$3:$E$66),'Año 2026'!$AD$3:$AD$66),"")</f>
        <v>0</v>
      </c>
    </row>
    <row r="61" spans="1:55" s="41" customFormat="1" ht="84" customHeight="1" x14ac:dyDescent="0.25">
      <c r="A61" s="48">
        <v>60</v>
      </c>
      <c r="B61" s="51">
        <v>2025</v>
      </c>
      <c r="C61" s="51" t="s">
        <v>69</v>
      </c>
      <c r="D61" s="51" t="s">
        <v>284</v>
      </c>
      <c r="E61" s="51" t="s">
        <v>207</v>
      </c>
      <c r="F61" s="53" t="s">
        <v>269</v>
      </c>
      <c r="G61" s="51" t="s">
        <v>208</v>
      </c>
      <c r="H61" s="108">
        <v>35</v>
      </c>
      <c r="I61" s="48" t="s">
        <v>295</v>
      </c>
      <c r="J61" s="51" t="s">
        <v>521</v>
      </c>
      <c r="K61" s="51" t="s">
        <v>385</v>
      </c>
      <c r="L61" s="51" t="s">
        <v>385</v>
      </c>
      <c r="M61" s="51" t="s">
        <v>521</v>
      </c>
      <c r="N61" s="51" t="s">
        <v>521</v>
      </c>
      <c r="O61" s="51" t="s">
        <v>798</v>
      </c>
      <c r="P61" s="51" t="s">
        <v>360</v>
      </c>
      <c r="Q61" s="51" t="s">
        <v>383</v>
      </c>
      <c r="R61" s="75" t="s">
        <v>522</v>
      </c>
      <c r="S61" s="51" t="s">
        <v>372</v>
      </c>
      <c r="T61" s="50"/>
      <c r="U61" s="48" t="s">
        <v>482</v>
      </c>
      <c r="V61" s="47">
        <v>45904</v>
      </c>
      <c r="W61" s="45" t="s">
        <v>498</v>
      </c>
      <c r="X61" s="45"/>
      <c r="Y61" s="62" t="s">
        <v>3337</v>
      </c>
      <c r="Z61" s="62" t="s">
        <v>264</v>
      </c>
      <c r="AA61" s="47">
        <v>46255</v>
      </c>
      <c r="AB61" s="48" t="str">
        <f ca="1">IF(AA61&lt;TODAY(),"VENCIDO","POR VENCER")</f>
        <v>POR VENCER</v>
      </c>
      <c r="AC61" s="47">
        <v>46262</v>
      </c>
      <c r="AD61" s="46" t="s">
        <v>309</v>
      </c>
      <c r="AE61" s="48" t="s">
        <v>308</v>
      </c>
      <c r="AF61" s="41" t="str" cm="1">
        <f t="array" ref="AF61">IFERROR(_xlfn.XLOOKUP(TRIM($E61),TRIM('Año 2026'!$E$3:$E$66),'Año 2026'!$G$3:$G$66),"")</f>
        <v>Oficio N° 00814-2026-SUNEDU-DS-DIRESESU-UVE (06.03.26)</v>
      </c>
      <c r="AG61" s="41" cm="1">
        <f t="array" ref="AG61">IFERROR(_xlfn.XLOOKUP(TRIM($E61),TRIM('Año 2026'!$E$3:$E$66),'Año 2026'!$H$3:$H$66),"")</f>
        <v>46179</v>
      </c>
      <c r="AH61" s="41" cm="1">
        <f t="array" ref="AH61">IFERROR(_xlfn.XLOOKUP(TRIM($E61),TRIM('Año 2026'!$E$3:$E$66),'Año 2026'!$I$3:$I$66),"")</f>
        <v>2</v>
      </c>
      <c r="AI61" s="41" cm="1">
        <f t="array" ref="AI61">IFERROR(_xlfn.XLOOKUP(TRIM($E61),TRIM('Año 2026'!$E$3:$E$66),'Año 2026'!$J$3:$J$66),"")</f>
        <v>46182</v>
      </c>
      <c r="AJ61" s="41" cm="1">
        <f t="array" aca="1" ref="AJ61" ca="1">IFERROR(_xlfn.XLOOKUP(TRIM($E61),TRIM('Año 2026'!$E$3:$E$66),'Año 2026'!$K$3:$K$66),"")</f>
        <v>-10</v>
      </c>
      <c r="AK61" s="41" t="str" cm="1">
        <f t="array" aca="1" ref="AK61" ca="1">IFERROR(_xlfn.XLOOKUP(TRIM($E61),TRIM('Año 2026'!$E$3:$E$66),'Año 2026'!$L$3:$L$66),"")</f>
        <v>CONCLUIDO</v>
      </c>
      <c r="AL61" s="41" t="str" cm="1">
        <f t="array" aca="1" ref="AL61" ca="1">IFERROR(_xlfn.XLOOKUP(TRIM($E61),TRIM('Año 2026'!$E$3:$E$66),'Año 2026'!$M$3:$M$66),"")</f>
        <v>CONCLUIDO</v>
      </c>
      <c r="AM61" s="41" t="str" cm="1">
        <f t="array" ref="AM61">IFERROR(_xlfn.XLOOKUP(TRIM($E61),TRIM('Año 2026'!$E$3:$E$66),'Año 2026'!$N$3:$N$66),"")</f>
        <v>Entregado</v>
      </c>
      <c r="AN61" s="41" cm="1">
        <f t="array" ref="AN61">IFERROR(_xlfn.XLOOKUP(TRIM($E61),TRIM('Año 2026'!$E$3:$E$66),'Año 2026'!$O$3:$O$66),"")</f>
        <v>0</v>
      </c>
      <c r="AO61" s="41" t="str" cm="1">
        <f t="array" ref="AO61">IFERROR(_xlfn.XLOOKUP(TRIM($E61),TRIM('Año 2026'!$E$3:$E$66),'Año 2026'!$P$3:$P$66),"")</f>
        <v>Reiterativo</v>
      </c>
      <c r="AP61" s="41" cm="1">
        <f t="array" ref="AP61">IFERROR(_xlfn.XLOOKUP(TRIM($E61),TRIM('Año 2026'!$E$3:$E$66),'Año 2026'!$Q$3:$Q$66),"")</f>
        <v>0</v>
      </c>
      <c r="AQ61" s="41" cm="1">
        <f t="array" ref="AQ61">IFERROR(_xlfn.XLOOKUP(TRIM($E61),TRIM('Año 2026'!$E$3:$E$66),'Año 2026'!$R$3:$R$66),"")</f>
        <v>0</v>
      </c>
      <c r="AR61" s="41" cm="1">
        <f t="array" ref="AR61">IFERROR(_xlfn.XLOOKUP(TRIM($E61),TRIM('Año 2026'!$E$3:$E$66),'Año 2026'!$S$3:$S$66),"")</f>
        <v>0</v>
      </c>
      <c r="AS61" s="41" cm="1">
        <f t="array" ref="AS61">IFERROR(_xlfn.XLOOKUP(TRIM($E61),TRIM('Año 2026'!$E$3:$E$66),'Año 2026'!$T$3:$T$66),"")</f>
        <v>0</v>
      </c>
      <c r="AT61" s="41" cm="1">
        <f t="array" ref="AT61">IFERROR(_xlfn.XLOOKUP(TRIM($E61),TRIM('Año 2026'!$E$3:$E$66),'Año 2026'!$U$3:$U$66),"")</f>
        <v>0</v>
      </c>
      <c r="AU61" s="41" t="str" cm="1">
        <f t="array" ref="AU61">IFERROR(_xlfn.XLOOKUP(TRIM($E61),TRIM('Año 2026'!$E$3:$E$66),'Año 2026'!$V$3:$V$66),"")</f>
        <v xml:space="preserve"> Oficio N° 02095-2026-SUNEDU-DS-DIRESESU-UVE </v>
      </c>
      <c r="AV61" s="41" cm="1">
        <f t="array" ref="AV61">IFERROR(_xlfn.XLOOKUP(TRIM($E61),TRIM('Año 2026'!$E$3:$E$66),'Año 2026'!$W$3:$W$66),"")</f>
        <v>46148</v>
      </c>
      <c r="AW61" s="41" cm="1">
        <f t="array" ref="AW61">IFERROR(_xlfn.XLOOKUP(TRIM($E61),TRIM('Año 2026'!$E$3:$E$66),'Año 2026'!$X$3:$X$66),"")</f>
        <v>3</v>
      </c>
      <c r="AX61" s="41" t="str" cm="1">
        <f t="array" ref="AX61">IFERROR(_xlfn.XLOOKUP(TRIM($E61),TRIM('Año 2026'!$E$3:$E$66),'Año 2026'!$Y$3:$Y$66),"")</f>
        <v/>
      </c>
      <c r="AY61" s="41" t="str" cm="1">
        <f t="array" aca="1" ref="AY61" ca="1">IFERROR(_xlfn.XLOOKUP(TRIM($E61),TRIM('Año 2026'!$E$3:$E$66),'Año 2026'!$Z$3:$Z$66),"")</f>
        <v/>
      </c>
      <c r="AZ61" s="41" t="str" cm="1">
        <f t="array" aca="1" ref="AZ61" ca="1">IFERROR(_xlfn.XLOOKUP(TRIM($E61),TRIM('Año 2026'!$E$3:$E$66),'Año 2026'!$AA$3:$AA$66),"")</f>
        <v/>
      </c>
      <c r="BA61" s="41" t="str" cm="1">
        <f t="array" aca="1" ref="BA61" ca="1">IFERROR(_xlfn.XLOOKUP(TRIM($E61),TRIM('Año 2026'!$E$3:$E$66),'Año 2026'!$AB$3:$AB$66),"")</f>
        <v/>
      </c>
      <c r="BB61" s="41" cm="1">
        <f t="array" ref="BB61">IFERROR(_xlfn.XLOOKUP(TRIM($E61),TRIM('Año 2026'!$E$3:$E$66),'Año 2026'!$AC$3:$AC$66),"")</f>
        <v>0</v>
      </c>
      <c r="BC61" s="41" cm="1">
        <f t="array" ref="BC61">IFERROR(_xlfn.XLOOKUP(TRIM($E61),TRIM('Año 2026'!$E$3:$E$66),'Año 2026'!$AD$3:$AD$66),"")</f>
        <v>0</v>
      </c>
    </row>
    <row r="62" spans="1:55" s="41" customFormat="1" ht="83.25" customHeight="1" x14ac:dyDescent="0.25">
      <c r="A62" s="48">
        <v>61</v>
      </c>
      <c r="B62" s="51">
        <v>2025</v>
      </c>
      <c r="C62" s="51" t="s">
        <v>69</v>
      </c>
      <c r="D62" s="51" t="s">
        <v>284</v>
      </c>
      <c r="E62" s="51" t="s">
        <v>214</v>
      </c>
      <c r="F62" s="53" t="s">
        <v>269</v>
      </c>
      <c r="G62" s="51" t="s">
        <v>215</v>
      </c>
      <c r="H62" s="108">
        <v>35</v>
      </c>
      <c r="I62" s="48" t="s">
        <v>295</v>
      </c>
      <c r="J62" s="51" t="s">
        <v>500</v>
      </c>
      <c r="K62" s="51" t="s">
        <v>385</v>
      </c>
      <c r="L62" s="51" t="s">
        <v>385</v>
      </c>
      <c r="M62" s="51" t="s">
        <v>428</v>
      </c>
      <c r="N62" s="51" t="s">
        <v>3338</v>
      </c>
      <c r="O62" s="51" t="s">
        <v>798</v>
      </c>
      <c r="P62" s="51" t="s">
        <v>360</v>
      </c>
      <c r="Q62" s="51" t="s">
        <v>499</v>
      </c>
      <c r="R62" s="75" t="s">
        <v>501</v>
      </c>
      <c r="S62" s="51" t="s">
        <v>359</v>
      </c>
      <c r="T62" s="50"/>
      <c r="U62" s="48" t="s">
        <v>482</v>
      </c>
      <c r="V62" s="47">
        <v>45929</v>
      </c>
      <c r="W62" s="45" t="s">
        <v>498</v>
      </c>
      <c r="X62" s="45"/>
      <c r="Y62" s="52" t="s">
        <v>388</v>
      </c>
      <c r="Z62" s="52"/>
      <c r="AA62" s="47"/>
      <c r="AB62" s="48" t="s">
        <v>317</v>
      </c>
      <c r="AC62" s="47"/>
      <c r="AD62" s="46" t="s">
        <v>309</v>
      </c>
      <c r="AE62" s="48" t="s">
        <v>308</v>
      </c>
      <c r="AF62" s="41" t="str" cm="1">
        <f t="array" ref="AF62">IFERROR(_xlfn.XLOOKUP(TRIM($E62),TRIM('Año 2026'!$E$3:$E$66),'Año 2026'!$G$3:$G$66),"")</f>
        <v>Oficio N° 00814-2026-SUNEDU-DS-DIRESESU-UVE</v>
      </c>
      <c r="AG62" s="41" cm="1">
        <f t="array" ref="AG62">IFERROR(_xlfn.XLOOKUP(TRIM($E62),TRIM('Año 2026'!$E$3:$E$66),'Año 2026'!$H$3:$H$66),"")</f>
        <v>46179</v>
      </c>
      <c r="AH62" s="41" cm="1">
        <f t="array" ref="AH62">IFERROR(_xlfn.XLOOKUP(TRIM($E62),TRIM('Año 2026'!$E$3:$E$66),'Año 2026'!$I$3:$I$66),"")</f>
        <v>2</v>
      </c>
      <c r="AI62" s="41" cm="1">
        <f t="array" ref="AI62">IFERROR(_xlfn.XLOOKUP(TRIM($E62),TRIM('Año 2026'!$E$3:$E$66),'Año 2026'!$J$3:$J$66),"")</f>
        <v>46182</v>
      </c>
      <c r="AJ62" s="41" cm="1">
        <f t="array" aca="1" ref="AJ62" ca="1">IFERROR(_xlfn.XLOOKUP(TRIM($E62),TRIM('Año 2026'!$E$3:$E$66),'Año 2026'!$K$3:$K$66),"")</f>
        <v>-10</v>
      </c>
      <c r="AK62" s="41" t="str" cm="1">
        <f t="array" aca="1" ref="AK62" ca="1">IFERROR(_xlfn.XLOOKUP(TRIM($E62),TRIM('Año 2026'!$E$3:$E$66),'Año 2026'!$L$3:$L$66),"")</f>
        <v>NUEVA FECHA</v>
      </c>
      <c r="AL62" s="41" t="str" cm="1">
        <f t="array" aca="1" ref="AL62" ca="1">IFERROR(_xlfn.XLOOKUP(TRIM($E62),TRIM('Año 2026'!$E$3:$E$66),'Año 2026'!$M$3:$M$66),"")</f>
        <v>NUEVA FECHA</v>
      </c>
      <c r="AM62" s="41" t="str" cm="1">
        <f t="array" ref="AM62">IFERROR(_xlfn.XLOOKUP(TRIM($E62),TRIM('Año 2026'!$E$3:$E$66),'Año 2026'!$N$3:$N$66),"")</f>
        <v>Ajustes al plazo</v>
      </c>
      <c r="AN62" s="41" cm="1">
        <f t="array" ref="AN62">IFERROR(_xlfn.XLOOKUP(TRIM($E62),TRIM('Año 2026'!$E$3:$E$66),'Año 2026'!$O$3:$O$66),"")</f>
        <v>0</v>
      </c>
      <c r="AO62" s="41" t="str" cm="1">
        <f t="array" ref="AO62">IFERROR(_xlfn.XLOOKUP(TRIM($E62),TRIM('Año 2026'!$E$3:$E$66),'Año 2026'!$P$3:$P$66),"")</f>
        <v>Visita de inspección</v>
      </c>
      <c r="AP62" s="41" cm="1">
        <f t="array" ref="AP62">IFERROR(_xlfn.XLOOKUP(TRIM($E62),TRIM('Año 2026'!$E$3:$E$66),'Año 2026'!$Q$3:$Q$66),"")</f>
        <v>0</v>
      </c>
      <c r="AQ62" s="41" cm="1">
        <f t="array" ref="AQ62">IFERROR(_xlfn.XLOOKUP(TRIM($E62),TRIM('Año 2026'!$E$3:$E$66),'Año 2026'!$R$3:$R$66),"")</f>
        <v>0</v>
      </c>
      <c r="AR62" s="41" cm="1">
        <f t="array" ref="AR62">IFERROR(_xlfn.XLOOKUP(TRIM($E62),TRIM('Año 2026'!$E$3:$E$66),'Año 2026'!$S$3:$S$66),"")</f>
        <v>0</v>
      </c>
      <c r="AS62" s="41" cm="1">
        <f t="array" ref="AS62">IFERROR(_xlfn.XLOOKUP(TRIM($E62),TRIM('Año 2026'!$E$3:$E$66),'Año 2026'!$T$3:$T$66),"")</f>
        <v>0</v>
      </c>
      <c r="AT62" s="41" cm="1">
        <f t="array" ref="AT62">IFERROR(_xlfn.XLOOKUP(TRIM($E62),TRIM('Año 2026'!$E$3:$E$66),'Año 2026'!$U$3:$U$66),"")</f>
        <v>0</v>
      </c>
      <c r="AU62" s="41" cm="1">
        <f t="array" ref="AU62">IFERROR(_xlfn.XLOOKUP(TRIM($E62),TRIM('Año 2026'!$E$3:$E$66),'Año 2026'!$V$3:$V$66),"")</f>
        <v>0</v>
      </c>
      <c r="AV62" s="41" cm="1">
        <f t="array" ref="AV62">IFERROR(_xlfn.XLOOKUP(TRIM($E62),TRIM('Año 2026'!$E$3:$E$66),'Año 2026'!$W$3:$W$66),"")</f>
        <v>0</v>
      </c>
      <c r="AW62" s="41" cm="1">
        <f t="array" ref="AW62">IFERROR(_xlfn.XLOOKUP(TRIM($E62),TRIM('Año 2026'!$E$3:$E$66),'Año 2026'!$X$3:$X$66),"")</f>
        <v>0</v>
      </c>
      <c r="AX62" s="41" cm="1">
        <f t="array" ref="AX62">IFERROR(_xlfn.XLOOKUP(TRIM($E62),TRIM('Año 2026'!$E$3:$E$66),'Año 2026'!$Y$3:$Y$66),"")</f>
        <v>0</v>
      </c>
      <c r="AY62" s="41" cm="1">
        <f t="array" ref="AY62">IFERROR(_xlfn.XLOOKUP(TRIM($E62),TRIM('Año 2026'!$E$3:$E$66),'Año 2026'!$Z$3:$Z$66),"")</f>
        <v>0</v>
      </c>
      <c r="AZ62" s="41" cm="1">
        <f t="array" ref="AZ62">IFERROR(_xlfn.XLOOKUP(TRIM($E62),TRIM('Año 2026'!$E$3:$E$66),'Año 2026'!$AA$3:$AA$66),"")</f>
        <v>0</v>
      </c>
      <c r="BA62" s="41" cm="1">
        <f t="array" ref="BA62">IFERROR(_xlfn.XLOOKUP(TRIM($E62),TRIM('Año 2026'!$E$3:$E$66),'Año 2026'!$AB$3:$AB$66),"")</f>
        <v>0</v>
      </c>
      <c r="BB62" s="41" cm="1">
        <f t="array" ref="BB62">IFERROR(_xlfn.XLOOKUP(TRIM($E62),TRIM('Año 2026'!$E$3:$E$66),'Año 2026'!$AC$3:$AC$66),"")</f>
        <v>0</v>
      </c>
      <c r="BC62" s="41" cm="1">
        <f t="array" ref="BC62">IFERROR(_xlfn.XLOOKUP(TRIM($E62),TRIM('Año 2026'!$E$3:$E$66),'Año 2026'!$AD$3:$AD$66),"")</f>
        <v>0</v>
      </c>
    </row>
    <row r="63" spans="1:55" s="41" customFormat="1" ht="103.5" customHeight="1" x14ac:dyDescent="0.25">
      <c r="A63" s="48">
        <v>62</v>
      </c>
      <c r="B63" s="51">
        <v>2025</v>
      </c>
      <c r="C63" s="51" t="s">
        <v>277</v>
      </c>
      <c r="D63" s="51" t="s">
        <v>353</v>
      </c>
      <c r="E63" s="54" t="s">
        <v>90</v>
      </c>
      <c r="F63" s="53" t="s">
        <v>431</v>
      </c>
      <c r="G63" s="41" t="s">
        <v>91</v>
      </c>
      <c r="H63" s="108">
        <v>35</v>
      </c>
      <c r="I63" s="51" t="s">
        <v>295</v>
      </c>
      <c r="J63" s="51" t="s">
        <v>399</v>
      </c>
      <c r="K63" s="51" t="s">
        <v>385</v>
      </c>
      <c r="L63" s="51" t="s">
        <v>385</v>
      </c>
      <c r="M63" s="51" t="s">
        <v>428</v>
      </c>
      <c r="N63" s="51" t="s">
        <v>429</v>
      </c>
      <c r="O63" s="51" t="s">
        <v>798</v>
      </c>
      <c r="P63" s="51" t="s">
        <v>360</v>
      </c>
      <c r="Q63" s="51">
        <v>30</v>
      </c>
      <c r="R63" s="55" t="s">
        <v>430</v>
      </c>
      <c r="S63" s="51" t="s">
        <v>359</v>
      </c>
      <c r="T63" s="50">
        <v>1</v>
      </c>
      <c r="U63" s="48" t="s">
        <v>427</v>
      </c>
      <c r="V63" s="47">
        <v>45669</v>
      </c>
      <c r="W63" s="45" t="s">
        <v>426</v>
      </c>
      <c r="X63" s="45"/>
      <c r="Y63" s="56" t="s">
        <v>3339</v>
      </c>
      <c r="Z63" s="62" t="s">
        <v>264</v>
      </c>
      <c r="AA63" s="47">
        <v>46160</v>
      </c>
      <c r="AB63" s="48" t="str">
        <f ca="1">IF(AA63&lt;TODAY(),"VENCIDO","POR VENCER")</f>
        <v>VENCIDO</v>
      </c>
      <c r="AC63" s="47">
        <v>46167</v>
      </c>
      <c r="AD63" s="46" t="s">
        <v>333</v>
      </c>
      <c r="AE63" s="48" t="s">
        <v>3340</v>
      </c>
      <c r="AF63" s="41" t="str" cm="1">
        <f t="array" ref="AF63">IFERROR(_xlfn.XLOOKUP(TRIM($E63),TRIM('Año 2026'!$E$3:$E$66),'Año 2026'!$G$3:$G$66),"")</f>
        <v>00899-2025-SUNEDU-DS-DIRESESU-UVE</v>
      </c>
      <c r="AG63" s="41" cm="1">
        <f t="array" ref="AG63">IFERROR(_xlfn.XLOOKUP(TRIM($E63),TRIM('Año 2026'!$E$3:$E$66),'Año 2026'!$H$3:$H$66),"")</f>
        <v>45730</v>
      </c>
      <c r="AH63" s="41" cm="1">
        <f t="array" ref="AH63">IFERROR(_xlfn.XLOOKUP(TRIM($E63),TRIM('Año 2026'!$E$3:$E$66),'Año 2026'!$I$3:$I$66),"")</f>
        <v>10</v>
      </c>
      <c r="AI63" s="41" cm="1">
        <f t="array" ref="AI63">IFERROR(_xlfn.XLOOKUP(TRIM($E63),TRIM('Año 2026'!$E$3:$E$66),'Año 2026'!$J$3:$J$66),"")</f>
        <v>45744</v>
      </c>
      <c r="AJ63" s="41" cm="1">
        <f t="array" aca="1" ref="AJ63" ca="1">IFERROR(_xlfn.XLOOKUP(TRIM($E63),TRIM('Año 2026'!$E$3:$E$66),'Año 2026'!$K$3:$K$66),"")</f>
        <v>-448</v>
      </c>
      <c r="AK63" s="41" t="str" cm="1">
        <f t="array" aca="1" ref="AK63" ca="1">IFERROR(_xlfn.XLOOKUP(TRIM($E63),TRIM('Año 2026'!$E$3:$E$66),'Año 2026'!$L$3:$L$66),"")</f>
        <v>NUEVA FECHA</v>
      </c>
      <c r="AL63" s="41" t="str" cm="1">
        <f t="array" aca="1" ref="AL63" ca="1">IFERROR(_xlfn.XLOOKUP(TRIM($E63),TRIM('Año 2026'!$E$3:$E$66),'Año 2026'!$M$3:$M$66),"")</f>
        <v>NUEVA FECHA</v>
      </c>
      <c r="AM63" s="41" t="str" cm="1">
        <f t="array" ref="AM63">IFERROR(_xlfn.XLOOKUP(TRIM($E63),TRIM('Año 2026'!$E$3:$E$66),'Año 2026'!$N$3:$N$66),"")</f>
        <v>Ajustes al plazo</v>
      </c>
      <c r="AN63" s="41" cm="1">
        <f t="array" ref="AN63">IFERROR(_xlfn.XLOOKUP(TRIM($E63),TRIM('Año 2026'!$E$3:$E$66),'Año 2026'!$O$3:$O$66),"")</f>
        <v>0</v>
      </c>
      <c r="AO63" s="41" t="str" cm="1">
        <f t="array" ref="AO63">IFERROR(_xlfn.XLOOKUP(TRIM($E63),TRIM('Año 2026'!$E$3:$E$66),'Año 2026'!$P$3:$P$66),"")</f>
        <v>Visita de inspección</v>
      </c>
      <c r="AP63" s="41" cm="1">
        <f t="array" ref="AP63">IFERROR(_xlfn.XLOOKUP(TRIM($E63),TRIM('Año 2026'!$E$3:$E$66),'Año 2026'!$Q$3:$Q$66),"")</f>
        <v>0</v>
      </c>
      <c r="AQ63" s="41" cm="1">
        <f t="array" ref="AQ63">IFERROR(_xlfn.XLOOKUP(TRIM($E63),TRIM('Año 2026'!$E$3:$E$66),'Año 2026'!$R$3:$R$66),"")</f>
        <v>0</v>
      </c>
      <c r="AR63" s="41" cm="1">
        <f t="array" ref="AR63">IFERROR(_xlfn.XLOOKUP(TRIM($E63),TRIM('Año 2026'!$E$3:$E$66),'Año 2026'!$S$3:$S$66),"")</f>
        <v>0</v>
      </c>
      <c r="AS63" s="41" cm="1">
        <f t="array" ref="AS63">IFERROR(_xlfn.XLOOKUP(TRIM($E63),TRIM('Año 2026'!$E$3:$E$66),'Año 2026'!$T$3:$T$66),"")</f>
        <v>0</v>
      </c>
      <c r="AT63" s="41" cm="1">
        <f t="array" ref="AT63">IFERROR(_xlfn.XLOOKUP(TRIM($E63),TRIM('Año 2026'!$E$3:$E$66),'Año 2026'!$U$3:$U$66),"")</f>
        <v>0</v>
      </c>
      <c r="AU63" s="41" t="str" cm="1">
        <f t="array" ref="AU63">IFERROR(_xlfn.XLOOKUP(TRIM($E63),TRIM('Año 2026'!$E$3:$E$66),'Año 2026'!$V$3:$V$66),"")</f>
        <v>Acta de supervisión</v>
      </c>
      <c r="AV63" s="41" cm="1">
        <f t="array" ref="AV63">IFERROR(_xlfn.XLOOKUP(TRIM($E63),TRIM('Año 2026'!$E$3:$E$66),'Año 2026'!$W$3:$W$66),"")</f>
        <v>45820</v>
      </c>
      <c r="AW63" s="41" cm="1">
        <f t="array" ref="AW63">IFERROR(_xlfn.XLOOKUP(TRIM($E63),TRIM('Año 2026'!$E$3:$E$66),'Año 2026'!$X$3:$X$66),"")</f>
        <v>0</v>
      </c>
      <c r="AX63" s="41" cm="1">
        <f t="array" ref="AX63">IFERROR(_xlfn.XLOOKUP(TRIM($E63),TRIM('Año 2026'!$E$3:$E$66),'Año 2026'!$Y$3:$Y$66),"")</f>
        <v>45820</v>
      </c>
      <c r="AY63" s="41" cm="1">
        <f t="array" aca="1" ref="AY63" ca="1">IFERROR(_xlfn.XLOOKUP(TRIM($E63),TRIM('Año 2026'!$E$3:$E$66),'Año 2026'!$Z$3:$Z$66),"")</f>
        <v>-372</v>
      </c>
      <c r="AZ63" s="41" t="str" cm="1">
        <f t="array" aca="1" ref="AZ63" ca="1">IFERROR(_xlfn.XLOOKUP(TRIM($E63),TRIM('Año 2026'!$E$3:$E$66),'Año 2026'!$AA$3:$AA$66),"")</f>
        <v>🚨 VENCIDO</v>
      </c>
      <c r="BA63" s="41" t="str" cm="1">
        <f t="array" aca="1" ref="BA63" ca="1">IFERROR(_xlfn.XLOOKUP(TRIM($E63),TRIM('Año 2026'!$E$3:$E$66),'Año 2026'!$AB$3:$AB$66),"")</f>
        <v>❌ Vencido por 372 días</v>
      </c>
      <c r="BB63" s="41" t="str" cm="1">
        <f t="array" ref="BB63">IFERROR(_xlfn.XLOOKUP(TRIM($E63),TRIM('Año 2026'!$E$3:$E$66),'Año 2026'!$AC$3:$AC$66),"")</f>
        <v>Entregado</v>
      </c>
      <c r="BC63" s="41" cm="1">
        <f t="array" ref="BC63">IFERROR(_xlfn.XLOOKUP(TRIM($E63),TRIM('Año 2026'!$E$3:$E$66),'Año 2026'!$AD$3:$AD$66),"")</f>
        <v>0</v>
      </c>
    </row>
    <row r="64" spans="1:55" s="41" customFormat="1" ht="88.5" customHeight="1" x14ac:dyDescent="0.25">
      <c r="A64" s="48">
        <v>63</v>
      </c>
      <c r="B64" s="51">
        <v>2025</v>
      </c>
      <c r="C64" s="51" t="s">
        <v>277</v>
      </c>
      <c r="D64" s="51" t="s">
        <v>353</v>
      </c>
      <c r="E64" s="54" t="s">
        <v>94</v>
      </c>
      <c r="F64" s="53" t="s">
        <v>269</v>
      </c>
      <c r="G64" s="51"/>
      <c r="H64" s="108">
        <v>70</v>
      </c>
      <c r="I64" s="51" t="s">
        <v>295</v>
      </c>
      <c r="J64" s="51" t="s">
        <v>324</v>
      </c>
      <c r="K64" s="51" t="s">
        <v>385</v>
      </c>
      <c r="L64" s="51" t="s">
        <v>385</v>
      </c>
      <c r="M64" s="51" t="s">
        <v>413</v>
      </c>
      <c r="N64" s="51" t="s">
        <v>414</v>
      </c>
      <c r="O64" s="51" t="s">
        <v>798</v>
      </c>
      <c r="P64" s="51" t="s">
        <v>3242</v>
      </c>
      <c r="Q64" s="51"/>
      <c r="R64" s="55" t="s">
        <v>415</v>
      </c>
      <c r="S64" s="51" t="s">
        <v>372</v>
      </c>
      <c r="T64" s="50">
        <v>1</v>
      </c>
      <c r="U64" s="48" t="s">
        <v>411</v>
      </c>
      <c r="V64" s="47">
        <v>45854</v>
      </c>
      <c r="W64" s="45" t="s">
        <v>410</v>
      </c>
      <c r="X64" s="45"/>
      <c r="Y64" s="48" t="s">
        <v>3341</v>
      </c>
      <c r="Z64" s="48"/>
      <c r="AA64" s="47"/>
      <c r="AB64" s="48" t="s">
        <v>317</v>
      </c>
      <c r="AC64" s="47"/>
      <c r="AD64" s="46" t="s">
        <v>309</v>
      </c>
      <c r="AE64" s="48" t="s">
        <v>316</v>
      </c>
      <c r="AF64" s="41" t="str" cm="1">
        <f t="array" ref="AF64">IFERROR(_xlfn.XLOOKUP(TRIM($E64),TRIM('Año 2026'!$E$3:$E$66),'Año 2026'!$G$3:$G$66),"")</f>
        <v>01294-2025-SUNEDU-DS-DIRESESU-UVE</v>
      </c>
      <c r="AG64" s="41" cm="1">
        <f t="array" ref="AG64">IFERROR(_xlfn.XLOOKUP(TRIM($E64),TRIM('Año 2026'!$E$3:$E$66),'Año 2026'!$H$3:$H$66),"")</f>
        <v>45762</v>
      </c>
      <c r="AH64" s="41" cm="1">
        <f t="array" ref="AH64">IFERROR(_xlfn.XLOOKUP(TRIM($E64),TRIM('Año 2026'!$E$3:$E$66),'Año 2026'!$I$3:$I$66),"")</f>
        <v>5</v>
      </c>
      <c r="AI64" s="41" cm="1">
        <f t="array" ref="AI64">IFERROR(_xlfn.XLOOKUP(TRIM($E64),TRIM('Año 2026'!$E$3:$E$66),'Año 2026'!$J$3:$J$66),"")</f>
        <v>45769</v>
      </c>
      <c r="AJ64" s="41" cm="1">
        <f t="array" aca="1" ref="AJ64" ca="1">IFERROR(_xlfn.XLOOKUP(TRIM($E64),TRIM('Año 2026'!$E$3:$E$66),'Año 2026'!$K$3:$K$66),"")</f>
        <v>-423</v>
      </c>
      <c r="AK64" s="41" t="str" cm="1">
        <f t="array" aca="1" ref="AK64" ca="1">IFERROR(_xlfn.XLOOKUP(TRIM($E64),TRIM('Año 2026'!$E$3:$E$66),'Año 2026'!$L$3:$L$66),"")</f>
        <v>NUEVA FECHA</v>
      </c>
      <c r="AL64" s="41" t="str" cm="1">
        <f t="array" aca="1" ref="AL64" ca="1">IFERROR(_xlfn.XLOOKUP(TRIM($E64),TRIM('Año 2026'!$E$3:$E$66),'Año 2026'!$M$3:$M$66),"")</f>
        <v>NUEVA FECHA</v>
      </c>
      <c r="AM64" s="41" t="str" cm="1">
        <f t="array" ref="AM64">IFERROR(_xlfn.XLOOKUP(TRIM($E64),TRIM('Año 2026'!$E$3:$E$66),'Año 2026'!$N$3:$N$66),"")</f>
        <v>Ajustes al plazo</v>
      </c>
      <c r="AN64" s="41" cm="1">
        <f t="array" ref="AN64">IFERROR(_xlfn.XLOOKUP(TRIM($E64),TRIM('Año 2026'!$E$3:$E$66),'Año 2026'!$O$3:$O$66),"")</f>
        <v>0</v>
      </c>
      <c r="AO64" s="41" t="str" cm="1">
        <f t="array" ref="AO64">IFERROR(_xlfn.XLOOKUP(TRIM($E64),TRIM('Año 2026'!$E$3:$E$66),'Año 2026'!$P$3:$P$66),"")</f>
        <v>Visita de inspección</v>
      </c>
      <c r="AP64" s="41" cm="1">
        <f t="array" ref="AP64">IFERROR(_xlfn.XLOOKUP(TRIM($E64),TRIM('Año 2026'!$E$3:$E$66),'Año 2026'!$Q$3:$Q$66),"")</f>
        <v>0</v>
      </c>
      <c r="AQ64" s="41" cm="1">
        <f t="array" ref="AQ64">IFERROR(_xlfn.XLOOKUP(TRIM($E64),TRIM('Año 2026'!$E$3:$E$66),'Año 2026'!$R$3:$R$66),"")</f>
        <v>0</v>
      </c>
      <c r="AR64" s="41" cm="1">
        <f t="array" ref="AR64">IFERROR(_xlfn.XLOOKUP(TRIM($E64),TRIM('Año 2026'!$E$3:$E$66),'Año 2026'!$S$3:$S$66),"")</f>
        <v>0</v>
      </c>
      <c r="AS64" s="41" cm="1">
        <f t="array" ref="AS64">IFERROR(_xlfn.XLOOKUP(TRIM($E64),TRIM('Año 2026'!$E$3:$E$66),'Año 2026'!$T$3:$T$66),"")</f>
        <v>0</v>
      </c>
      <c r="AT64" s="41" cm="1">
        <f t="array" ref="AT64">IFERROR(_xlfn.XLOOKUP(TRIM($E64),TRIM('Año 2026'!$E$3:$E$66),'Año 2026'!$U$3:$U$66),"")</f>
        <v>0</v>
      </c>
      <c r="AU64" s="41" t="str" cm="1">
        <f t="array" ref="AU64">IFERROR(_xlfn.XLOOKUP(TRIM($E64),TRIM('Año 2026'!$E$3:$E$66),'Año 2026'!$V$3:$V$66),"")</f>
        <v>Acta de supervisión</v>
      </c>
      <c r="AV64" s="41" cm="1">
        <f t="array" ref="AV64">IFERROR(_xlfn.XLOOKUP(TRIM($E64),TRIM('Año 2026'!$E$3:$E$66),'Año 2026'!$W$3:$W$66),"")</f>
        <v>45842</v>
      </c>
      <c r="AW64" s="41" cm="1">
        <f t="array" ref="AW64">IFERROR(_xlfn.XLOOKUP(TRIM($E64),TRIM('Año 2026'!$E$3:$E$66),'Año 2026'!$X$3:$X$66),"")</f>
        <v>3</v>
      </c>
      <c r="AX64" s="41" t="str" cm="1">
        <f t="array" ref="AX64">IFERROR(_xlfn.XLOOKUP(TRIM($E64),TRIM('Año 2026'!$E$3:$E$66),'Año 2026'!$Y$3:$Y$66),"")</f>
        <v/>
      </c>
      <c r="AY64" s="41" t="str" cm="1">
        <f t="array" aca="1" ref="AY64" ca="1">IFERROR(_xlfn.XLOOKUP(TRIM($E64),TRIM('Año 2026'!$E$3:$E$66),'Año 2026'!$Z$3:$Z$66),"")</f>
        <v/>
      </c>
      <c r="AZ64" s="41" t="str" cm="1">
        <f t="array" aca="1" ref="AZ64" ca="1">IFERROR(_xlfn.XLOOKUP(TRIM($E64),TRIM('Año 2026'!$E$3:$E$66),'Año 2026'!$AA$3:$AA$66),"")</f>
        <v/>
      </c>
      <c r="BA64" s="41" t="str" cm="1">
        <f t="array" aca="1" ref="BA64" ca="1">IFERROR(_xlfn.XLOOKUP(TRIM($E64),TRIM('Año 2026'!$E$3:$E$66),'Año 2026'!$AB$3:$AB$66),"")</f>
        <v/>
      </c>
      <c r="BB64" s="41" t="str" cm="1">
        <f t="array" ref="BB64">IFERROR(_xlfn.XLOOKUP(TRIM($E64),TRIM('Año 2026'!$E$3:$E$66),'Año 2026'!$AC$3:$AC$66),"")</f>
        <v>Entregado</v>
      </c>
      <c r="BC64" s="41" cm="1">
        <f t="array" ref="BC64">IFERROR(_xlfn.XLOOKUP(TRIM($E64),TRIM('Año 2026'!$E$3:$E$66),'Año 2026'!$AD$3:$AD$66),"")</f>
        <v>0</v>
      </c>
    </row>
    <row r="65" spans="1:55" s="41" customFormat="1" ht="60" customHeight="1" x14ac:dyDescent="0.25">
      <c r="A65" s="48">
        <v>64</v>
      </c>
      <c r="B65" s="51">
        <v>2025</v>
      </c>
      <c r="C65" s="51" t="s">
        <v>69</v>
      </c>
      <c r="D65" s="51" t="s">
        <v>284</v>
      </c>
      <c r="E65" s="51" t="s">
        <v>183</v>
      </c>
      <c r="F65" s="53" t="s">
        <v>269</v>
      </c>
      <c r="G65" s="51" t="s">
        <v>184</v>
      </c>
      <c r="H65" s="108">
        <v>25</v>
      </c>
      <c r="I65" s="72" t="s">
        <v>295</v>
      </c>
      <c r="J65" s="87" t="s">
        <v>3217</v>
      </c>
      <c r="K65" s="71" t="s">
        <v>385</v>
      </c>
      <c r="L65" s="71" t="s">
        <v>385</v>
      </c>
      <c r="M65" s="71" t="s">
        <v>385</v>
      </c>
      <c r="N65" s="91" t="s">
        <v>584</v>
      </c>
      <c r="O65" s="51" t="s">
        <v>798</v>
      </c>
      <c r="P65" s="71" t="s">
        <v>360</v>
      </c>
      <c r="Q65" s="71" t="s">
        <v>472</v>
      </c>
      <c r="R65" s="92" t="s">
        <v>585</v>
      </c>
      <c r="S65" s="51" t="s">
        <v>359</v>
      </c>
      <c r="T65" s="50">
        <v>2</v>
      </c>
      <c r="U65" s="48" t="s">
        <v>482</v>
      </c>
      <c r="V65" s="47">
        <v>45750</v>
      </c>
      <c r="W65" s="90" t="s">
        <v>583</v>
      </c>
      <c r="X65" s="90"/>
      <c r="Y65" s="89" t="s">
        <v>582</v>
      </c>
      <c r="Z65" s="89"/>
      <c r="AA65" s="47"/>
      <c r="AB65" s="48" t="s">
        <v>317</v>
      </c>
      <c r="AC65" s="47"/>
      <c r="AD65" s="46" t="s">
        <v>309</v>
      </c>
      <c r="AE65" s="48" t="s">
        <v>308</v>
      </c>
      <c r="AF65" s="41" cm="1">
        <f t="array" ref="AF65">IFERROR(_xlfn.XLOOKUP(TRIM($E65),TRIM('Año 2026'!$E$3:$E$66),'Año 2026'!$G$3:$G$66),"")</f>
        <v>0</v>
      </c>
      <c r="AG65" s="41" cm="1">
        <f t="array" ref="AG65">IFERROR(_xlfn.XLOOKUP(TRIM($E65),TRIM('Año 2026'!$E$3:$E$66),'Año 2026'!$H$3:$H$66),"")</f>
        <v>0</v>
      </c>
      <c r="AH65" s="41" cm="1">
        <f t="array" ref="AH65">IFERROR(_xlfn.XLOOKUP(TRIM($E65),TRIM('Año 2026'!$E$3:$E$66),'Año 2026'!$I$3:$I$66),"")</f>
        <v>0</v>
      </c>
      <c r="AI65" s="41" cm="1">
        <f t="array" ref="AI65">IFERROR(_xlfn.XLOOKUP(TRIM($E65),TRIM('Año 2026'!$E$3:$E$66),'Año 2026'!$J$3:$J$66),"")</f>
        <v>0</v>
      </c>
      <c r="AJ65" s="41" cm="1">
        <f t="array" ref="AJ65">IFERROR(_xlfn.XLOOKUP(TRIM($E65),TRIM('Año 2026'!$E$3:$E$66),'Año 2026'!$K$3:$K$66),"")</f>
        <v>0</v>
      </c>
      <c r="AK65" s="41" cm="1">
        <f t="array" ref="AK65">IFERROR(_xlfn.XLOOKUP(TRIM($E65),TRIM('Año 2026'!$E$3:$E$66),'Año 2026'!$L$3:$L$66),"")</f>
        <v>0</v>
      </c>
      <c r="AL65" s="41" cm="1">
        <f t="array" ref="AL65">IFERROR(_xlfn.XLOOKUP(TRIM($E65),TRIM('Año 2026'!$E$3:$E$66),'Año 2026'!$M$3:$M$66),"")</f>
        <v>0</v>
      </c>
      <c r="AM65" s="41" cm="1">
        <f t="array" ref="AM65">IFERROR(_xlfn.XLOOKUP(TRIM($E65),TRIM('Año 2026'!$E$3:$E$66),'Año 2026'!$N$3:$N$66),"")</f>
        <v>0</v>
      </c>
      <c r="AN65" s="41" cm="1">
        <f t="array" ref="AN65">IFERROR(_xlfn.XLOOKUP(TRIM($E65),TRIM('Año 2026'!$E$3:$E$66),'Año 2026'!$O$3:$O$66),"")</f>
        <v>0</v>
      </c>
      <c r="AO65" s="41" cm="1">
        <f t="array" ref="AO65">IFERROR(_xlfn.XLOOKUP(TRIM($E65),TRIM('Año 2026'!$E$3:$E$66),'Año 2026'!$P$3:$P$66),"")</f>
        <v>0</v>
      </c>
      <c r="AP65" s="41" cm="1">
        <f t="array" ref="AP65">IFERROR(_xlfn.XLOOKUP(TRIM($E65),TRIM('Año 2026'!$E$3:$E$66),'Año 2026'!$Q$3:$Q$66),"")</f>
        <v>0</v>
      </c>
      <c r="AQ65" s="41" cm="1">
        <f t="array" ref="AQ65">IFERROR(_xlfn.XLOOKUP(TRIM($E65),TRIM('Año 2026'!$E$3:$E$66),'Año 2026'!$R$3:$R$66),"")</f>
        <v>0</v>
      </c>
      <c r="AR65" s="41" cm="1">
        <f t="array" ref="AR65">IFERROR(_xlfn.XLOOKUP(TRIM($E65),TRIM('Año 2026'!$E$3:$E$66),'Año 2026'!$S$3:$S$66),"")</f>
        <v>0</v>
      </c>
      <c r="AS65" s="41" cm="1">
        <f t="array" ref="AS65">IFERROR(_xlfn.XLOOKUP(TRIM($E65),TRIM('Año 2026'!$E$3:$E$66),'Año 2026'!$T$3:$T$66),"")</f>
        <v>0</v>
      </c>
      <c r="AT65" s="41" cm="1">
        <f t="array" ref="AT65">IFERROR(_xlfn.XLOOKUP(TRIM($E65),TRIM('Año 2026'!$E$3:$E$66),'Año 2026'!$U$3:$U$66),"")</f>
        <v>0</v>
      </c>
      <c r="AU65" s="41" cm="1">
        <f t="array" ref="AU65">IFERROR(_xlfn.XLOOKUP(TRIM($E65),TRIM('Año 2026'!$E$3:$E$66),'Año 2026'!$V$3:$V$66),"")</f>
        <v>0</v>
      </c>
      <c r="AV65" s="41" cm="1">
        <f t="array" ref="AV65">IFERROR(_xlfn.XLOOKUP(TRIM($E65),TRIM('Año 2026'!$E$3:$E$66),'Año 2026'!$W$3:$W$66),"")</f>
        <v>0</v>
      </c>
      <c r="AW65" s="41" cm="1">
        <f t="array" ref="AW65">IFERROR(_xlfn.XLOOKUP(TRIM($E65),TRIM('Año 2026'!$E$3:$E$66),'Año 2026'!$X$3:$X$66),"")</f>
        <v>0</v>
      </c>
      <c r="AX65" s="41" cm="1">
        <f t="array" ref="AX65">IFERROR(_xlfn.XLOOKUP(TRIM($E65),TRIM('Año 2026'!$E$3:$E$66),'Año 2026'!$Y$3:$Y$66),"")</f>
        <v>0</v>
      </c>
      <c r="AY65" s="41" cm="1">
        <f t="array" ref="AY65">IFERROR(_xlfn.XLOOKUP(TRIM($E65),TRIM('Año 2026'!$E$3:$E$66),'Año 2026'!$Z$3:$Z$66),"")</f>
        <v>0</v>
      </c>
      <c r="AZ65" s="41" cm="1">
        <f t="array" ref="AZ65">IFERROR(_xlfn.XLOOKUP(TRIM($E65),TRIM('Año 2026'!$E$3:$E$66),'Año 2026'!$AA$3:$AA$66),"")</f>
        <v>0</v>
      </c>
      <c r="BA65" s="41" cm="1">
        <f t="array" ref="BA65">IFERROR(_xlfn.XLOOKUP(TRIM($E65),TRIM('Año 2026'!$E$3:$E$66),'Año 2026'!$AB$3:$AB$66),"")</f>
        <v>0</v>
      </c>
      <c r="BB65" s="41" cm="1">
        <f t="array" ref="BB65">IFERROR(_xlfn.XLOOKUP(TRIM($E65),TRIM('Año 2026'!$E$3:$E$66),'Año 2026'!$AC$3:$AC$66),"")</f>
        <v>0</v>
      </c>
      <c r="BC65" s="41" cm="1">
        <f t="array" ref="BC65">IFERROR(_xlfn.XLOOKUP(TRIM($E65),TRIM('Año 2026'!$E$3:$E$66),'Año 2026'!$AD$3:$AD$66),"")</f>
        <v>0</v>
      </c>
    </row>
    <row r="66" spans="1:55" s="41" customFormat="1" ht="156" customHeight="1" x14ac:dyDescent="0.25">
      <c r="A66" s="48">
        <v>65</v>
      </c>
      <c r="B66" s="48">
        <v>2026</v>
      </c>
      <c r="C66" s="51" t="s">
        <v>277</v>
      </c>
      <c r="D66" s="51" t="s">
        <v>353</v>
      </c>
      <c r="E66" s="54" t="s">
        <v>27</v>
      </c>
      <c r="F66" s="53" t="s">
        <v>269</v>
      </c>
      <c r="G66" s="41" t="s">
        <v>28</v>
      </c>
      <c r="H66" s="105">
        <v>4</v>
      </c>
      <c r="I66" s="48" t="s">
        <v>266</v>
      </c>
      <c r="J66" s="51" t="s">
        <v>324</v>
      </c>
      <c r="K66" s="51" t="s">
        <v>322</v>
      </c>
      <c r="L66" s="51" t="s">
        <v>322</v>
      </c>
      <c r="M66" s="51" t="s">
        <v>322</v>
      </c>
      <c r="N66" s="51" t="s">
        <v>323</v>
      </c>
      <c r="O66" s="51" t="s">
        <v>798</v>
      </c>
      <c r="P66" s="51" t="s">
        <v>321</v>
      </c>
      <c r="Q66" s="51" t="s">
        <v>3233</v>
      </c>
      <c r="R66" s="55" t="s">
        <v>325</v>
      </c>
      <c r="S66" s="51"/>
      <c r="T66" s="50"/>
      <c r="U66" s="48" t="s">
        <v>320</v>
      </c>
      <c r="V66" s="47">
        <v>46045</v>
      </c>
      <c r="W66" s="45" t="s">
        <v>319</v>
      </c>
      <c r="X66" s="45"/>
      <c r="Y66" s="52" t="s">
        <v>318</v>
      </c>
      <c r="Z66" s="52"/>
      <c r="AA66" s="47"/>
      <c r="AB66" s="48" t="s">
        <v>317</v>
      </c>
      <c r="AC66" s="47"/>
      <c r="AD66" s="46" t="s">
        <v>309</v>
      </c>
      <c r="AE66" s="45" t="s">
        <v>316</v>
      </c>
      <c r="AF66" s="41" t="str" cm="1">
        <f t="array" ref="AF66">IFERROR(_xlfn.XLOOKUP(TRIM($E66),TRIM('Año 2026'!$E$3:$E$66),'Año 2026'!$G$3:$G$66),"")</f>
        <v>Oficio N° 00272-2026-SUNEDU-DS-DIRESESU-UVE</v>
      </c>
      <c r="AG66" s="41" cm="1">
        <f t="array" ref="AG66">IFERROR(_xlfn.XLOOKUP(TRIM($E66),TRIM('Año 2026'!$E$3:$E$66),'Año 2026'!$H$3:$H$66),"")</f>
        <v>46048</v>
      </c>
      <c r="AH66" s="41" cm="1">
        <f t="array" ref="AH66">IFERROR(_xlfn.XLOOKUP(TRIM($E66),TRIM('Año 2026'!$E$3:$E$66),'Año 2026'!$I$3:$I$66),"")</f>
        <v>5</v>
      </c>
      <c r="AI66" s="41" cm="1">
        <f t="array" ref="AI66">IFERROR(_xlfn.XLOOKUP(TRIM($E66),TRIM('Año 2026'!$E$3:$E$66),'Año 2026'!$J$3:$J$66),"")</f>
        <v>46055</v>
      </c>
      <c r="AJ66" s="41" cm="1">
        <f t="array" aca="1" ref="AJ66" ca="1">IFERROR(_xlfn.XLOOKUP(TRIM($E66),TRIM('Año 2026'!$E$3:$E$66),'Año 2026'!$K$3:$K$66),"")</f>
        <v>-137</v>
      </c>
      <c r="AK66" s="41" t="str" cm="1">
        <f t="array" aca="1" ref="AK66" ca="1">IFERROR(_xlfn.XLOOKUP(TRIM($E66),TRIM('Año 2026'!$E$3:$E$66),'Año 2026'!$L$3:$L$66),"")</f>
        <v>NUEVA FECHA</v>
      </c>
      <c r="AL66" s="41" t="str" cm="1">
        <f t="array" aca="1" ref="AL66" ca="1">IFERROR(_xlfn.XLOOKUP(TRIM($E66),TRIM('Año 2026'!$E$3:$E$66),'Año 2026'!$M$3:$M$66),"")</f>
        <v>NUEVA FECHA</v>
      </c>
      <c r="AM66" s="41" t="str" cm="1">
        <f t="array" ref="AM66">IFERROR(_xlfn.XLOOKUP(TRIM($E66),TRIM('Año 2026'!$E$3:$E$66),'Año 2026'!$N$3:$N$66),"")</f>
        <v>Ajustes al plazo</v>
      </c>
      <c r="AN66" s="41" t="str" cm="1">
        <f t="array" ref="AN66">IFERROR(_xlfn.XLOOKUP(TRIM($E66),TRIM('Año 2026'!$E$3:$E$66),'Año 2026'!$O$3:$O$66),"")</f>
        <v>Se emitió primer reiterativo</v>
      </c>
      <c r="AO66" s="41" t="str" cm="1">
        <f t="array" ref="AO66">IFERROR(_xlfn.XLOOKUP(TRIM($E66),TRIM('Año 2026'!$E$3:$E$66),'Año 2026'!$P$3:$P$66),"")</f>
        <v>Reiterativo</v>
      </c>
      <c r="AP66" s="41" cm="1">
        <f t="array" ref="AP66">IFERROR(_xlfn.XLOOKUP(TRIM($E66),TRIM('Año 2026'!$E$3:$E$66),'Año 2026'!$Q$3:$Q$66),"")</f>
        <v>46090</v>
      </c>
      <c r="AQ66" s="41" t="str" cm="1">
        <f t="array" ref="AQ66">IFERROR(_xlfn.XLOOKUP(TRIM($E66),TRIM('Año 2026'!$E$3:$E$66),'Año 2026'!$R$3:$R$66),"")</f>
        <v>EXTEMPORÁNEA</v>
      </c>
      <c r="AR66" s="41" cm="1">
        <f t="array" ref="AR66">IFERROR(_xlfn.XLOOKUP(TRIM($E66),TRIM('Año 2026'!$E$3:$E$66),'Año 2026'!$S$3:$S$66),"")</f>
        <v>36</v>
      </c>
      <c r="AS66" s="41" cm="1">
        <f t="array" ref="AS66">IFERROR(_xlfn.XLOOKUP(TRIM($E66),TRIM('Año 2026'!$E$3:$E$66),'Año 2026'!$T$3:$T$66),"")</f>
        <v>0</v>
      </c>
      <c r="AT66" s="41" t="str" cm="1">
        <f t="array" ref="AT66">IFERROR(_xlfn.XLOOKUP(TRIM($E66),TRIM('Año 2026'!$E$3:$E$66),'Año 2026'!$U$3:$U$66),"")</f>
        <v>Reiterativo</v>
      </c>
      <c r="AU66" s="41" t="str" cm="1">
        <f t="array" ref="AU66">IFERROR(_xlfn.XLOOKUP(TRIM($E66),TRIM('Año 2026'!$E$3:$E$66),'Año 2026'!$V$3:$V$66),"")</f>
        <v>Oficio N° 01964-2026-SUNEDU-DS-DIRESESU-UVE</v>
      </c>
      <c r="AV66" s="41" cm="1">
        <f t="array" ref="AV66">IFERROR(_xlfn.XLOOKUP(TRIM($E66),TRIM('Año 2026'!$E$3:$E$66),'Año 2026'!$W$3:$W$66),"")</f>
        <v>46140</v>
      </c>
      <c r="AW66" s="41" cm="1">
        <f t="array" ref="AW66">IFERROR(_xlfn.XLOOKUP(TRIM($E66),TRIM('Año 2026'!$E$3:$E$66),'Año 2026'!$X$3:$X$66),"")</f>
        <v>3</v>
      </c>
      <c r="AX66" s="41" t="str" cm="1">
        <f t="array" ref="AX66">IFERROR(_xlfn.XLOOKUP(TRIM($E66),TRIM('Año 2026'!$E$3:$E$66),'Año 2026'!$Y$3:$Y$66),"")</f>
        <v/>
      </c>
      <c r="AY66" s="41" t="str" cm="1">
        <f t="array" aca="1" ref="AY66" ca="1">IFERROR(_xlfn.XLOOKUP(TRIM($E66),TRIM('Año 2026'!$E$3:$E$66),'Año 2026'!$Z$3:$Z$66),"")</f>
        <v/>
      </c>
      <c r="AZ66" s="41" t="str" cm="1">
        <f t="array" aca="1" ref="AZ66" ca="1">IFERROR(_xlfn.XLOOKUP(TRIM($E66),TRIM('Año 2026'!$E$3:$E$66),'Año 2026'!$AA$3:$AA$66),"")</f>
        <v>CONCLUIDO</v>
      </c>
      <c r="BA66" s="41" t="str" cm="1">
        <f t="array" aca="1" ref="BA66" ca="1">IFERROR(_xlfn.XLOOKUP(TRIM($E66),TRIM('Año 2026'!$E$3:$E$66),'Año 2026'!$AB$3:$AB$66),"")</f>
        <v/>
      </c>
      <c r="BB66" s="41" t="str" cm="1">
        <f t="array" ref="BB66">IFERROR(_xlfn.XLOOKUP(TRIM($E66),TRIM('Año 2026'!$E$3:$E$66),'Año 2026'!$AC$3:$AC$66),"")</f>
        <v>Entregado</v>
      </c>
      <c r="BC66" s="41" t="str" cm="1">
        <f t="array" ref="BC66">IFERROR(_xlfn.XLOOKUP(TRIM($E66),TRIM('Año 2026'!$E$3:$E$66),'Año 2026'!$AD$3:$AD$66),"")</f>
        <v>OK - ABMC</v>
      </c>
    </row>
    <row r="67" spans="1:55" s="41" customFormat="1" ht="117" customHeight="1" x14ac:dyDescent="0.25">
      <c r="A67" s="48">
        <v>66</v>
      </c>
      <c r="B67" s="48">
        <v>2025</v>
      </c>
      <c r="C67" s="51" t="s">
        <v>69</v>
      </c>
      <c r="D67" s="51" t="s">
        <v>284</v>
      </c>
      <c r="E67" s="51" t="s">
        <v>194</v>
      </c>
      <c r="F67" s="53" t="s">
        <v>269</v>
      </c>
      <c r="G67" s="51" t="s">
        <v>195</v>
      </c>
      <c r="H67" s="105">
        <v>23</v>
      </c>
      <c r="I67" s="48" t="s">
        <v>295</v>
      </c>
      <c r="J67" s="51" t="s">
        <v>550</v>
      </c>
      <c r="K67" s="51" t="s">
        <v>385</v>
      </c>
      <c r="L67" s="51" t="s">
        <v>385</v>
      </c>
      <c r="M67" s="51" t="s">
        <v>384</v>
      </c>
      <c r="N67" s="51" t="s">
        <v>549</v>
      </c>
      <c r="O67" s="51" t="s">
        <v>798</v>
      </c>
      <c r="P67" s="51" t="s">
        <v>360</v>
      </c>
      <c r="Q67" s="51" t="s">
        <v>383</v>
      </c>
      <c r="R67" s="55" t="s">
        <v>556</v>
      </c>
      <c r="S67" s="51" t="s">
        <v>359</v>
      </c>
      <c r="T67" s="50">
        <v>1</v>
      </c>
      <c r="U67" s="48" t="s">
        <v>482</v>
      </c>
      <c r="V67" s="47">
        <v>45828</v>
      </c>
      <c r="W67" s="45" t="s">
        <v>555</v>
      </c>
      <c r="X67" s="45"/>
      <c r="Y67" s="52" t="s">
        <v>318</v>
      </c>
      <c r="Z67" s="52"/>
      <c r="AA67" s="47"/>
      <c r="AB67" s="48" t="s">
        <v>317</v>
      </c>
      <c r="AC67" s="47"/>
      <c r="AD67" s="46" t="s">
        <v>309</v>
      </c>
      <c r="AE67" s="48" t="s">
        <v>308</v>
      </c>
      <c r="AF67" s="41" cm="1">
        <f t="array" ref="AF67">IFERROR(_xlfn.XLOOKUP(TRIM($E67),TRIM('Año 2026'!$E$3:$E$66),'Año 2026'!$G$3:$G$66),"")</f>
        <v>0</v>
      </c>
      <c r="AG67" s="41" cm="1">
        <f t="array" ref="AG67">IFERROR(_xlfn.XLOOKUP(TRIM($E67),TRIM('Año 2026'!$E$3:$E$66),'Año 2026'!$H$3:$H$66),"")</f>
        <v>0</v>
      </c>
      <c r="AH67" s="41" cm="1">
        <f t="array" ref="AH67">IFERROR(_xlfn.XLOOKUP(TRIM($E67),TRIM('Año 2026'!$E$3:$E$66),'Año 2026'!$I$3:$I$66),"")</f>
        <v>0</v>
      </c>
      <c r="AI67" s="41" cm="1">
        <f t="array" ref="AI67">IFERROR(_xlfn.XLOOKUP(TRIM($E67),TRIM('Año 2026'!$E$3:$E$66),'Año 2026'!$J$3:$J$66),"")</f>
        <v>0</v>
      </c>
      <c r="AJ67" s="41" cm="1">
        <f t="array" ref="AJ67">IFERROR(_xlfn.XLOOKUP(TRIM($E67),TRIM('Año 2026'!$E$3:$E$66),'Año 2026'!$K$3:$K$66),"")</f>
        <v>0</v>
      </c>
      <c r="AK67" s="41" cm="1">
        <f t="array" ref="AK67">IFERROR(_xlfn.XLOOKUP(TRIM($E67),TRIM('Año 2026'!$E$3:$E$66),'Año 2026'!$L$3:$L$66),"")</f>
        <v>0</v>
      </c>
      <c r="AL67" s="41" cm="1">
        <f t="array" ref="AL67">IFERROR(_xlfn.XLOOKUP(TRIM($E67),TRIM('Año 2026'!$E$3:$E$66),'Año 2026'!$M$3:$M$66),"")</f>
        <v>0</v>
      </c>
      <c r="AM67" s="41" cm="1">
        <f t="array" ref="AM67">IFERROR(_xlfn.XLOOKUP(TRIM($E67),TRIM('Año 2026'!$E$3:$E$66),'Año 2026'!$N$3:$N$66),"")</f>
        <v>0</v>
      </c>
      <c r="AN67" s="41" cm="1">
        <f t="array" ref="AN67">IFERROR(_xlfn.XLOOKUP(TRIM($E67),TRIM('Año 2026'!$E$3:$E$66),'Año 2026'!$O$3:$O$66),"")</f>
        <v>0</v>
      </c>
      <c r="AO67" s="41" cm="1">
        <f t="array" ref="AO67">IFERROR(_xlfn.XLOOKUP(TRIM($E67),TRIM('Año 2026'!$E$3:$E$66),'Año 2026'!$P$3:$P$66),"")</f>
        <v>0</v>
      </c>
      <c r="AP67" s="41" cm="1">
        <f t="array" ref="AP67">IFERROR(_xlfn.XLOOKUP(TRIM($E67),TRIM('Año 2026'!$E$3:$E$66),'Año 2026'!$Q$3:$Q$66),"")</f>
        <v>0</v>
      </c>
      <c r="AQ67" s="41" cm="1">
        <f t="array" ref="AQ67">IFERROR(_xlfn.XLOOKUP(TRIM($E67),TRIM('Año 2026'!$E$3:$E$66),'Año 2026'!$R$3:$R$66),"")</f>
        <v>0</v>
      </c>
      <c r="AR67" s="41" cm="1">
        <f t="array" ref="AR67">IFERROR(_xlfn.XLOOKUP(TRIM($E67),TRIM('Año 2026'!$E$3:$E$66),'Año 2026'!$S$3:$S$66),"")</f>
        <v>0</v>
      </c>
      <c r="AS67" s="41" cm="1">
        <f t="array" ref="AS67">IFERROR(_xlfn.XLOOKUP(TRIM($E67),TRIM('Año 2026'!$E$3:$E$66),'Año 2026'!$T$3:$T$66),"")</f>
        <v>0</v>
      </c>
      <c r="AT67" s="41" cm="1">
        <f t="array" ref="AT67">IFERROR(_xlfn.XLOOKUP(TRIM($E67),TRIM('Año 2026'!$E$3:$E$66),'Año 2026'!$U$3:$U$66),"")</f>
        <v>0</v>
      </c>
      <c r="AU67" s="41" cm="1">
        <f t="array" ref="AU67">IFERROR(_xlfn.XLOOKUP(TRIM($E67),TRIM('Año 2026'!$E$3:$E$66),'Año 2026'!$V$3:$V$66),"")</f>
        <v>0</v>
      </c>
      <c r="AV67" s="41" cm="1">
        <f t="array" ref="AV67">IFERROR(_xlfn.XLOOKUP(TRIM($E67),TRIM('Año 2026'!$E$3:$E$66),'Año 2026'!$W$3:$W$66),"")</f>
        <v>0</v>
      </c>
      <c r="AW67" s="41" cm="1">
        <f t="array" ref="AW67">IFERROR(_xlfn.XLOOKUP(TRIM($E67),TRIM('Año 2026'!$E$3:$E$66),'Año 2026'!$X$3:$X$66),"")</f>
        <v>0</v>
      </c>
      <c r="AX67" s="41" cm="1">
        <f t="array" ref="AX67">IFERROR(_xlfn.XLOOKUP(TRIM($E67),TRIM('Año 2026'!$E$3:$E$66),'Año 2026'!$Y$3:$Y$66),"")</f>
        <v>0</v>
      </c>
      <c r="AY67" s="41" cm="1">
        <f t="array" ref="AY67">IFERROR(_xlfn.XLOOKUP(TRIM($E67),TRIM('Año 2026'!$E$3:$E$66),'Año 2026'!$Z$3:$Z$66),"")</f>
        <v>0</v>
      </c>
      <c r="AZ67" s="41" cm="1">
        <f t="array" ref="AZ67">IFERROR(_xlfn.XLOOKUP(TRIM($E67),TRIM('Año 2026'!$E$3:$E$66),'Año 2026'!$AA$3:$AA$66),"")</f>
        <v>0</v>
      </c>
      <c r="BA67" s="41" cm="1">
        <f t="array" ref="BA67">IFERROR(_xlfn.XLOOKUP(TRIM($E67),TRIM('Año 2026'!$E$3:$E$66),'Año 2026'!$AB$3:$AB$66),"")</f>
        <v>0</v>
      </c>
      <c r="BB67" s="41" cm="1">
        <f t="array" ref="BB67">IFERROR(_xlfn.XLOOKUP(TRIM($E67),TRIM('Año 2026'!$E$3:$E$66),'Año 2026'!$AC$3:$AC$66),"")</f>
        <v>0</v>
      </c>
      <c r="BC67" s="41" cm="1">
        <f t="array" ref="BC67">IFERROR(_xlfn.XLOOKUP(TRIM($E67),TRIM('Año 2026'!$E$3:$E$66),'Año 2026'!$AD$3:$AD$66),"")</f>
        <v>0</v>
      </c>
    </row>
    <row r="68" spans="1:55" s="41" customFormat="1" ht="72" customHeight="1" x14ac:dyDescent="0.25">
      <c r="A68" s="48">
        <v>67</v>
      </c>
      <c r="B68" s="48">
        <v>2025</v>
      </c>
      <c r="C68" s="51" t="s">
        <v>69</v>
      </c>
      <c r="D68" s="51" t="s">
        <v>284</v>
      </c>
      <c r="E68" s="51" t="s">
        <v>547</v>
      </c>
      <c r="F68" s="53" t="s">
        <v>368</v>
      </c>
      <c r="G68" s="51" t="s">
        <v>546</v>
      </c>
      <c r="H68" s="105">
        <v>89</v>
      </c>
      <c r="I68" s="48" t="s">
        <v>295</v>
      </c>
      <c r="J68" s="51" t="s">
        <v>324</v>
      </c>
      <c r="K68" s="51" t="s">
        <v>385</v>
      </c>
      <c r="L68" s="51" t="s">
        <v>385</v>
      </c>
      <c r="M68" s="51" t="s">
        <v>542</v>
      </c>
      <c r="N68" s="84"/>
      <c r="O68" s="51" t="s">
        <v>798</v>
      </c>
      <c r="P68" s="51" t="s">
        <v>360</v>
      </c>
      <c r="Q68" s="84"/>
      <c r="R68" s="55" t="s">
        <v>543</v>
      </c>
      <c r="S68" s="51"/>
      <c r="T68" s="50"/>
      <c r="U68" s="48"/>
      <c r="V68" s="47"/>
      <c r="W68" s="45"/>
      <c r="X68" s="45"/>
      <c r="Y68" s="52" t="s">
        <v>541</v>
      </c>
      <c r="Z68" s="52"/>
      <c r="AA68" s="47">
        <v>46073</v>
      </c>
      <c r="AB68" s="48" t="str">
        <f ca="1">IF(AA68&lt;TODAY(),"VENCIDO","POR VENCER")</f>
        <v>VENCIDO</v>
      </c>
      <c r="AC68" s="47">
        <v>46080</v>
      </c>
      <c r="AD68" s="46" t="s">
        <v>333</v>
      </c>
      <c r="AE68" s="63" t="s">
        <v>3342</v>
      </c>
      <c r="AF68" s="41" t="str" cm="1">
        <f t="array" ref="AF68">IFERROR(_xlfn.XLOOKUP(TRIM($E68),TRIM('Año 2026'!$E$3:$E$66),'Año 2026'!$G$3:$G$66),"")</f>
        <v/>
      </c>
      <c r="AG68" s="41" t="str" cm="1">
        <f t="array" ref="AG68">IFERROR(_xlfn.XLOOKUP(TRIM($E68),TRIM('Año 2026'!$E$3:$E$66),'Año 2026'!$H$3:$H$66),"")</f>
        <v/>
      </c>
      <c r="AH68" s="41" t="str" cm="1">
        <f t="array" ref="AH68">IFERROR(_xlfn.XLOOKUP(TRIM($E68),TRIM('Año 2026'!$E$3:$E$66),'Año 2026'!$I$3:$I$66),"")</f>
        <v/>
      </c>
      <c r="AI68" s="41" t="str" cm="1">
        <f t="array" ref="AI68">IFERROR(_xlfn.XLOOKUP(TRIM($E68),TRIM('Año 2026'!$E$3:$E$66),'Año 2026'!$J$3:$J$66),"")</f>
        <v/>
      </c>
      <c r="AJ68" s="41" t="str" cm="1">
        <f t="array" ref="AJ68">IFERROR(_xlfn.XLOOKUP(TRIM($E68),TRIM('Año 2026'!$E$3:$E$66),'Año 2026'!$K$3:$K$66),"")</f>
        <v/>
      </c>
      <c r="AK68" s="41" t="str" cm="1">
        <f t="array" ref="AK68">IFERROR(_xlfn.XLOOKUP(TRIM($E68),TRIM('Año 2026'!$E$3:$E$66),'Año 2026'!$L$3:$L$66),"")</f>
        <v/>
      </c>
      <c r="AL68" s="41" t="str" cm="1">
        <f t="array" ref="AL68">IFERROR(_xlfn.XLOOKUP(TRIM($E68),TRIM('Año 2026'!$E$3:$E$66),'Año 2026'!$M$3:$M$66),"")</f>
        <v/>
      </c>
      <c r="AM68" s="41" t="str" cm="1">
        <f t="array" ref="AM68">IFERROR(_xlfn.XLOOKUP(TRIM($E68),TRIM('Año 2026'!$E$3:$E$66),'Año 2026'!$N$3:$N$66),"")</f>
        <v/>
      </c>
      <c r="AN68" s="41" t="str" cm="1">
        <f t="array" ref="AN68">IFERROR(_xlfn.XLOOKUP(TRIM($E68),TRIM('Año 2026'!$E$3:$E$66),'Año 2026'!$O$3:$O$66),"")</f>
        <v/>
      </c>
      <c r="AO68" s="41" t="str" cm="1">
        <f t="array" ref="AO68">IFERROR(_xlfn.XLOOKUP(TRIM($E68),TRIM('Año 2026'!$E$3:$E$66),'Año 2026'!$P$3:$P$66),"")</f>
        <v/>
      </c>
      <c r="AP68" s="41" t="str" cm="1">
        <f t="array" ref="AP68">IFERROR(_xlfn.XLOOKUP(TRIM($E68),TRIM('Año 2026'!$E$3:$E$66),'Año 2026'!$Q$3:$Q$66),"")</f>
        <v/>
      </c>
      <c r="AQ68" s="41" t="str" cm="1">
        <f t="array" ref="AQ68">IFERROR(_xlfn.XLOOKUP(TRIM($E68),TRIM('Año 2026'!$E$3:$E$66),'Año 2026'!$R$3:$R$66),"")</f>
        <v/>
      </c>
      <c r="AR68" s="41" t="str" cm="1">
        <f t="array" ref="AR68">IFERROR(_xlfn.XLOOKUP(TRIM($E68),TRIM('Año 2026'!$E$3:$E$66),'Año 2026'!$S$3:$S$66),"")</f>
        <v/>
      </c>
      <c r="AS68" s="41" t="str" cm="1">
        <f t="array" ref="AS68">IFERROR(_xlfn.XLOOKUP(TRIM($E68),TRIM('Año 2026'!$E$3:$E$66),'Año 2026'!$T$3:$T$66),"")</f>
        <v/>
      </c>
      <c r="AT68" s="41" t="str" cm="1">
        <f t="array" ref="AT68">IFERROR(_xlfn.XLOOKUP(TRIM($E68),TRIM('Año 2026'!$E$3:$E$66),'Año 2026'!$U$3:$U$66),"")</f>
        <v/>
      </c>
      <c r="AU68" s="41" t="str" cm="1">
        <f t="array" ref="AU68">IFERROR(_xlfn.XLOOKUP(TRIM($E68),TRIM('Año 2026'!$E$3:$E$66),'Año 2026'!$V$3:$V$66),"")</f>
        <v/>
      </c>
      <c r="AV68" s="41" t="str" cm="1">
        <f t="array" ref="AV68">IFERROR(_xlfn.XLOOKUP(TRIM($E68),TRIM('Año 2026'!$E$3:$E$66),'Año 2026'!$W$3:$W$66),"")</f>
        <v/>
      </c>
      <c r="AW68" s="41" t="str" cm="1">
        <f t="array" ref="AW68">IFERROR(_xlfn.XLOOKUP(TRIM($E68),TRIM('Año 2026'!$E$3:$E$66),'Año 2026'!$X$3:$X$66),"")</f>
        <v/>
      </c>
      <c r="AX68" s="41" t="str" cm="1">
        <f t="array" ref="AX68">IFERROR(_xlfn.XLOOKUP(TRIM($E68),TRIM('Año 2026'!$E$3:$E$66),'Año 2026'!$Y$3:$Y$66),"")</f>
        <v/>
      </c>
      <c r="AY68" s="41" t="str" cm="1">
        <f t="array" ref="AY68">IFERROR(_xlfn.XLOOKUP(TRIM($E68),TRIM('Año 2026'!$E$3:$E$66),'Año 2026'!$Z$3:$Z$66),"")</f>
        <v/>
      </c>
      <c r="AZ68" s="41" t="str" cm="1">
        <f t="array" ref="AZ68">IFERROR(_xlfn.XLOOKUP(TRIM($E68),TRIM('Año 2026'!$E$3:$E$66),'Año 2026'!$AA$3:$AA$66),"")</f>
        <v/>
      </c>
      <c r="BA68" s="41" t="str" cm="1">
        <f t="array" ref="BA68">IFERROR(_xlfn.XLOOKUP(TRIM($E68),TRIM('Año 2026'!$E$3:$E$66),'Año 2026'!$AB$3:$AB$66),"")</f>
        <v/>
      </c>
      <c r="BB68" s="41" t="str" cm="1">
        <f t="array" ref="BB68">IFERROR(_xlfn.XLOOKUP(TRIM($E68),TRIM('Año 2026'!$E$3:$E$66),'Año 2026'!$AC$3:$AC$66),"")</f>
        <v/>
      </c>
      <c r="BC68" s="41" t="str" cm="1">
        <f t="array" ref="BC68">IFERROR(_xlfn.XLOOKUP(TRIM($E68),TRIM('Año 2026'!$E$3:$E$66),'Año 2026'!$AD$3:$AD$66),"")</f>
        <v/>
      </c>
    </row>
    <row r="69" spans="1:55" s="41" customFormat="1" ht="51" customHeight="1" x14ac:dyDescent="0.25">
      <c r="A69" s="48">
        <v>68</v>
      </c>
      <c r="B69" s="48">
        <v>2025</v>
      </c>
      <c r="C69" s="51" t="s">
        <v>69</v>
      </c>
      <c r="D69" s="51" t="s">
        <v>284</v>
      </c>
      <c r="E69" s="81" t="s">
        <v>201</v>
      </c>
      <c r="F69" s="53" t="s">
        <v>269</v>
      </c>
      <c r="G69" s="51" t="s">
        <v>202</v>
      </c>
      <c r="H69" s="105">
        <v>4</v>
      </c>
      <c r="I69" s="48" t="s">
        <v>266</v>
      </c>
      <c r="J69" s="51"/>
      <c r="K69" s="51"/>
      <c r="L69" s="51"/>
      <c r="M69" s="51"/>
      <c r="N69" s="51"/>
      <c r="O69" s="51"/>
      <c r="P69" s="51"/>
      <c r="Q69" s="51"/>
      <c r="R69" s="55" t="s">
        <v>537</v>
      </c>
      <c r="S69" s="51"/>
      <c r="T69" s="50"/>
      <c r="U69" s="48"/>
      <c r="V69" s="47"/>
      <c r="W69" s="45"/>
      <c r="X69" s="45"/>
      <c r="Y69" s="52" t="s">
        <v>318</v>
      </c>
      <c r="Z69" s="52"/>
      <c r="AA69" s="47"/>
      <c r="AB69" s="48"/>
      <c r="AC69" s="47"/>
      <c r="AD69" s="46" t="s">
        <v>309</v>
      </c>
      <c r="AE69" s="45"/>
      <c r="AF69" s="41" cm="1">
        <f t="array" ref="AF69">IFERROR(_xlfn.XLOOKUP(TRIM($E69),TRIM('Año 2026'!$E$3:$E$66),'Año 2026'!$G$3:$G$66),"")</f>
        <v>0</v>
      </c>
      <c r="AG69" s="41" cm="1">
        <f t="array" ref="AG69">IFERROR(_xlfn.XLOOKUP(TRIM($E69),TRIM('Año 2026'!$E$3:$E$66),'Año 2026'!$H$3:$H$66),"")</f>
        <v>0</v>
      </c>
      <c r="AH69" s="41" cm="1">
        <f t="array" ref="AH69">IFERROR(_xlfn.XLOOKUP(TRIM($E69),TRIM('Año 2026'!$E$3:$E$66),'Año 2026'!$I$3:$I$66),"")</f>
        <v>0</v>
      </c>
      <c r="AI69" s="41" cm="1">
        <f t="array" ref="AI69">IFERROR(_xlfn.XLOOKUP(TRIM($E69),TRIM('Año 2026'!$E$3:$E$66),'Año 2026'!$J$3:$J$66),"")</f>
        <v>0</v>
      </c>
      <c r="AJ69" s="41" cm="1">
        <f t="array" ref="AJ69">IFERROR(_xlfn.XLOOKUP(TRIM($E69),TRIM('Año 2026'!$E$3:$E$66),'Año 2026'!$K$3:$K$66),"")</f>
        <v>0</v>
      </c>
      <c r="AK69" s="41" cm="1">
        <f t="array" ref="AK69">IFERROR(_xlfn.XLOOKUP(TRIM($E69),TRIM('Año 2026'!$E$3:$E$66),'Año 2026'!$L$3:$L$66),"")</f>
        <v>0</v>
      </c>
      <c r="AL69" s="41" cm="1">
        <f t="array" ref="AL69">IFERROR(_xlfn.XLOOKUP(TRIM($E69),TRIM('Año 2026'!$E$3:$E$66),'Año 2026'!$M$3:$M$66),"")</f>
        <v>0</v>
      </c>
      <c r="AM69" s="41" cm="1">
        <f t="array" ref="AM69">IFERROR(_xlfn.XLOOKUP(TRIM($E69),TRIM('Año 2026'!$E$3:$E$66),'Año 2026'!$N$3:$N$66),"")</f>
        <v>0</v>
      </c>
      <c r="AN69" s="41" cm="1">
        <f t="array" ref="AN69">IFERROR(_xlfn.XLOOKUP(TRIM($E69),TRIM('Año 2026'!$E$3:$E$66),'Año 2026'!$O$3:$O$66),"")</f>
        <v>0</v>
      </c>
      <c r="AO69" s="41" cm="1">
        <f t="array" ref="AO69">IFERROR(_xlfn.XLOOKUP(TRIM($E69),TRIM('Año 2026'!$E$3:$E$66),'Año 2026'!$P$3:$P$66),"")</f>
        <v>0</v>
      </c>
      <c r="AP69" s="41" cm="1">
        <f t="array" ref="AP69">IFERROR(_xlfn.XLOOKUP(TRIM($E69),TRIM('Año 2026'!$E$3:$E$66),'Año 2026'!$Q$3:$Q$66),"")</f>
        <v>0</v>
      </c>
      <c r="AQ69" s="41" cm="1">
        <f t="array" ref="AQ69">IFERROR(_xlfn.XLOOKUP(TRIM($E69),TRIM('Año 2026'!$E$3:$E$66),'Año 2026'!$R$3:$R$66),"")</f>
        <v>0</v>
      </c>
      <c r="AR69" s="41" cm="1">
        <f t="array" ref="AR69">IFERROR(_xlfn.XLOOKUP(TRIM($E69),TRIM('Año 2026'!$E$3:$E$66),'Año 2026'!$S$3:$S$66),"")</f>
        <v>0</v>
      </c>
      <c r="AS69" s="41" cm="1">
        <f t="array" ref="AS69">IFERROR(_xlfn.XLOOKUP(TRIM($E69),TRIM('Año 2026'!$E$3:$E$66),'Año 2026'!$T$3:$T$66),"")</f>
        <v>0</v>
      </c>
      <c r="AT69" s="41" cm="1">
        <f t="array" ref="AT69">IFERROR(_xlfn.XLOOKUP(TRIM($E69),TRIM('Año 2026'!$E$3:$E$66),'Año 2026'!$U$3:$U$66),"")</f>
        <v>0</v>
      </c>
      <c r="AU69" s="41" cm="1">
        <f t="array" ref="AU69">IFERROR(_xlfn.XLOOKUP(TRIM($E69),TRIM('Año 2026'!$E$3:$E$66),'Año 2026'!$V$3:$V$66),"")</f>
        <v>0</v>
      </c>
      <c r="AV69" s="41" cm="1">
        <f t="array" ref="AV69">IFERROR(_xlfn.XLOOKUP(TRIM($E69),TRIM('Año 2026'!$E$3:$E$66),'Año 2026'!$W$3:$W$66),"")</f>
        <v>0</v>
      </c>
      <c r="AW69" s="41" cm="1">
        <f t="array" ref="AW69">IFERROR(_xlfn.XLOOKUP(TRIM($E69),TRIM('Año 2026'!$E$3:$E$66),'Año 2026'!$X$3:$X$66),"")</f>
        <v>0</v>
      </c>
      <c r="AX69" s="41" cm="1">
        <f t="array" ref="AX69">IFERROR(_xlfn.XLOOKUP(TRIM($E69),TRIM('Año 2026'!$E$3:$E$66),'Año 2026'!$Y$3:$Y$66),"")</f>
        <v>0</v>
      </c>
      <c r="AY69" s="41" cm="1">
        <f t="array" ref="AY69">IFERROR(_xlfn.XLOOKUP(TRIM($E69),TRIM('Año 2026'!$E$3:$E$66),'Año 2026'!$Z$3:$Z$66),"")</f>
        <v>0</v>
      </c>
      <c r="AZ69" s="41" cm="1">
        <f t="array" ref="AZ69">IFERROR(_xlfn.XLOOKUP(TRIM($E69),TRIM('Año 2026'!$E$3:$E$66),'Año 2026'!$AA$3:$AA$66),"")</f>
        <v>0</v>
      </c>
      <c r="BA69" s="41" cm="1">
        <f t="array" ref="BA69">IFERROR(_xlfn.XLOOKUP(TRIM($E69),TRIM('Año 2026'!$E$3:$E$66),'Año 2026'!$AB$3:$AB$66),"")</f>
        <v>0</v>
      </c>
      <c r="BB69" s="41" cm="1">
        <f t="array" ref="BB69">IFERROR(_xlfn.XLOOKUP(TRIM($E69),TRIM('Año 2026'!$E$3:$E$66),'Año 2026'!$AC$3:$AC$66),"")</f>
        <v>0</v>
      </c>
      <c r="BC69" s="41" cm="1">
        <f t="array" ref="BC69">IFERROR(_xlfn.XLOOKUP(TRIM($E69),TRIM('Año 2026'!$E$3:$E$66),'Año 2026'!$AD$3:$AD$66),"")</f>
        <v>0</v>
      </c>
    </row>
    <row r="70" spans="1:55" s="41" customFormat="1" ht="50.25" customHeight="1" x14ac:dyDescent="0.25">
      <c r="A70" s="48">
        <v>69</v>
      </c>
      <c r="B70" s="48">
        <v>2025</v>
      </c>
      <c r="C70" s="51" t="s">
        <v>69</v>
      </c>
      <c r="D70" s="51" t="s">
        <v>284</v>
      </c>
      <c r="E70" s="81" t="s">
        <v>529</v>
      </c>
      <c r="F70" s="53" t="s">
        <v>424</v>
      </c>
      <c r="G70" s="51" t="s">
        <v>528</v>
      </c>
      <c r="H70" s="105">
        <v>4</v>
      </c>
      <c r="I70" s="48" t="s">
        <v>266</v>
      </c>
      <c r="J70" s="51"/>
      <c r="K70" s="51"/>
      <c r="L70" s="51"/>
      <c r="M70" s="51"/>
      <c r="N70" s="51"/>
      <c r="O70" s="51"/>
      <c r="P70" s="51"/>
      <c r="Q70" s="51"/>
      <c r="R70" s="55" t="s">
        <v>527</v>
      </c>
      <c r="S70" s="51"/>
      <c r="T70" s="50"/>
      <c r="U70" s="48"/>
      <c r="V70" s="47"/>
      <c r="W70" s="45" t="s">
        <v>3343</v>
      </c>
      <c r="X70" s="45"/>
      <c r="Y70" s="52" t="s">
        <v>318</v>
      </c>
      <c r="Z70" s="52"/>
      <c r="AA70" s="47"/>
      <c r="AB70" s="48" t="s">
        <v>317</v>
      </c>
      <c r="AC70" s="47"/>
      <c r="AD70" s="46" t="s">
        <v>333</v>
      </c>
      <c r="AE70" s="45" t="s">
        <v>3344</v>
      </c>
      <c r="AF70" s="41" t="str" cm="1">
        <f t="array" ref="AF70">IFERROR(_xlfn.XLOOKUP(TRIM($E70),TRIM('Año 2026'!$E$3:$E$66),'Año 2026'!$G$3:$G$66),"")</f>
        <v/>
      </c>
      <c r="AG70" s="41" t="str" cm="1">
        <f t="array" ref="AG70">IFERROR(_xlfn.XLOOKUP(TRIM($E70),TRIM('Año 2026'!$E$3:$E$66),'Año 2026'!$H$3:$H$66),"")</f>
        <v/>
      </c>
      <c r="AH70" s="41" t="str" cm="1">
        <f t="array" ref="AH70">IFERROR(_xlfn.XLOOKUP(TRIM($E70),TRIM('Año 2026'!$E$3:$E$66),'Año 2026'!$I$3:$I$66),"")</f>
        <v/>
      </c>
      <c r="AI70" s="41" t="str" cm="1">
        <f t="array" ref="AI70">IFERROR(_xlfn.XLOOKUP(TRIM($E70),TRIM('Año 2026'!$E$3:$E$66),'Año 2026'!$J$3:$J$66),"")</f>
        <v/>
      </c>
      <c r="AJ70" s="41" t="str" cm="1">
        <f t="array" ref="AJ70">IFERROR(_xlfn.XLOOKUP(TRIM($E70),TRIM('Año 2026'!$E$3:$E$66),'Año 2026'!$K$3:$K$66),"")</f>
        <v/>
      </c>
      <c r="AK70" s="41" t="str" cm="1">
        <f t="array" ref="AK70">IFERROR(_xlfn.XLOOKUP(TRIM($E70),TRIM('Año 2026'!$E$3:$E$66),'Año 2026'!$L$3:$L$66),"")</f>
        <v/>
      </c>
      <c r="AL70" s="41" t="str" cm="1">
        <f t="array" ref="AL70">IFERROR(_xlfn.XLOOKUP(TRIM($E70),TRIM('Año 2026'!$E$3:$E$66),'Año 2026'!$M$3:$M$66),"")</f>
        <v/>
      </c>
      <c r="AM70" s="41" t="str" cm="1">
        <f t="array" ref="AM70">IFERROR(_xlfn.XLOOKUP(TRIM($E70),TRIM('Año 2026'!$E$3:$E$66),'Año 2026'!$N$3:$N$66),"")</f>
        <v/>
      </c>
      <c r="AN70" s="41" t="str" cm="1">
        <f t="array" ref="AN70">IFERROR(_xlfn.XLOOKUP(TRIM($E70),TRIM('Año 2026'!$E$3:$E$66),'Año 2026'!$O$3:$O$66),"")</f>
        <v/>
      </c>
      <c r="AO70" s="41" t="str" cm="1">
        <f t="array" ref="AO70">IFERROR(_xlfn.XLOOKUP(TRIM($E70),TRIM('Año 2026'!$E$3:$E$66),'Año 2026'!$P$3:$P$66),"")</f>
        <v/>
      </c>
      <c r="AP70" s="41" t="str" cm="1">
        <f t="array" ref="AP70">IFERROR(_xlfn.XLOOKUP(TRIM($E70),TRIM('Año 2026'!$E$3:$E$66),'Año 2026'!$Q$3:$Q$66),"")</f>
        <v/>
      </c>
      <c r="AQ70" s="41" t="str" cm="1">
        <f t="array" ref="AQ70">IFERROR(_xlfn.XLOOKUP(TRIM($E70),TRIM('Año 2026'!$E$3:$E$66),'Año 2026'!$R$3:$R$66),"")</f>
        <v/>
      </c>
      <c r="AR70" s="41" t="str" cm="1">
        <f t="array" ref="AR70">IFERROR(_xlfn.XLOOKUP(TRIM($E70),TRIM('Año 2026'!$E$3:$E$66),'Año 2026'!$S$3:$S$66),"")</f>
        <v/>
      </c>
      <c r="AS70" s="41" t="str" cm="1">
        <f t="array" ref="AS70">IFERROR(_xlfn.XLOOKUP(TRIM($E70),TRIM('Año 2026'!$E$3:$E$66),'Año 2026'!$T$3:$T$66),"")</f>
        <v/>
      </c>
      <c r="AT70" s="41" t="str" cm="1">
        <f t="array" ref="AT70">IFERROR(_xlfn.XLOOKUP(TRIM($E70),TRIM('Año 2026'!$E$3:$E$66),'Año 2026'!$U$3:$U$66),"")</f>
        <v/>
      </c>
      <c r="AU70" s="41" t="str" cm="1">
        <f t="array" ref="AU70">IFERROR(_xlfn.XLOOKUP(TRIM($E70),TRIM('Año 2026'!$E$3:$E$66),'Año 2026'!$V$3:$V$66),"")</f>
        <v/>
      </c>
      <c r="AV70" s="41" t="str" cm="1">
        <f t="array" ref="AV70">IFERROR(_xlfn.XLOOKUP(TRIM($E70),TRIM('Año 2026'!$E$3:$E$66),'Año 2026'!$W$3:$W$66),"")</f>
        <v/>
      </c>
      <c r="AW70" s="41" t="str" cm="1">
        <f t="array" ref="AW70">IFERROR(_xlfn.XLOOKUP(TRIM($E70),TRIM('Año 2026'!$E$3:$E$66),'Año 2026'!$X$3:$X$66),"")</f>
        <v/>
      </c>
      <c r="AX70" s="41" t="str" cm="1">
        <f t="array" ref="AX70">IFERROR(_xlfn.XLOOKUP(TRIM($E70),TRIM('Año 2026'!$E$3:$E$66),'Año 2026'!$Y$3:$Y$66),"")</f>
        <v/>
      </c>
      <c r="AY70" s="41" t="str" cm="1">
        <f t="array" ref="AY70">IFERROR(_xlfn.XLOOKUP(TRIM($E70),TRIM('Año 2026'!$E$3:$E$66),'Año 2026'!$Z$3:$Z$66),"")</f>
        <v/>
      </c>
      <c r="AZ70" s="41" t="str" cm="1">
        <f t="array" ref="AZ70">IFERROR(_xlfn.XLOOKUP(TRIM($E70),TRIM('Año 2026'!$E$3:$E$66),'Año 2026'!$AA$3:$AA$66),"")</f>
        <v/>
      </c>
      <c r="BA70" s="41" t="str" cm="1">
        <f t="array" ref="BA70">IFERROR(_xlfn.XLOOKUP(TRIM($E70),TRIM('Año 2026'!$E$3:$E$66),'Año 2026'!$AB$3:$AB$66),"")</f>
        <v/>
      </c>
      <c r="BB70" s="41" t="str" cm="1">
        <f t="array" ref="BB70">IFERROR(_xlfn.XLOOKUP(TRIM($E70),TRIM('Año 2026'!$E$3:$E$66),'Año 2026'!$AC$3:$AC$66),"")</f>
        <v/>
      </c>
      <c r="BC70" s="41" t="str" cm="1">
        <f t="array" ref="BC70">IFERROR(_xlfn.XLOOKUP(TRIM($E70),TRIM('Año 2026'!$E$3:$E$66),'Año 2026'!$AD$3:$AD$66),"")</f>
        <v/>
      </c>
    </row>
    <row r="71" spans="1:55" s="41" customFormat="1" ht="51.75" customHeight="1" x14ac:dyDescent="0.25">
      <c r="A71" s="48">
        <v>70</v>
      </c>
      <c r="B71" s="48">
        <v>2025</v>
      </c>
      <c r="C71" s="51" t="s">
        <v>69</v>
      </c>
      <c r="D71" s="51" t="s">
        <v>460</v>
      </c>
      <c r="E71" s="51" t="s">
        <v>212</v>
      </c>
      <c r="F71" s="53" t="s">
        <v>269</v>
      </c>
      <c r="G71" s="51" t="s">
        <v>213</v>
      </c>
      <c r="H71" s="105"/>
      <c r="I71" s="48"/>
      <c r="J71" s="51"/>
      <c r="K71" s="51"/>
      <c r="L71" s="51"/>
      <c r="M71" s="51"/>
      <c r="N71" s="51"/>
      <c r="O71" s="51"/>
      <c r="P71" s="51"/>
      <c r="Q71" s="51"/>
      <c r="R71" s="45" t="s">
        <v>3345</v>
      </c>
      <c r="S71" s="51"/>
      <c r="T71" s="50"/>
      <c r="U71" s="48"/>
      <c r="V71" s="47"/>
      <c r="W71" s="45"/>
      <c r="X71" s="45"/>
      <c r="Y71" s="62" t="s">
        <v>3346</v>
      </c>
      <c r="Z71" s="62" t="s">
        <v>264</v>
      </c>
      <c r="AA71" s="47">
        <v>46255</v>
      </c>
      <c r="AB71" s="48" t="str">
        <f ca="1">IF(AA71&lt;TODAY(),"VENCIDO","POR VENCER")</f>
        <v>POR VENCER</v>
      </c>
      <c r="AC71" s="47">
        <v>46262</v>
      </c>
      <c r="AD71" s="46" t="s">
        <v>333</v>
      </c>
      <c r="AE71" s="48" t="s">
        <v>3347</v>
      </c>
      <c r="AF71" s="41" cm="1">
        <f t="array" ref="AF71">IFERROR(_xlfn.XLOOKUP(TRIM($E71),TRIM('Año 2026'!$E$3:$E$66),'Año 2026'!$G$3:$G$66),"")</f>
        <v>0</v>
      </c>
      <c r="AG71" s="41" cm="1">
        <f t="array" ref="AG71">IFERROR(_xlfn.XLOOKUP(TRIM($E71),TRIM('Año 2026'!$E$3:$E$66),'Año 2026'!$H$3:$H$66),"")</f>
        <v>0</v>
      </c>
      <c r="AH71" s="41" cm="1">
        <f t="array" ref="AH71">IFERROR(_xlfn.XLOOKUP(TRIM($E71),TRIM('Año 2026'!$E$3:$E$66),'Año 2026'!$I$3:$I$66),"")</f>
        <v>0</v>
      </c>
      <c r="AI71" s="41" cm="1">
        <f t="array" ref="AI71">IFERROR(_xlfn.XLOOKUP(TRIM($E71),TRIM('Año 2026'!$E$3:$E$66),'Año 2026'!$J$3:$J$66),"")</f>
        <v>0</v>
      </c>
      <c r="AJ71" s="41" cm="1">
        <f t="array" ref="AJ71">IFERROR(_xlfn.XLOOKUP(TRIM($E71),TRIM('Año 2026'!$E$3:$E$66),'Año 2026'!$K$3:$K$66),"")</f>
        <v>0</v>
      </c>
      <c r="AK71" s="41" cm="1">
        <f t="array" ref="AK71">IFERROR(_xlfn.XLOOKUP(TRIM($E71),TRIM('Año 2026'!$E$3:$E$66),'Año 2026'!$L$3:$L$66),"")</f>
        <v>0</v>
      </c>
      <c r="AL71" s="41" cm="1">
        <f t="array" ref="AL71">IFERROR(_xlfn.XLOOKUP(TRIM($E71),TRIM('Año 2026'!$E$3:$E$66),'Año 2026'!$M$3:$M$66),"")</f>
        <v>0</v>
      </c>
      <c r="AM71" s="41" cm="1">
        <f t="array" ref="AM71">IFERROR(_xlfn.XLOOKUP(TRIM($E71),TRIM('Año 2026'!$E$3:$E$66),'Año 2026'!$N$3:$N$66),"")</f>
        <v>0</v>
      </c>
      <c r="AN71" s="41" cm="1">
        <f t="array" ref="AN71">IFERROR(_xlfn.XLOOKUP(TRIM($E71),TRIM('Año 2026'!$E$3:$E$66),'Año 2026'!$O$3:$O$66),"")</f>
        <v>0</v>
      </c>
      <c r="AO71" s="41" cm="1">
        <f t="array" ref="AO71">IFERROR(_xlfn.XLOOKUP(TRIM($E71),TRIM('Año 2026'!$E$3:$E$66),'Año 2026'!$P$3:$P$66),"")</f>
        <v>0</v>
      </c>
      <c r="AP71" s="41" cm="1">
        <f t="array" ref="AP71">IFERROR(_xlfn.XLOOKUP(TRIM($E71),TRIM('Año 2026'!$E$3:$E$66),'Año 2026'!$Q$3:$Q$66),"")</f>
        <v>0</v>
      </c>
      <c r="AQ71" s="41" cm="1">
        <f t="array" ref="AQ71">IFERROR(_xlfn.XLOOKUP(TRIM($E71),TRIM('Año 2026'!$E$3:$E$66),'Año 2026'!$R$3:$R$66),"")</f>
        <v>0</v>
      </c>
      <c r="AR71" s="41" cm="1">
        <f t="array" ref="AR71">IFERROR(_xlfn.XLOOKUP(TRIM($E71),TRIM('Año 2026'!$E$3:$E$66),'Año 2026'!$S$3:$S$66),"")</f>
        <v>0</v>
      </c>
      <c r="AS71" s="41" cm="1">
        <f t="array" ref="AS71">IFERROR(_xlfn.XLOOKUP(TRIM($E71),TRIM('Año 2026'!$E$3:$E$66),'Año 2026'!$T$3:$T$66),"")</f>
        <v>0</v>
      </c>
      <c r="AT71" s="41" cm="1">
        <f t="array" ref="AT71">IFERROR(_xlfn.XLOOKUP(TRIM($E71),TRIM('Año 2026'!$E$3:$E$66),'Año 2026'!$U$3:$U$66),"")</f>
        <v>0</v>
      </c>
      <c r="AU71" s="41" cm="1">
        <f t="array" ref="AU71">IFERROR(_xlfn.XLOOKUP(TRIM($E71),TRIM('Año 2026'!$E$3:$E$66),'Año 2026'!$V$3:$V$66),"")</f>
        <v>0</v>
      </c>
      <c r="AV71" s="41" cm="1">
        <f t="array" ref="AV71">IFERROR(_xlfn.XLOOKUP(TRIM($E71),TRIM('Año 2026'!$E$3:$E$66),'Año 2026'!$W$3:$W$66),"")</f>
        <v>0</v>
      </c>
      <c r="AW71" s="41" cm="1">
        <f t="array" ref="AW71">IFERROR(_xlfn.XLOOKUP(TRIM($E71),TRIM('Año 2026'!$E$3:$E$66),'Año 2026'!$X$3:$X$66),"")</f>
        <v>0</v>
      </c>
      <c r="AX71" s="41" cm="1">
        <f t="array" ref="AX71">IFERROR(_xlfn.XLOOKUP(TRIM($E71),TRIM('Año 2026'!$E$3:$E$66),'Año 2026'!$Y$3:$Y$66),"")</f>
        <v>0</v>
      </c>
      <c r="AY71" s="41" cm="1">
        <f t="array" ref="AY71">IFERROR(_xlfn.XLOOKUP(TRIM($E71),TRIM('Año 2026'!$E$3:$E$66),'Año 2026'!$Z$3:$Z$66),"")</f>
        <v>0</v>
      </c>
      <c r="AZ71" s="41" cm="1">
        <f t="array" ref="AZ71">IFERROR(_xlfn.XLOOKUP(TRIM($E71),TRIM('Año 2026'!$E$3:$E$66),'Año 2026'!$AA$3:$AA$66),"")</f>
        <v>0</v>
      </c>
      <c r="BA71" s="41" cm="1">
        <f t="array" ref="BA71">IFERROR(_xlfn.XLOOKUP(TRIM($E71),TRIM('Año 2026'!$E$3:$E$66),'Año 2026'!$AB$3:$AB$66),"")</f>
        <v>0</v>
      </c>
      <c r="BB71" s="41" cm="1">
        <f t="array" ref="BB71">IFERROR(_xlfn.XLOOKUP(TRIM($E71),TRIM('Año 2026'!$E$3:$E$66),'Año 2026'!$AC$3:$AC$66),"")</f>
        <v>0</v>
      </c>
      <c r="BC71" s="41" cm="1">
        <f t="array" ref="BC71">IFERROR(_xlfn.XLOOKUP(TRIM($E71),TRIM('Año 2026'!$E$3:$E$66),'Año 2026'!$AD$3:$AD$66),"")</f>
        <v>0</v>
      </c>
    </row>
    <row r="72" spans="1:55" s="41" customFormat="1" ht="55.5" customHeight="1" x14ac:dyDescent="0.25">
      <c r="A72" s="48">
        <v>71</v>
      </c>
      <c r="B72" s="48">
        <v>2025</v>
      </c>
      <c r="C72" s="51" t="s">
        <v>69</v>
      </c>
      <c r="D72" s="51" t="s">
        <v>460</v>
      </c>
      <c r="E72" s="51" t="s">
        <v>236</v>
      </c>
      <c r="F72" s="53" t="s">
        <v>269</v>
      </c>
      <c r="G72" s="51" t="s">
        <v>237</v>
      </c>
      <c r="H72" s="105">
        <v>12</v>
      </c>
      <c r="I72" s="48" t="s">
        <v>295</v>
      </c>
      <c r="J72" s="51"/>
      <c r="K72" s="51"/>
      <c r="L72" s="51"/>
      <c r="M72" s="51"/>
      <c r="N72" s="51"/>
      <c r="O72" s="51"/>
      <c r="P72" s="51"/>
      <c r="Q72" s="51"/>
      <c r="R72" s="45" t="s">
        <v>3348</v>
      </c>
      <c r="S72" s="51"/>
      <c r="T72" s="50"/>
      <c r="U72" s="48"/>
      <c r="V72" s="47"/>
      <c r="W72" s="45"/>
      <c r="X72" s="45"/>
      <c r="Y72" s="52" t="s">
        <v>318</v>
      </c>
      <c r="Z72" s="52"/>
      <c r="AA72" s="47"/>
      <c r="AB72" s="48" t="s">
        <v>317</v>
      </c>
      <c r="AC72" s="47"/>
      <c r="AD72" s="46" t="s">
        <v>309</v>
      </c>
      <c r="AE72" s="48" t="s">
        <v>308</v>
      </c>
      <c r="AF72" s="41" t="str" cm="1">
        <f t="array" ref="AF72">IFERROR(_xlfn.XLOOKUP(TRIM($E72),TRIM('Año 2026'!$E$3:$E$66),'Año 2026'!$G$3:$G$66),"")</f>
        <v>OFICIO Nº 01815-2026-SUNEDU-DS-DIRESESU-UVE</v>
      </c>
      <c r="AG72" s="41" cm="1">
        <f t="array" ref="AG72">IFERROR(_xlfn.XLOOKUP(TRIM($E72),TRIM('Año 2026'!$E$3:$E$66),'Año 2026'!$H$3:$H$66),"")</f>
        <v>46135</v>
      </c>
      <c r="AH72" s="41" cm="1">
        <f t="array" ref="AH72">IFERROR(_xlfn.XLOOKUP(TRIM($E72),TRIM('Año 2026'!$E$3:$E$66),'Año 2026'!$I$3:$I$66),"")</f>
        <v>5</v>
      </c>
      <c r="AI72" s="41" cm="1">
        <f t="array" ref="AI72">IFERROR(_xlfn.XLOOKUP(TRIM($E72),TRIM('Año 2026'!$E$3:$E$66),'Año 2026'!$J$3:$J$66),"")</f>
        <v>46142</v>
      </c>
      <c r="AJ72" s="41" cm="1">
        <f t="array" aca="1" ref="AJ72" ca="1">IFERROR(_xlfn.XLOOKUP(TRIM($E72),TRIM('Año 2026'!$E$3:$E$66),'Año 2026'!$K$3:$K$66),"")</f>
        <v>-50</v>
      </c>
      <c r="AK72" s="41" t="str" cm="1">
        <f t="array" aca="1" ref="AK72" ca="1">IFERROR(_xlfn.XLOOKUP(TRIM($E72),TRIM('Año 2026'!$E$3:$E$66),'Año 2026'!$L$3:$L$66),"")</f>
        <v>🚨 VENCIDO</v>
      </c>
      <c r="AL72" s="41" t="str" cm="1">
        <f t="array" aca="1" ref="AL72" ca="1">IFERROR(_xlfn.XLOOKUP(TRIM($E72),TRIM('Año 2026'!$E$3:$E$66),'Año 2026'!$M$3:$M$66),"")</f>
        <v>❌ Vencido por 50 días</v>
      </c>
      <c r="AM72" s="41" cm="1">
        <f t="array" ref="AM72">IFERROR(_xlfn.XLOOKUP(TRIM($E72),TRIM('Año 2026'!$E$3:$E$66),'Año 2026'!$N$3:$N$66),"")</f>
        <v>0</v>
      </c>
      <c r="AN72" s="41" cm="1">
        <f t="array" ref="AN72">IFERROR(_xlfn.XLOOKUP(TRIM($E72),TRIM('Año 2026'!$E$3:$E$66),'Año 2026'!$O$3:$O$66),"")</f>
        <v>0</v>
      </c>
      <c r="AO72" s="41" cm="1">
        <f t="array" ref="AO72">IFERROR(_xlfn.XLOOKUP(TRIM($E72),TRIM('Año 2026'!$E$3:$E$66),'Año 2026'!$P$3:$P$66),"")</f>
        <v>0</v>
      </c>
      <c r="AP72" s="41" cm="1">
        <f t="array" ref="AP72">IFERROR(_xlfn.XLOOKUP(TRIM($E72),TRIM('Año 2026'!$E$3:$E$66),'Año 2026'!$Q$3:$Q$66),"")</f>
        <v>0</v>
      </c>
      <c r="AQ72" s="41" cm="1">
        <f t="array" ref="AQ72">IFERROR(_xlfn.XLOOKUP(TRIM($E72),TRIM('Año 2026'!$E$3:$E$66),'Año 2026'!$R$3:$R$66),"")</f>
        <v>0</v>
      </c>
      <c r="AR72" s="41" cm="1">
        <f t="array" ref="AR72">IFERROR(_xlfn.XLOOKUP(TRIM($E72),TRIM('Año 2026'!$E$3:$E$66),'Año 2026'!$S$3:$S$66),"")</f>
        <v>0</v>
      </c>
      <c r="AS72" s="41" cm="1">
        <f t="array" ref="AS72">IFERROR(_xlfn.XLOOKUP(TRIM($E72),TRIM('Año 2026'!$E$3:$E$66),'Año 2026'!$T$3:$T$66),"")</f>
        <v>0</v>
      </c>
      <c r="AT72" s="41" cm="1">
        <f t="array" ref="AT72">IFERROR(_xlfn.XLOOKUP(TRIM($E72),TRIM('Año 2026'!$E$3:$E$66),'Año 2026'!$U$3:$U$66),"")</f>
        <v>0</v>
      </c>
      <c r="AU72" s="41" cm="1">
        <f t="array" ref="AU72">IFERROR(_xlfn.XLOOKUP(TRIM($E72),TRIM('Año 2026'!$E$3:$E$66),'Año 2026'!$V$3:$V$66),"")</f>
        <v>0</v>
      </c>
      <c r="AV72" s="41" cm="1">
        <f t="array" ref="AV72">IFERROR(_xlfn.XLOOKUP(TRIM($E72),TRIM('Año 2026'!$E$3:$E$66),'Año 2026'!$W$3:$W$66),"")</f>
        <v>0</v>
      </c>
      <c r="AW72" s="41" cm="1">
        <f t="array" ref="AW72">IFERROR(_xlfn.XLOOKUP(TRIM($E72),TRIM('Año 2026'!$E$3:$E$66),'Año 2026'!$X$3:$X$66),"")</f>
        <v>0</v>
      </c>
      <c r="AX72" s="41" cm="1">
        <f t="array" ref="AX72">IFERROR(_xlfn.XLOOKUP(TRIM($E72),TRIM('Año 2026'!$E$3:$E$66),'Año 2026'!$Y$3:$Y$66),"")</f>
        <v>0</v>
      </c>
      <c r="AY72" s="41" cm="1">
        <f t="array" ref="AY72">IFERROR(_xlfn.XLOOKUP(TRIM($E72),TRIM('Año 2026'!$E$3:$E$66),'Año 2026'!$Z$3:$Z$66),"")</f>
        <v>0</v>
      </c>
      <c r="AZ72" s="41" cm="1">
        <f t="array" ref="AZ72">IFERROR(_xlfn.XLOOKUP(TRIM($E72),TRIM('Año 2026'!$E$3:$E$66),'Año 2026'!$AA$3:$AA$66),"")</f>
        <v>0</v>
      </c>
      <c r="BA72" s="41" cm="1">
        <f t="array" ref="BA72">IFERROR(_xlfn.XLOOKUP(TRIM($E72),TRIM('Año 2026'!$E$3:$E$66),'Año 2026'!$AB$3:$AB$66),"")</f>
        <v>0</v>
      </c>
      <c r="BB72" s="41" cm="1">
        <f t="array" ref="BB72">IFERROR(_xlfn.XLOOKUP(TRIM($E72),TRIM('Año 2026'!$E$3:$E$66),'Año 2026'!$AC$3:$AC$66),"")</f>
        <v>0</v>
      </c>
      <c r="BC72" s="41" cm="1">
        <f t="array" ref="BC72">IFERROR(_xlfn.XLOOKUP(TRIM($E72),TRIM('Año 2026'!$E$3:$E$66),'Año 2026'!$AD$3:$AD$66),"")</f>
        <v>0</v>
      </c>
    </row>
    <row r="73" spans="1:55" s="41" customFormat="1" ht="51.75" customHeight="1" x14ac:dyDescent="0.25">
      <c r="A73" s="48">
        <v>72</v>
      </c>
      <c r="B73" s="48">
        <v>2025</v>
      </c>
      <c r="C73" s="51" t="s">
        <v>69</v>
      </c>
      <c r="D73" s="51" t="s">
        <v>284</v>
      </c>
      <c r="E73" s="51" t="s">
        <v>191</v>
      </c>
      <c r="F73" s="53" t="s">
        <v>269</v>
      </c>
      <c r="G73" s="51" t="s">
        <v>192</v>
      </c>
      <c r="H73" s="105">
        <v>13</v>
      </c>
      <c r="I73" s="48" t="s">
        <v>295</v>
      </c>
      <c r="J73" s="51"/>
      <c r="K73" s="51"/>
      <c r="L73" s="51"/>
      <c r="M73" s="51"/>
      <c r="N73" s="51"/>
      <c r="O73" s="51"/>
      <c r="P73" s="51"/>
      <c r="Q73" s="51"/>
      <c r="R73" s="45" t="s">
        <v>557</v>
      </c>
      <c r="S73" s="51"/>
      <c r="T73" s="50"/>
      <c r="U73" s="48"/>
      <c r="V73" s="47"/>
      <c r="W73" s="45"/>
      <c r="X73" s="45"/>
      <c r="Y73" s="52" t="s">
        <v>318</v>
      </c>
      <c r="Z73" s="52"/>
      <c r="AA73" s="47"/>
      <c r="AB73" s="48" t="s">
        <v>317</v>
      </c>
      <c r="AC73" s="47"/>
      <c r="AD73" s="46" t="s">
        <v>309</v>
      </c>
      <c r="AE73" s="48" t="s">
        <v>308</v>
      </c>
      <c r="AF73" s="41" cm="1">
        <f t="array" ref="AF73">IFERROR(_xlfn.XLOOKUP(TRIM($E73),TRIM('Año 2026'!$E$3:$E$66),'Año 2026'!$G$3:$G$66),"")</f>
        <v>0</v>
      </c>
      <c r="AG73" s="41" cm="1">
        <f t="array" ref="AG73">IFERROR(_xlfn.XLOOKUP(TRIM($E73),TRIM('Año 2026'!$E$3:$E$66),'Año 2026'!$H$3:$H$66),"")</f>
        <v>0</v>
      </c>
      <c r="AH73" s="41" cm="1">
        <f t="array" ref="AH73">IFERROR(_xlfn.XLOOKUP(TRIM($E73),TRIM('Año 2026'!$E$3:$E$66),'Año 2026'!$I$3:$I$66),"")</f>
        <v>0</v>
      </c>
      <c r="AI73" s="41" cm="1">
        <f t="array" ref="AI73">IFERROR(_xlfn.XLOOKUP(TRIM($E73),TRIM('Año 2026'!$E$3:$E$66),'Año 2026'!$J$3:$J$66),"")</f>
        <v>0</v>
      </c>
      <c r="AJ73" s="41" cm="1">
        <f t="array" ref="AJ73">IFERROR(_xlfn.XLOOKUP(TRIM($E73),TRIM('Año 2026'!$E$3:$E$66),'Año 2026'!$K$3:$K$66),"")</f>
        <v>0</v>
      </c>
      <c r="AK73" s="41" cm="1">
        <f t="array" ref="AK73">IFERROR(_xlfn.XLOOKUP(TRIM($E73),TRIM('Año 2026'!$E$3:$E$66),'Año 2026'!$L$3:$L$66),"")</f>
        <v>0</v>
      </c>
      <c r="AL73" s="41" cm="1">
        <f t="array" ref="AL73">IFERROR(_xlfn.XLOOKUP(TRIM($E73),TRIM('Año 2026'!$E$3:$E$66),'Año 2026'!$M$3:$M$66),"")</f>
        <v>0</v>
      </c>
      <c r="AM73" s="41" cm="1">
        <f t="array" ref="AM73">IFERROR(_xlfn.XLOOKUP(TRIM($E73),TRIM('Año 2026'!$E$3:$E$66),'Año 2026'!$N$3:$N$66),"")</f>
        <v>0</v>
      </c>
      <c r="AN73" s="41" cm="1">
        <f t="array" ref="AN73">IFERROR(_xlfn.XLOOKUP(TRIM($E73),TRIM('Año 2026'!$E$3:$E$66),'Año 2026'!$O$3:$O$66),"")</f>
        <v>0</v>
      </c>
      <c r="AO73" s="41" cm="1">
        <f t="array" ref="AO73">IFERROR(_xlfn.XLOOKUP(TRIM($E73),TRIM('Año 2026'!$E$3:$E$66),'Año 2026'!$P$3:$P$66),"")</f>
        <v>0</v>
      </c>
      <c r="AP73" s="41" cm="1">
        <f t="array" ref="AP73">IFERROR(_xlfn.XLOOKUP(TRIM($E73),TRIM('Año 2026'!$E$3:$E$66),'Año 2026'!$Q$3:$Q$66),"")</f>
        <v>0</v>
      </c>
      <c r="AQ73" s="41" cm="1">
        <f t="array" ref="AQ73">IFERROR(_xlfn.XLOOKUP(TRIM($E73),TRIM('Año 2026'!$E$3:$E$66),'Año 2026'!$R$3:$R$66),"")</f>
        <v>0</v>
      </c>
      <c r="AR73" s="41" cm="1">
        <f t="array" ref="AR73">IFERROR(_xlfn.XLOOKUP(TRIM($E73),TRIM('Año 2026'!$E$3:$E$66),'Año 2026'!$S$3:$S$66),"")</f>
        <v>0</v>
      </c>
      <c r="AS73" s="41" cm="1">
        <f t="array" ref="AS73">IFERROR(_xlfn.XLOOKUP(TRIM($E73),TRIM('Año 2026'!$E$3:$E$66),'Año 2026'!$T$3:$T$66),"")</f>
        <v>0</v>
      </c>
      <c r="AT73" s="41" cm="1">
        <f t="array" ref="AT73">IFERROR(_xlfn.XLOOKUP(TRIM($E73),TRIM('Año 2026'!$E$3:$E$66),'Año 2026'!$U$3:$U$66),"")</f>
        <v>0</v>
      </c>
      <c r="AU73" s="41" cm="1">
        <f t="array" ref="AU73">IFERROR(_xlfn.XLOOKUP(TRIM($E73),TRIM('Año 2026'!$E$3:$E$66),'Año 2026'!$V$3:$V$66),"")</f>
        <v>0</v>
      </c>
      <c r="AV73" s="41" cm="1">
        <f t="array" ref="AV73">IFERROR(_xlfn.XLOOKUP(TRIM($E73),TRIM('Año 2026'!$E$3:$E$66),'Año 2026'!$W$3:$W$66),"")</f>
        <v>0</v>
      </c>
      <c r="AW73" s="41" cm="1">
        <f t="array" ref="AW73">IFERROR(_xlfn.XLOOKUP(TRIM($E73),TRIM('Año 2026'!$E$3:$E$66),'Año 2026'!$X$3:$X$66),"")</f>
        <v>0</v>
      </c>
      <c r="AX73" s="41" cm="1">
        <f t="array" ref="AX73">IFERROR(_xlfn.XLOOKUP(TRIM($E73),TRIM('Año 2026'!$E$3:$E$66),'Año 2026'!$Y$3:$Y$66),"")</f>
        <v>0</v>
      </c>
      <c r="AY73" s="41" cm="1">
        <f t="array" ref="AY73">IFERROR(_xlfn.XLOOKUP(TRIM($E73),TRIM('Año 2026'!$E$3:$E$66),'Año 2026'!$Z$3:$Z$66),"")</f>
        <v>0</v>
      </c>
      <c r="AZ73" s="41" cm="1">
        <f t="array" ref="AZ73">IFERROR(_xlfn.XLOOKUP(TRIM($E73),TRIM('Año 2026'!$E$3:$E$66),'Año 2026'!$AA$3:$AA$66),"")</f>
        <v>0</v>
      </c>
      <c r="BA73" s="41" cm="1">
        <f t="array" ref="BA73">IFERROR(_xlfn.XLOOKUP(TRIM($E73),TRIM('Año 2026'!$E$3:$E$66),'Año 2026'!$AB$3:$AB$66),"")</f>
        <v>0</v>
      </c>
      <c r="BB73" s="41" cm="1">
        <f t="array" ref="BB73">IFERROR(_xlfn.XLOOKUP(TRIM($E73),TRIM('Año 2026'!$E$3:$E$66),'Año 2026'!$AC$3:$AC$66),"")</f>
        <v>0</v>
      </c>
      <c r="BC73" s="41" cm="1">
        <f t="array" ref="BC73">IFERROR(_xlfn.XLOOKUP(TRIM($E73),TRIM('Año 2026'!$E$3:$E$66),'Año 2026'!$AD$3:$AD$66),"")</f>
        <v>0</v>
      </c>
    </row>
    <row r="74" spans="1:55" s="41" customFormat="1" ht="57" customHeight="1" x14ac:dyDescent="0.25">
      <c r="A74" s="48">
        <v>73</v>
      </c>
      <c r="B74" s="48">
        <v>2026</v>
      </c>
      <c r="C74" s="51" t="s">
        <v>69</v>
      </c>
      <c r="D74" s="51" t="s">
        <v>284</v>
      </c>
      <c r="E74" s="51" t="s">
        <v>344</v>
      </c>
      <c r="F74" s="53" t="s">
        <v>337</v>
      </c>
      <c r="G74" s="51" t="s">
        <v>343</v>
      </c>
      <c r="H74" s="105">
        <v>32</v>
      </c>
      <c r="I74" s="48" t="s">
        <v>266</v>
      </c>
      <c r="J74" s="51"/>
      <c r="K74" s="51"/>
      <c r="L74" s="51"/>
      <c r="M74" s="51"/>
      <c r="N74" s="51"/>
      <c r="O74" s="51"/>
      <c r="P74" s="51"/>
      <c r="Q74" s="51"/>
      <c r="R74" s="45" t="s">
        <v>342</v>
      </c>
      <c r="S74" s="51"/>
      <c r="T74" s="50"/>
      <c r="U74" s="48"/>
      <c r="V74" s="47"/>
      <c r="W74" s="45"/>
      <c r="X74" s="45"/>
      <c r="Y74" s="49" t="s">
        <v>3349</v>
      </c>
      <c r="Z74" s="49" t="s">
        <v>264</v>
      </c>
      <c r="AA74" s="47">
        <v>46164</v>
      </c>
      <c r="AB74" s="48" t="str">
        <f ca="1">IF(AA74&lt;TODAY(),"VENCIDO","POR VENCER")</f>
        <v>VENCIDO</v>
      </c>
      <c r="AC74" s="47">
        <v>46171</v>
      </c>
      <c r="AD74" s="46" t="s">
        <v>333</v>
      </c>
      <c r="AE74" s="48" t="s">
        <v>332</v>
      </c>
      <c r="AF74" s="41" t="str" cm="1">
        <f t="array" ref="AF74">IFERROR(_xlfn.XLOOKUP(TRIM($E74),TRIM('Año 2026'!$E$3:$E$66),'Año 2026'!$G$3:$G$66),"")</f>
        <v/>
      </c>
      <c r="AG74" s="41" t="str" cm="1">
        <f t="array" ref="AG74">IFERROR(_xlfn.XLOOKUP(TRIM($E74),TRIM('Año 2026'!$E$3:$E$66),'Año 2026'!$H$3:$H$66),"")</f>
        <v/>
      </c>
      <c r="AH74" s="41" t="str" cm="1">
        <f t="array" ref="AH74">IFERROR(_xlfn.XLOOKUP(TRIM($E74),TRIM('Año 2026'!$E$3:$E$66),'Año 2026'!$I$3:$I$66),"")</f>
        <v/>
      </c>
      <c r="AI74" s="41" t="str" cm="1">
        <f t="array" ref="AI74">IFERROR(_xlfn.XLOOKUP(TRIM($E74),TRIM('Año 2026'!$E$3:$E$66),'Año 2026'!$J$3:$J$66),"")</f>
        <v/>
      </c>
      <c r="AJ74" s="41" t="str" cm="1">
        <f t="array" ref="AJ74">IFERROR(_xlfn.XLOOKUP(TRIM($E74),TRIM('Año 2026'!$E$3:$E$66),'Año 2026'!$K$3:$K$66),"")</f>
        <v/>
      </c>
      <c r="AK74" s="41" t="str" cm="1">
        <f t="array" ref="AK74">IFERROR(_xlfn.XLOOKUP(TRIM($E74),TRIM('Año 2026'!$E$3:$E$66),'Año 2026'!$L$3:$L$66),"")</f>
        <v/>
      </c>
      <c r="AL74" s="41" t="str" cm="1">
        <f t="array" ref="AL74">IFERROR(_xlfn.XLOOKUP(TRIM($E74),TRIM('Año 2026'!$E$3:$E$66),'Año 2026'!$M$3:$M$66),"")</f>
        <v/>
      </c>
      <c r="AM74" s="41" t="str" cm="1">
        <f t="array" ref="AM74">IFERROR(_xlfn.XLOOKUP(TRIM($E74),TRIM('Año 2026'!$E$3:$E$66),'Año 2026'!$N$3:$N$66),"")</f>
        <v/>
      </c>
      <c r="AN74" s="41" t="str" cm="1">
        <f t="array" ref="AN74">IFERROR(_xlfn.XLOOKUP(TRIM($E74),TRIM('Año 2026'!$E$3:$E$66),'Año 2026'!$O$3:$O$66),"")</f>
        <v/>
      </c>
      <c r="AO74" s="41" t="str" cm="1">
        <f t="array" ref="AO74">IFERROR(_xlfn.XLOOKUP(TRIM($E74),TRIM('Año 2026'!$E$3:$E$66),'Año 2026'!$P$3:$P$66),"")</f>
        <v/>
      </c>
      <c r="AP74" s="41" t="str" cm="1">
        <f t="array" ref="AP74">IFERROR(_xlfn.XLOOKUP(TRIM($E74),TRIM('Año 2026'!$E$3:$E$66),'Año 2026'!$Q$3:$Q$66),"")</f>
        <v/>
      </c>
      <c r="AQ74" s="41" t="str" cm="1">
        <f t="array" ref="AQ74">IFERROR(_xlfn.XLOOKUP(TRIM($E74),TRIM('Año 2026'!$E$3:$E$66),'Año 2026'!$R$3:$R$66),"")</f>
        <v/>
      </c>
      <c r="AR74" s="41" t="str" cm="1">
        <f t="array" ref="AR74">IFERROR(_xlfn.XLOOKUP(TRIM($E74),TRIM('Año 2026'!$E$3:$E$66),'Año 2026'!$S$3:$S$66),"")</f>
        <v/>
      </c>
      <c r="AS74" s="41" t="str" cm="1">
        <f t="array" ref="AS74">IFERROR(_xlfn.XLOOKUP(TRIM($E74),TRIM('Año 2026'!$E$3:$E$66),'Año 2026'!$T$3:$T$66),"")</f>
        <v/>
      </c>
      <c r="AT74" s="41" t="str" cm="1">
        <f t="array" ref="AT74">IFERROR(_xlfn.XLOOKUP(TRIM($E74),TRIM('Año 2026'!$E$3:$E$66),'Año 2026'!$U$3:$U$66),"")</f>
        <v/>
      </c>
      <c r="AU74" s="41" t="str" cm="1">
        <f t="array" ref="AU74">IFERROR(_xlfn.XLOOKUP(TRIM($E74),TRIM('Año 2026'!$E$3:$E$66),'Año 2026'!$V$3:$V$66),"")</f>
        <v/>
      </c>
      <c r="AV74" s="41" t="str" cm="1">
        <f t="array" ref="AV74">IFERROR(_xlfn.XLOOKUP(TRIM($E74),TRIM('Año 2026'!$E$3:$E$66),'Año 2026'!$W$3:$W$66),"")</f>
        <v/>
      </c>
      <c r="AW74" s="41" t="str" cm="1">
        <f t="array" ref="AW74">IFERROR(_xlfn.XLOOKUP(TRIM($E74),TRIM('Año 2026'!$E$3:$E$66),'Año 2026'!$X$3:$X$66),"")</f>
        <v/>
      </c>
      <c r="AX74" s="41" t="str" cm="1">
        <f t="array" ref="AX74">IFERROR(_xlfn.XLOOKUP(TRIM($E74),TRIM('Año 2026'!$E$3:$E$66),'Año 2026'!$Y$3:$Y$66),"")</f>
        <v/>
      </c>
      <c r="AY74" s="41" t="str" cm="1">
        <f t="array" ref="AY74">IFERROR(_xlfn.XLOOKUP(TRIM($E74),TRIM('Año 2026'!$E$3:$E$66),'Año 2026'!$Z$3:$Z$66),"")</f>
        <v/>
      </c>
      <c r="AZ74" s="41" t="str" cm="1">
        <f t="array" ref="AZ74">IFERROR(_xlfn.XLOOKUP(TRIM($E74),TRIM('Año 2026'!$E$3:$E$66),'Año 2026'!$AA$3:$AA$66),"")</f>
        <v/>
      </c>
      <c r="BA74" s="41" t="str" cm="1">
        <f t="array" ref="BA74">IFERROR(_xlfn.XLOOKUP(TRIM($E74),TRIM('Año 2026'!$E$3:$E$66),'Año 2026'!$AB$3:$AB$66),"")</f>
        <v/>
      </c>
      <c r="BB74" s="41" t="str" cm="1">
        <f t="array" ref="BB74">IFERROR(_xlfn.XLOOKUP(TRIM($E74),TRIM('Año 2026'!$E$3:$E$66),'Año 2026'!$AC$3:$AC$66),"")</f>
        <v/>
      </c>
      <c r="BC74" s="41" t="str" cm="1">
        <f t="array" ref="BC74">IFERROR(_xlfn.XLOOKUP(TRIM($E74),TRIM('Año 2026'!$E$3:$E$66),'Año 2026'!$AD$3:$AD$66),"")</f>
        <v/>
      </c>
    </row>
    <row r="75" spans="1:55" s="41" customFormat="1" ht="62.25" customHeight="1" x14ac:dyDescent="0.25">
      <c r="A75" s="48">
        <v>74</v>
      </c>
      <c r="B75" s="48">
        <v>2026</v>
      </c>
      <c r="C75" s="51" t="s">
        <v>69</v>
      </c>
      <c r="D75" s="51" t="s">
        <v>284</v>
      </c>
      <c r="E75" s="51" t="s">
        <v>129</v>
      </c>
      <c r="F75" s="53" t="s">
        <v>269</v>
      </c>
      <c r="G75" s="51" t="s">
        <v>130</v>
      </c>
      <c r="H75" s="105">
        <v>19</v>
      </c>
      <c r="I75" s="48" t="s">
        <v>266</v>
      </c>
      <c r="J75" s="51"/>
      <c r="K75" s="51"/>
      <c r="L75" s="51"/>
      <c r="M75" s="51"/>
      <c r="N75" s="51"/>
      <c r="O75" s="51" t="s">
        <v>798</v>
      </c>
      <c r="P75" s="51" t="s">
        <v>321</v>
      </c>
      <c r="Q75" s="51"/>
      <c r="R75" s="45" t="s">
        <v>339</v>
      </c>
      <c r="S75" s="51"/>
      <c r="T75" s="50"/>
      <c r="U75" s="48"/>
      <c r="V75" s="47"/>
      <c r="W75" s="45"/>
      <c r="X75" s="45"/>
      <c r="Y75" s="49" t="s">
        <v>3350</v>
      </c>
      <c r="Z75" s="49" t="s">
        <v>264</v>
      </c>
      <c r="AA75" s="47">
        <v>46318</v>
      </c>
      <c r="AB75" s="48" t="str">
        <f ca="1">IF(AA75&lt;TODAY(),"VENCIDO","POR VENCER")</f>
        <v>POR VENCER</v>
      </c>
      <c r="AC75" s="47">
        <v>46325</v>
      </c>
      <c r="AD75" s="46" t="s">
        <v>309</v>
      </c>
      <c r="AE75" s="48" t="s">
        <v>308</v>
      </c>
      <c r="AF75" s="41" cm="1">
        <f t="array" ref="AF75">IFERROR(_xlfn.XLOOKUP(TRIM($E75),TRIM('Año 2026'!$E$3:$E$66),'Año 2026'!$G$3:$G$66),"")</f>
        <v>0</v>
      </c>
      <c r="AG75" s="41" cm="1">
        <f t="array" ref="AG75">IFERROR(_xlfn.XLOOKUP(TRIM($E75),TRIM('Año 2026'!$E$3:$E$66),'Año 2026'!$H$3:$H$66),"")</f>
        <v>0</v>
      </c>
      <c r="AH75" s="41" cm="1">
        <f t="array" ref="AH75">IFERROR(_xlfn.XLOOKUP(TRIM($E75),TRIM('Año 2026'!$E$3:$E$66),'Año 2026'!$I$3:$I$66),"")</f>
        <v>0</v>
      </c>
      <c r="AI75" s="41" cm="1">
        <f t="array" ref="AI75">IFERROR(_xlfn.XLOOKUP(TRIM($E75),TRIM('Año 2026'!$E$3:$E$66),'Año 2026'!$J$3:$J$66),"")</f>
        <v>0</v>
      </c>
      <c r="AJ75" s="41" cm="1">
        <f t="array" aca="1" ref="AJ75" ca="1">IFERROR(_xlfn.XLOOKUP(TRIM($E75),TRIM('Año 2026'!$E$3:$E$66),'Año 2026'!$K$3:$K$66),"")</f>
        <v>-46192</v>
      </c>
      <c r="AK75" s="41" t="str" cm="1">
        <f t="array" aca="1" ref="AK75" ca="1">IFERROR(_xlfn.XLOOKUP(TRIM($E75),TRIM('Año 2026'!$E$3:$E$66),'Año 2026'!$L$3:$L$66),"")</f>
        <v>🚨 VENCIDO</v>
      </c>
      <c r="AL75" s="41" t="str" cm="1">
        <f t="array" aca="1" ref="AL75" ca="1">IFERROR(_xlfn.XLOOKUP(TRIM($E75),TRIM('Año 2026'!$E$3:$E$66),'Año 2026'!$M$3:$M$66),"")</f>
        <v>❌ Vencido por 46192 días</v>
      </c>
      <c r="AM75" s="41" cm="1">
        <f t="array" ref="AM75">IFERROR(_xlfn.XLOOKUP(TRIM($E75),TRIM('Año 2026'!$E$3:$E$66),'Año 2026'!$N$3:$N$66),"")</f>
        <v>0</v>
      </c>
      <c r="AN75" s="41" cm="1">
        <f t="array" ref="AN75">IFERROR(_xlfn.XLOOKUP(TRIM($E75),TRIM('Año 2026'!$E$3:$E$66),'Año 2026'!$O$3:$O$66),"")</f>
        <v>0</v>
      </c>
      <c r="AO75" s="41" cm="1">
        <f t="array" ref="AO75">IFERROR(_xlfn.XLOOKUP(TRIM($E75),TRIM('Año 2026'!$E$3:$E$66),'Año 2026'!$P$3:$P$66),"")</f>
        <v>0</v>
      </c>
      <c r="AP75" s="41" cm="1">
        <f t="array" ref="AP75">IFERROR(_xlfn.XLOOKUP(TRIM($E75),TRIM('Año 2026'!$E$3:$E$66),'Año 2026'!$Q$3:$Q$66),"")</f>
        <v>0</v>
      </c>
      <c r="AQ75" s="41" cm="1">
        <f t="array" ref="AQ75">IFERROR(_xlfn.XLOOKUP(TRIM($E75),TRIM('Año 2026'!$E$3:$E$66),'Año 2026'!$R$3:$R$66),"")</f>
        <v>0</v>
      </c>
      <c r="AR75" s="41" cm="1">
        <f t="array" ref="AR75">IFERROR(_xlfn.XLOOKUP(TRIM($E75),TRIM('Año 2026'!$E$3:$E$66),'Año 2026'!$S$3:$S$66),"")</f>
        <v>0</v>
      </c>
      <c r="AS75" s="41" cm="1">
        <f t="array" ref="AS75">IFERROR(_xlfn.XLOOKUP(TRIM($E75),TRIM('Año 2026'!$E$3:$E$66),'Año 2026'!$T$3:$T$66),"")</f>
        <v>0</v>
      </c>
      <c r="AT75" s="41" cm="1">
        <f t="array" ref="AT75">IFERROR(_xlfn.XLOOKUP(TRIM($E75),TRIM('Año 2026'!$E$3:$E$66),'Año 2026'!$U$3:$U$66),"")</f>
        <v>0</v>
      </c>
      <c r="AU75" s="41" cm="1">
        <f t="array" ref="AU75">IFERROR(_xlfn.XLOOKUP(TRIM($E75),TRIM('Año 2026'!$E$3:$E$66),'Año 2026'!$V$3:$V$66),"")</f>
        <v>0</v>
      </c>
      <c r="AV75" s="41" cm="1">
        <f t="array" ref="AV75">IFERROR(_xlfn.XLOOKUP(TRIM($E75),TRIM('Año 2026'!$E$3:$E$66),'Año 2026'!$W$3:$W$66),"")</f>
        <v>0</v>
      </c>
      <c r="AW75" s="41" cm="1">
        <f t="array" ref="AW75">IFERROR(_xlfn.XLOOKUP(TRIM($E75),TRIM('Año 2026'!$E$3:$E$66),'Año 2026'!$X$3:$X$66),"")</f>
        <v>0</v>
      </c>
      <c r="AX75" s="41" cm="1">
        <f t="array" ref="AX75">IFERROR(_xlfn.XLOOKUP(TRIM($E75),TRIM('Año 2026'!$E$3:$E$66),'Año 2026'!$Y$3:$Y$66),"")</f>
        <v>0</v>
      </c>
      <c r="AY75" s="41" cm="1">
        <f t="array" ref="AY75">IFERROR(_xlfn.XLOOKUP(TRIM($E75),TRIM('Año 2026'!$E$3:$E$66),'Año 2026'!$Z$3:$Z$66),"")</f>
        <v>0</v>
      </c>
      <c r="AZ75" s="41" cm="1">
        <f t="array" ref="AZ75">IFERROR(_xlfn.XLOOKUP(TRIM($E75),TRIM('Año 2026'!$E$3:$E$66),'Año 2026'!$AA$3:$AA$66),"")</f>
        <v>0</v>
      </c>
      <c r="BA75" s="41" cm="1">
        <f t="array" ref="BA75">IFERROR(_xlfn.XLOOKUP(TRIM($E75),TRIM('Año 2026'!$E$3:$E$66),'Año 2026'!$AB$3:$AB$66),"")</f>
        <v>0</v>
      </c>
      <c r="BB75" s="41" cm="1">
        <f t="array" ref="BB75">IFERROR(_xlfn.XLOOKUP(TRIM($E75),TRIM('Año 2026'!$E$3:$E$66),'Año 2026'!$AC$3:$AC$66),"")</f>
        <v>0</v>
      </c>
      <c r="BC75" s="41" cm="1">
        <f t="array" ref="BC75">IFERROR(_xlfn.XLOOKUP(TRIM($E75),TRIM('Año 2026'!$E$3:$E$66),'Año 2026'!$AD$3:$AD$66),"")</f>
        <v>0</v>
      </c>
    </row>
    <row r="76" spans="1:55" s="41" customFormat="1" ht="123.75" customHeight="1" x14ac:dyDescent="0.25">
      <c r="A76" s="48">
        <v>75</v>
      </c>
      <c r="B76" s="48">
        <v>2026</v>
      </c>
      <c r="C76" s="51" t="s">
        <v>69</v>
      </c>
      <c r="D76" s="51" t="s">
        <v>329</v>
      </c>
      <c r="E76" s="51" t="s">
        <v>338</v>
      </c>
      <c r="F76" s="53" t="s">
        <v>337</v>
      </c>
      <c r="G76" s="51" t="s">
        <v>336</v>
      </c>
      <c r="H76" s="105">
        <v>32</v>
      </c>
      <c r="I76" s="48" t="s">
        <v>266</v>
      </c>
      <c r="J76" s="51"/>
      <c r="K76" s="51"/>
      <c r="L76" s="51"/>
      <c r="M76" s="51"/>
      <c r="N76" s="51"/>
      <c r="O76" s="51"/>
      <c r="P76" s="51"/>
      <c r="Q76" s="51"/>
      <c r="R76" s="45" t="s">
        <v>334</v>
      </c>
      <c r="S76" s="51"/>
      <c r="T76" s="50"/>
      <c r="U76" s="48"/>
      <c r="V76" s="47"/>
      <c r="W76" s="45"/>
      <c r="X76" s="45"/>
      <c r="Y76" s="49"/>
      <c r="Z76" s="49"/>
      <c r="AA76" s="47"/>
      <c r="AB76" s="48" t="s">
        <v>317</v>
      </c>
      <c r="AC76" s="47"/>
      <c r="AD76" s="46" t="s">
        <v>333</v>
      </c>
      <c r="AE76" s="48" t="s">
        <v>332</v>
      </c>
      <c r="AF76" s="41" t="str" cm="1">
        <f t="array" ref="AF76">IFERROR(_xlfn.XLOOKUP(TRIM($E76),TRIM('Año 2026'!$E$3:$E$66),'Año 2026'!$G$3:$G$66),"")</f>
        <v/>
      </c>
      <c r="AG76" s="41" t="str" cm="1">
        <f t="array" ref="AG76">IFERROR(_xlfn.XLOOKUP(TRIM($E76),TRIM('Año 2026'!$E$3:$E$66),'Año 2026'!$H$3:$H$66),"")</f>
        <v/>
      </c>
      <c r="AH76" s="41" t="str" cm="1">
        <f t="array" ref="AH76">IFERROR(_xlfn.XLOOKUP(TRIM($E76),TRIM('Año 2026'!$E$3:$E$66),'Año 2026'!$I$3:$I$66),"")</f>
        <v/>
      </c>
      <c r="AI76" s="41" t="str" cm="1">
        <f t="array" ref="AI76">IFERROR(_xlfn.XLOOKUP(TRIM($E76),TRIM('Año 2026'!$E$3:$E$66),'Año 2026'!$J$3:$J$66),"")</f>
        <v/>
      </c>
      <c r="AJ76" s="41" t="str" cm="1">
        <f t="array" ref="AJ76">IFERROR(_xlfn.XLOOKUP(TRIM($E76),TRIM('Año 2026'!$E$3:$E$66),'Año 2026'!$K$3:$K$66),"")</f>
        <v/>
      </c>
      <c r="AK76" s="41" t="str" cm="1">
        <f t="array" ref="AK76">IFERROR(_xlfn.XLOOKUP(TRIM($E76),TRIM('Año 2026'!$E$3:$E$66),'Año 2026'!$L$3:$L$66),"")</f>
        <v/>
      </c>
      <c r="AL76" s="41" t="str" cm="1">
        <f t="array" ref="AL76">IFERROR(_xlfn.XLOOKUP(TRIM($E76),TRIM('Año 2026'!$E$3:$E$66),'Año 2026'!$M$3:$M$66),"")</f>
        <v/>
      </c>
      <c r="AM76" s="41" t="str" cm="1">
        <f t="array" ref="AM76">IFERROR(_xlfn.XLOOKUP(TRIM($E76),TRIM('Año 2026'!$E$3:$E$66),'Año 2026'!$N$3:$N$66),"")</f>
        <v/>
      </c>
      <c r="AN76" s="41" t="str" cm="1">
        <f t="array" ref="AN76">IFERROR(_xlfn.XLOOKUP(TRIM($E76),TRIM('Año 2026'!$E$3:$E$66),'Año 2026'!$O$3:$O$66),"")</f>
        <v/>
      </c>
      <c r="AO76" s="41" t="str" cm="1">
        <f t="array" ref="AO76">IFERROR(_xlfn.XLOOKUP(TRIM($E76),TRIM('Año 2026'!$E$3:$E$66),'Año 2026'!$P$3:$P$66),"")</f>
        <v/>
      </c>
      <c r="AP76" s="41" t="str" cm="1">
        <f t="array" ref="AP76">IFERROR(_xlfn.XLOOKUP(TRIM($E76),TRIM('Año 2026'!$E$3:$E$66),'Año 2026'!$Q$3:$Q$66),"")</f>
        <v/>
      </c>
      <c r="AQ76" s="41" t="str" cm="1">
        <f t="array" ref="AQ76">IFERROR(_xlfn.XLOOKUP(TRIM($E76),TRIM('Año 2026'!$E$3:$E$66),'Año 2026'!$R$3:$R$66),"")</f>
        <v/>
      </c>
      <c r="AR76" s="41" t="str" cm="1">
        <f t="array" ref="AR76">IFERROR(_xlfn.XLOOKUP(TRIM($E76),TRIM('Año 2026'!$E$3:$E$66),'Año 2026'!$S$3:$S$66),"")</f>
        <v/>
      </c>
      <c r="AS76" s="41" t="str" cm="1">
        <f t="array" ref="AS76">IFERROR(_xlfn.XLOOKUP(TRIM($E76),TRIM('Año 2026'!$E$3:$E$66),'Año 2026'!$T$3:$T$66),"")</f>
        <v/>
      </c>
      <c r="AT76" s="41" t="str" cm="1">
        <f t="array" ref="AT76">IFERROR(_xlfn.XLOOKUP(TRIM($E76),TRIM('Año 2026'!$E$3:$E$66),'Año 2026'!$U$3:$U$66),"")</f>
        <v/>
      </c>
      <c r="AU76" s="41" t="str" cm="1">
        <f t="array" ref="AU76">IFERROR(_xlfn.XLOOKUP(TRIM($E76),TRIM('Año 2026'!$E$3:$E$66),'Año 2026'!$V$3:$V$66),"")</f>
        <v/>
      </c>
      <c r="AV76" s="41" t="str" cm="1">
        <f t="array" ref="AV76">IFERROR(_xlfn.XLOOKUP(TRIM($E76),TRIM('Año 2026'!$E$3:$E$66),'Año 2026'!$W$3:$W$66),"")</f>
        <v/>
      </c>
      <c r="AW76" s="41" t="str" cm="1">
        <f t="array" ref="AW76">IFERROR(_xlfn.XLOOKUP(TRIM($E76),TRIM('Año 2026'!$E$3:$E$66),'Año 2026'!$X$3:$X$66),"")</f>
        <v/>
      </c>
      <c r="AX76" s="41" t="str" cm="1">
        <f t="array" ref="AX76">IFERROR(_xlfn.XLOOKUP(TRIM($E76),TRIM('Año 2026'!$E$3:$E$66),'Año 2026'!$Y$3:$Y$66),"")</f>
        <v/>
      </c>
      <c r="AY76" s="41" t="str" cm="1">
        <f t="array" ref="AY76">IFERROR(_xlfn.XLOOKUP(TRIM($E76),TRIM('Año 2026'!$E$3:$E$66),'Año 2026'!$Z$3:$Z$66),"")</f>
        <v/>
      </c>
      <c r="AZ76" s="41" t="str" cm="1">
        <f t="array" ref="AZ76">IFERROR(_xlfn.XLOOKUP(TRIM($E76),TRIM('Año 2026'!$E$3:$E$66),'Año 2026'!$AA$3:$AA$66),"")</f>
        <v/>
      </c>
      <c r="BA76" s="41" t="str" cm="1">
        <f t="array" ref="BA76">IFERROR(_xlfn.XLOOKUP(TRIM($E76),TRIM('Año 2026'!$E$3:$E$66),'Año 2026'!$AB$3:$AB$66),"")</f>
        <v/>
      </c>
      <c r="BB76" s="41" t="str" cm="1">
        <f t="array" ref="BB76">IFERROR(_xlfn.XLOOKUP(TRIM($E76),TRIM('Año 2026'!$E$3:$E$66),'Año 2026'!$AC$3:$AC$66),"")</f>
        <v/>
      </c>
      <c r="BC76" s="41" t="str" cm="1">
        <f t="array" ref="BC76">IFERROR(_xlfn.XLOOKUP(TRIM($E76),TRIM('Año 2026'!$E$3:$E$66),'Año 2026'!$AD$3:$AD$66),"")</f>
        <v/>
      </c>
    </row>
    <row r="77" spans="1:55" s="41" customFormat="1" ht="77.25" customHeight="1" x14ac:dyDescent="0.25">
      <c r="A77" s="48">
        <v>76</v>
      </c>
      <c r="B77" s="48">
        <v>2026</v>
      </c>
      <c r="C77" s="51" t="s">
        <v>69</v>
      </c>
      <c r="D77" s="51" t="s">
        <v>329</v>
      </c>
      <c r="E77" s="51" t="s">
        <v>71</v>
      </c>
      <c r="F77" s="53" t="s">
        <v>269</v>
      </c>
      <c r="G77" s="51" t="s">
        <v>72</v>
      </c>
      <c r="H77" s="105">
        <v>35</v>
      </c>
      <c r="I77" s="48" t="s">
        <v>295</v>
      </c>
      <c r="J77" s="51"/>
      <c r="K77" s="51"/>
      <c r="L77" s="51"/>
      <c r="M77" s="51"/>
      <c r="N77" s="51"/>
      <c r="O77" s="51"/>
      <c r="P77" s="51"/>
      <c r="Q77" s="51"/>
      <c r="R77" s="45" t="s">
        <v>330</v>
      </c>
      <c r="S77" s="51"/>
      <c r="T77" s="50"/>
      <c r="U77" s="48"/>
      <c r="V77" s="47"/>
      <c r="W77" s="45"/>
      <c r="X77" s="45"/>
      <c r="Y77" s="49"/>
      <c r="Z77" s="49"/>
      <c r="AA77" s="47"/>
      <c r="AB77" s="48" t="s">
        <v>317</v>
      </c>
      <c r="AC77" s="47"/>
      <c r="AD77" s="46"/>
      <c r="AE77" s="48"/>
      <c r="AF77" s="41" t="str" cm="1">
        <f t="array" ref="AF77">IFERROR(_xlfn.XLOOKUP(TRIM($E77),TRIM('Año 2026'!$E$3:$E$66),'Año 2026'!$G$3:$G$66),"")</f>
        <v>Oficio N° 00932-2026-SUNEDU-DS-DIRESESU-UVE</v>
      </c>
      <c r="AG77" s="41" cm="1">
        <f t="array" ref="AG77">IFERROR(_xlfn.XLOOKUP(TRIM($E77),TRIM('Año 2026'!$E$3:$E$66),'Año 2026'!$H$3:$H$66),"")</f>
        <v>46099</v>
      </c>
      <c r="AH77" s="41" cm="1">
        <f t="array" ref="AH77">IFERROR(_xlfn.XLOOKUP(TRIM($E77),TRIM('Año 2026'!$E$3:$E$66),'Año 2026'!$I$3:$I$66),"")</f>
        <v>2</v>
      </c>
      <c r="AI77" s="41" cm="1">
        <f t="array" ref="AI77">IFERROR(_xlfn.XLOOKUP(TRIM($E77),TRIM('Año 2026'!$E$3:$E$66),'Año 2026'!$J$3:$J$66),"")</f>
        <v>46101</v>
      </c>
      <c r="AJ77" s="41" cm="1">
        <f t="array" aca="1" ref="AJ77" ca="1">IFERROR(_xlfn.XLOOKUP(TRIM($E77),TRIM('Año 2026'!$E$3:$E$66),'Año 2026'!$K$3:$K$66),"")</f>
        <v>-91</v>
      </c>
      <c r="AK77" s="41" t="str" cm="1">
        <f t="array" aca="1" ref="AK77" ca="1">IFERROR(_xlfn.XLOOKUP(TRIM($E77),TRIM('Año 2026'!$E$3:$E$66),'Año 2026'!$L$3:$L$66),"")</f>
        <v>NUEVA FECHA</v>
      </c>
      <c r="AL77" s="41" t="str" cm="1">
        <f t="array" aca="1" ref="AL77" ca="1">IFERROR(_xlfn.XLOOKUP(TRIM($E77),TRIM('Año 2026'!$E$3:$E$66),'Año 2026'!$M$3:$M$66),"")</f>
        <v>NUEVA FECHA</v>
      </c>
      <c r="AM77" s="41" t="str" cm="1">
        <f t="array" ref="AM77">IFERROR(_xlfn.XLOOKUP(TRIM($E77),TRIM('Año 2026'!$E$3:$E$66),'Año 2026'!$N$3:$N$66),"")</f>
        <v>Ajustes al plazo</v>
      </c>
      <c r="AN77" s="41" cm="1">
        <f t="array" ref="AN77">IFERROR(_xlfn.XLOOKUP(TRIM($E77),TRIM('Año 2026'!$E$3:$E$66),'Año 2026'!$O$3:$O$66),"")</f>
        <v>0</v>
      </c>
      <c r="AO77" s="41" t="str" cm="1">
        <f t="array" ref="AO77">IFERROR(_xlfn.XLOOKUP(TRIM($E77),TRIM('Año 2026'!$E$3:$E$66),'Año 2026'!$P$3:$P$66),"")</f>
        <v>Prórroga</v>
      </c>
      <c r="AP77" s="41" cm="1">
        <f t="array" ref="AP77">IFERROR(_xlfn.XLOOKUP(TRIM($E77),TRIM('Año 2026'!$E$3:$E$66),'Año 2026'!$Q$3:$Q$66),"")</f>
        <v>0</v>
      </c>
      <c r="AQ77" s="41" cm="1">
        <f t="array" ref="AQ77">IFERROR(_xlfn.XLOOKUP(TRIM($E77),TRIM('Año 2026'!$E$3:$E$66),'Año 2026'!$R$3:$R$66),"")</f>
        <v>0</v>
      </c>
      <c r="AR77" s="41" cm="1">
        <f t="array" ref="AR77">IFERROR(_xlfn.XLOOKUP(TRIM($E77),TRIM('Año 2026'!$E$3:$E$66),'Año 2026'!$S$3:$S$66),"")</f>
        <v>0</v>
      </c>
      <c r="AS77" s="41" cm="1">
        <f t="array" ref="AS77">IFERROR(_xlfn.XLOOKUP(TRIM($E77),TRIM('Año 2026'!$E$3:$E$66),'Año 2026'!$T$3:$T$66),"")</f>
        <v>0</v>
      </c>
      <c r="AT77" s="41" cm="1">
        <f t="array" ref="AT77">IFERROR(_xlfn.XLOOKUP(TRIM($E77),TRIM('Año 2026'!$E$3:$E$66),'Año 2026'!$U$3:$U$66),"")</f>
        <v>0</v>
      </c>
      <c r="AU77" s="41" t="str" cm="1">
        <f t="array" ref="AU77">IFERROR(_xlfn.XLOOKUP(TRIM($E77),TRIM('Año 2026'!$E$3:$E$66),'Año 2026'!$V$3:$V$66),"")</f>
        <v>02073-2026-SUNEDU-DS-DIRESESU-UVE</v>
      </c>
      <c r="AV77" s="41" cm="1">
        <f t="array" ref="AV77">IFERROR(_xlfn.XLOOKUP(TRIM($E77),TRIM('Año 2026'!$E$3:$E$66),'Año 2026'!$W$3:$W$66),"")</f>
        <v>46148</v>
      </c>
      <c r="AW77" s="41" cm="1">
        <f t="array" ref="AW77">IFERROR(_xlfn.XLOOKUP(TRIM($E77),TRIM('Año 2026'!$E$3:$E$66),'Año 2026'!$X$3:$X$66),"")</f>
        <v>10</v>
      </c>
      <c r="AX77" s="41" t="str" cm="1">
        <f t="array" ref="AX77">IFERROR(_xlfn.XLOOKUP(TRIM($E77),TRIM('Año 2026'!$E$3:$E$66),'Año 2026'!$Y$3:$Y$66),"")</f>
        <v/>
      </c>
      <c r="AY77" s="41" t="str" cm="1">
        <f t="array" aca="1" ref="AY77" ca="1">IFERROR(_xlfn.XLOOKUP(TRIM($E77),TRIM('Año 2026'!$E$3:$E$66),'Año 2026'!$Z$3:$Z$66),"")</f>
        <v/>
      </c>
      <c r="AZ77" s="41" t="str" cm="1">
        <f t="array" aca="1" ref="AZ77" ca="1">IFERROR(_xlfn.XLOOKUP(TRIM($E77),TRIM('Año 2026'!$E$3:$E$66),'Año 2026'!$AA$3:$AA$66),"")</f>
        <v/>
      </c>
      <c r="BA77" s="41" t="str" cm="1">
        <f t="array" aca="1" ref="BA77" ca="1">IFERROR(_xlfn.XLOOKUP(TRIM($E77),TRIM('Año 2026'!$E$3:$E$66),'Año 2026'!$AB$3:$AB$66),"")</f>
        <v/>
      </c>
      <c r="BB77" s="41" cm="1">
        <f t="array" ref="BB77">IFERROR(_xlfn.XLOOKUP(TRIM($E77),TRIM('Año 2026'!$E$3:$E$66),'Año 2026'!$AC$3:$AC$66),"")</f>
        <v>0</v>
      </c>
      <c r="BC77" s="41" t="str" cm="1">
        <f t="array" ref="BC77">IFERROR(_xlfn.XLOOKUP(TRIM($E77),TRIM('Año 2026'!$E$3:$E$66),'Año 2026'!$AD$3:$AD$66),"")</f>
        <v>La Universidad presentó informaciónmediante el Oficio N°046-2026-VRA-USMP; sin embargo, mediante el Oficio N°047-2026-VRA-USMP  pidió que se deje sin efecto la documentación.</v>
      </c>
    </row>
    <row r="78" spans="1:55" s="41" customFormat="1" ht="77.25" customHeight="1" x14ac:dyDescent="0.25">
      <c r="A78" s="48">
        <v>77</v>
      </c>
      <c r="B78" s="48">
        <v>2026</v>
      </c>
      <c r="C78" s="51" t="s">
        <v>69</v>
      </c>
      <c r="D78" s="51" t="s">
        <v>329</v>
      </c>
      <c r="E78" s="51" t="s">
        <v>77</v>
      </c>
      <c r="F78" s="53" t="s">
        <v>269</v>
      </c>
      <c r="G78" s="51" t="s">
        <v>3351</v>
      </c>
      <c r="H78" s="105">
        <v>48</v>
      </c>
      <c r="I78" s="48" t="s">
        <v>266</v>
      </c>
      <c r="J78" s="51"/>
      <c r="K78" s="51"/>
      <c r="L78" s="51"/>
      <c r="M78" s="51"/>
      <c r="N78" s="51"/>
      <c r="O78" s="51"/>
      <c r="P78" s="51"/>
      <c r="Q78" s="51"/>
      <c r="R78" s="45" t="s">
        <v>327</v>
      </c>
      <c r="S78" s="51"/>
      <c r="T78" s="50"/>
      <c r="U78" s="48"/>
      <c r="V78" s="47"/>
      <c r="W78" s="45"/>
      <c r="X78" s="45"/>
      <c r="Y78" s="49"/>
      <c r="Z78" s="49"/>
      <c r="AA78" s="47"/>
      <c r="AB78" s="48" t="s">
        <v>317</v>
      </c>
      <c r="AC78" s="47"/>
      <c r="AD78" s="46"/>
      <c r="AE78" s="45"/>
      <c r="AF78" s="41" t="str" cm="1">
        <f t="array" ref="AF78">IFERROR(_xlfn.XLOOKUP(TRIM($E78),TRIM('Año 2026'!$E$3:$E$66),'Año 2026'!$G$3:$G$66),"")</f>
        <v>Oficio N° 02239-2026-SUNEDU-DS-DIRESESU-UVE</v>
      </c>
      <c r="AG78" s="41" cm="1">
        <f t="array" ref="AG78">IFERROR(_xlfn.XLOOKUP(TRIM($E78),TRIM('Año 2026'!$E$3:$E$66),'Año 2026'!$H$3:$H$66),"")</f>
        <v>0</v>
      </c>
      <c r="AH78" s="41" cm="1">
        <f t="array" ref="AH78">IFERROR(_xlfn.XLOOKUP(TRIM($E78),TRIM('Año 2026'!$E$3:$E$66),'Año 2026'!$I$3:$I$66),"")</f>
        <v>0</v>
      </c>
      <c r="AI78" s="41" cm="1">
        <f t="array" ref="AI78">IFERROR(_xlfn.XLOOKUP(TRIM($E78),TRIM('Año 2026'!$E$3:$E$66),'Año 2026'!$J$3:$J$66),"")</f>
        <v>0</v>
      </c>
      <c r="AJ78" s="41" cm="1">
        <f t="array" aca="1" ref="AJ78" ca="1">IFERROR(_xlfn.XLOOKUP(TRIM($E78),TRIM('Año 2026'!$E$3:$E$66),'Año 2026'!$K$3:$K$66),"")</f>
        <v>-46192</v>
      </c>
      <c r="AK78" s="41" t="str" cm="1">
        <f t="array" aca="1" ref="AK78" ca="1">IFERROR(_xlfn.XLOOKUP(TRIM($E78),TRIM('Año 2026'!$E$3:$E$66),'Año 2026'!$L$3:$L$66),"")</f>
        <v>🚨 VENCIDO</v>
      </c>
      <c r="AL78" s="41" t="str" cm="1">
        <f t="array" aca="1" ref="AL78" ca="1">IFERROR(_xlfn.XLOOKUP(TRIM($E78),TRIM('Año 2026'!$E$3:$E$66),'Año 2026'!$M$3:$M$66),"")</f>
        <v>❌ Vencido por 46192 días</v>
      </c>
      <c r="AM78" s="41" cm="1">
        <f t="array" ref="AM78">IFERROR(_xlfn.XLOOKUP(TRIM($E78),TRIM('Año 2026'!$E$3:$E$66),'Año 2026'!$N$3:$N$66),"")</f>
        <v>0</v>
      </c>
      <c r="AN78" s="41" cm="1">
        <f t="array" ref="AN78">IFERROR(_xlfn.XLOOKUP(TRIM($E78),TRIM('Año 2026'!$E$3:$E$66),'Año 2026'!$O$3:$O$66),"")</f>
        <v>0</v>
      </c>
      <c r="AO78" s="41" t="str" cm="1">
        <f t="array" ref="AO78">IFERROR(_xlfn.XLOOKUP(TRIM($E78),TRIM('Año 2026'!$E$3:$E$66),'Año 2026'!$P$3:$P$66),"")</f>
        <v>Visita de inspección</v>
      </c>
      <c r="AP78" s="41" cm="1">
        <f t="array" ref="AP78">IFERROR(_xlfn.XLOOKUP(TRIM($E78),TRIM('Año 2026'!$E$3:$E$66),'Año 2026'!$Q$3:$Q$66),"")</f>
        <v>0</v>
      </c>
      <c r="AQ78" s="41" cm="1">
        <f t="array" ref="AQ78">IFERROR(_xlfn.XLOOKUP(TRIM($E78),TRIM('Año 2026'!$E$3:$E$66),'Año 2026'!$R$3:$R$66),"")</f>
        <v>0</v>
      </c>
      <c r="AR78" s="41" cm="1">
        <f t="array" ref="AR78">IFERROR(_xlfn.XLOOKUP(TRIM($E78),TRIM('Año 2026'!$E$3:$E$66),'Año 2026'!$S$3:$S$66),"")</f>
        <v>0</v>
      </c>
      <c r="AS78" s="41" cm="1">
        <f t="array" ref="AS78">IFERROR(_xlfn.XLOOKUP(TRIM($E78),TRIM('Año 2026'!$E$3:$E$66),'Año 2026'!$T$3:$T$66),"")</f>
        <v>0</v>
      </c>
      <c r="AT78" s="41" cm="1">
        <f t="array" ref="AT78">IFERROR(_xlfn.XLOOKUP(TRIM($E78),TRIM('Año 2026'!$E$3:$E$66),'Año 2026'!$U$3:$U$66),"")</f>
        <v>0</v>
      </c>
      <c r="AU78" s="41" t="str" cm="1">
        <f t="array" ref="AU78">IFERROR(_xlfn.XLOOKUP(TRIM($E78),TRIM('Año 2026'!$E$3:$E$66),'Año 2026'!$V$3:$V$66),"")</f>
        <v>Acta de supervisión</v>
      </c>
      <c r="AV78" s="41" cm="1">
        <f t="array" ref="AV78">IFERROR(_xlfn.XLOOKUP(TRIM($E78),TRIM('Año 2026'!$E$3:$E$66),'Año 2026'!$W$3:$W$66),"")</f>
        <v>46185</v>
      </c>
      <c r="AW78" s="41" cm="1">
        <f t="array" ref="AW78">IFERROR(_xlfn.XLOOKUP(TRIM($E78),TRIM('Año 2026'!$E$3:$E$66),'Año 2026'!$X$3:$X$66),"")</f>
        <v>10</v>
      </c>
      <c r="AX78" s="41" cm="1">
        <f t="array" ref="AX78">IFERROR(_xlfn.XLOOKUP(TRIM($E78),TRIM('Año 2026'!$E$3:$E$66),'Año 2026'!$Y$3:$Y$66),"")</f>
        <v>46199</v>
      </c>
      <c r="AY78" s="41" cm="1">
        <f t="array" aca="1" ref="AY78" ca="1">IFERROR(_xlfn.XLOOKUP(TRIM($E78),TRIM('Año 2026'!$E$3:$E$66),'Año 2026'!$Z$3:$Z$66),"")</f>
        <v>7</v>
      </c>
      <c r="AZ78" s="41" t="str" cm="1">
        <f t="array" aca="1" ref="AZ78" ca="1">IFERROR(_xlfn.XLOOKUP(TRIM($E78),TRIM('Año 2026'!$E$3:$E$66),'Año 2026'!$AA$3:$AA$66),"")</f>
        <v>EN PLAZO</v>
      </c>
      <c r="BA78" s="41" t="str" cm="1">
        <f t="array" aca="1" ref="BA78" ca="1">IFERROR(_xlfn.XLOOKUP(TRIM($E78),TRIM('Año 2026'!$E$3:$E$66),'Año 2026'!$AB$3:$AB$66),"")</f>
        <v>✅ En orden</v>
      </c>
      <c r="BB78" s="41" cm="1">
        <f t="array" ref="BB78">IFERROR(_xlfn.XLOOKUP(TRIM($E78),TRIM('Año 2026'!$E$3:$E$66),'Año 2026'!$AC$3:$AC$66),"")</f>
        <v>0</v>
      </c>
      <c r="BC78" s="41" cm="1">
        <f t="array" ref="BC78">IFERROR(_xlfn.XLOOKUP(TRIM($E78),TRIM('Año 2026'!$E$3:$E$66),'Año 2026'!$AD$3:$AD$66),"")</f>
        <v>0</v>
      </c>
    </row>
    <row r="79" spans="1:55" s="41" customFormat="1" ht="77.25" customHeight="1" x14ac:dyDescent="0.25">
      <c r="A79" s="48">
        <v>78</v>
      </c>
      <c r="B79" s="48">
        <v>2026</v>
      </c>
      <c r="C79" s="51" t="s">
        <v>277</v>
      </c>
      <c r="D79" s="51" t="s">
        <v>284</v>
      </c>
      <c r="E79" s="54" t="s">
        <v>43</v>
      </c>
      <c r="F79" s="53" t="s">
        <v>269</v>
      </c>
      <c r="G79" s="51" t="s">
        <v>44</v>
      </c>
      <c r="H79" s="105">
        <v>56</v>
      </c>
      <c r="I79" s="48" t="s">
        <v>295</v>
      </c>
      <c r="J79" s="51"/>
      <c r="K79" s="51"/>
      <c r="L79" s="51"/>
      <c r="M79" s="51"/>
      <c r="N79" s="51"/>
      <c r="O79" s="51"/>
      <c r="P79" s="51"/>
      <c r="Q79" s="51"/>
      <c r="R79" s="45" t="s">
        <v>313</v>
      </c>
      <c r="S79" s="51"/>
      <c r="T79" s="50"/>
      <c r="U79" s="48"/>
      <c r="V79" s="47"/>
      <c r="W79" s="45"/>
      <c r="X79" s="45"/>
      <c r="Y79" s="49"/>
      <c r="Z79" s="49"/>
      <c r="AA79" s="47"/>
      <c r="AB79" s="48"/>
      <c r="AC79" s="47"/>
      <c r="AD79" s="46"/>
      <c r="AE79" s="45"/>
      <c r="AF79" s="41" t="str" cm="1">
        <f t="array" ref="AF79">IFERROR(_xlfn.XLOOKUP(TRIM($E79),TRIM('Año 2026'!$E$3:$E$66),'Año 2026'!$G$3:$G$66),"")</f>
        <v>Oficio N° 00438-2026-SUNEDU-DS-DIRESESU-UVE</v>
      </c>
      <c r="AG79" s="41" cm="1">
        <f t="array" ref="AG79">IFERROR(_xlfn.XLOOKUP(TRIM($E79),TRIM('Año 2026'!$E$3:$E$66),'Año 2026'!$H$3:$H$66),"")</f>
        <v>46057</v>
      </c>
      <c r="AH79" s="41" cm="1">
        <f t="array" ref="AH79">IFERROR(_xlfn.XLOOKUP(TRIM($E79),TRIM('Año 2026'!$E$3:$E$66),'Año 2026'!$I$3:$I$66),"")</f>
        <v>2</v>
      </c>
      <c r="AI79" s="41" cm="1">
        <f t="array" ref="AI79">IFERROR(_xlfn.XLOOKUP(TRIM($E79),TRIM('Año 2026'!$E$3:$E$66),'Año 2026'!$J$3:$J$66),"")</f>
        <v>46059</v>
      </c>
      <c r="AJ79" s="41" cm="1">
        <f t="array" aca="1" ref="AJ79" ca="1">IFERROR(_xlfn.XLOOKUP(TRIM($E79),TRIM('Año 2026'!$E$3:$E$66),'Año 2026'!$K$3:$K$66),"")</f>
        <v>-133</v>
      </c>
      <c r="AK79" s="41" t="str" cm="1">
        <f t="array" aca="1" ref="AK79" ca="1">IFERROR(_xlfn.XLOOKUP(TRIM($E79),TRIM('Año 2026'!$E$3:$E$66),'Año 2026'!$L$3:$L$66),"")</f>
        <v>CONCLUIDO</v>
      </c>
      <c r="AL79" s="41" t="str" cm="1">
        <f t="array" aca="1" ref="AL79" ca="1">IFERROR(_xlfn.XLOOKUP(TRIM($E79),TRIM('Año 2026'!$E$3:$E$66),'Año 2026'!$M$3:$M$66),"")</f>
        <v>CONCLUIDO</v>
      </c>
      <c r="AM79" s="41" t="str" cm="1">
        <f t="array" ref="AM79">IFERROR(_xlfn.XLOOKUP(TRIM($E79),TRIM('Año 2026'!$E$3:$E$66),'Año 2026'!$N$3:$N$66),"")</f>
        <v>Entregado</v>
      </c>
      <c r="AN79" s="41" cm="1">
        <f t="array" ref="AN79">IFERROR(_xlfn.XLOOKUP(TRIM($E79),TRIM('Año 2026'!$E$3:$E$66),'Año 2026'!$O$3:$O$66),"")</f>
        <v>0</v>
      </c>
      <c r="AO79" s="41" t="str" cm="1">
        <f t="array" ref="AO79">IFERROR(_xlfn.XLOOKUP(TRIM($E79),TRIM('Año 2026'!$E$3:$E$66),'Año 2026'!$P$3:$P$66),"")</f>
        <v>Visita de inspección</v>
      </c>
      <c r="AP79" s="41" cm="1">
        <f t="array" ref="AP79">IFERROR(_xlfn.XLOOKUP(TRIM($E79),TRIM('Año 2026'!$E$3:$E$66),'Año 2026'!$Q$3:$Q$66),"")</f>
        <v>0</v>
      </c>
      <c r="AQ79" s="41" cm="1">
        <f t="array" ref="AQ79">IFERROR(_xlfn.XLOOKUP(TRIM($E79),TRIM('Año 2026'!$E$3:$E$66),'Año 2026'!$R$3:$R$66),"")</f>
        <v>0</v>
      </c>
      <c r="AR79" s="41" cm="1">
        <f t="array" ref="AR79">IFERROR(_xlfn.XLOOKUP(TRIM($E79),TRIM('Año 2026'!$E$3:$E$66),'Año 2026'!$S$3:$S$66),"")</f>
        <v>0</v>
      </c>
      <c r="AS79" s="41" cm="1">
        <f t="array" ref="AS79">IFERROR(_xlfn.XLOOKUP(TRIM($E79),TRIM('Año 2026'!$E$3:$E$66),'Año 2026'!$T$3:$T$66),"")</f>
        <v>0</v>
      </c>
      <c r="AT79" s="41" cm="1">
        <f t="array" ref="AT79">IFERROR(_xlfn.XLOOKUP(TRIM($E79),TRIM('Año 2026'!$E$3:$E$66),'Año 2026'!$U$3:$U$66),"")</f>
        <v>0</v>
      </c>
      <c r="AU79" s="41" t="str" cm="1">
        <f t="array" ref="AU79">IFERROR(_xlfn.XLOOKUP(TRIM($E79),TRIM('Año 2026'!$E$3:$E$66),'Año 2026'!$V$3:$V$66),"")</f>
        <v>Oficio N° 00854-2026-SUNEDU-DS-DIRESESU-UVE</v>
      </c>
      <c r="AV79" s="41" cm="1">
        <f t="array" ref="AV79">IFERROR(_xlfn.XLOOKUP(TRIM($E79),TRIM('Año 2026'!$E$3:$E$66),'Año 2026'!$W$3:$W$66),"")</f>
        <v>46094</v>
      </c>
      <c r="AW79" s="41" cm="1">
        <f t="array" ref="AW79">IFERROR(_xlfn.XLOOKUP(TRIM($E79),TRIM('Año 2026'!$E$3:$E$66),'Año 2026'!$X$3:$X$66),"")</f>
        <v>10</v>
      </c>
      <c r="AX79" s="41" t="str" cm="1">
        <f t="array" ref="AX79">IFERROR(_xlfn.XLOOKUP(TRIM($E79),TRIM('Año 2026'!$E$3:$E$66),'Año 2026'!$Y$3:$Y$66),"")</f>
        <v/>
      </c>
      <c r="AY79" s="41" t="str" cm="1">
        <f t="array" aca="1" ref="AY79" ca="1">IFERROR(_xlfn.XLOOKUP(TRIM($E79),TRIM('Año 2026'!$E$3:$E$66),'Año 2026'!$Z$3:$Z$66),"")</f>
        <v/>
      </c>
      <c r="AZ79" s="41" t="str" cm="1">
        <f t="array" aca="1" ref="AZ79" ca="1">IFERROR(_xlfn.XLOOKUP(TRIM($E79),TRIM('Año 2026'!$E$3:$E$66),'Año 2026'!$AA$3:$AA$66),"")</f>
        <v/>
      </c>
      <c r="BA79" s="41" t="str" cm="1">
        <f t="array" aca="1" ref="BA79" ca="1">IFERROR(_xlfn.XLOOKUP(TRIM($E79),TRIM('Año 2026'!$E$3:$E$66),'Año 2026'!$AB$3:$AB$66),"")</f>
        <v/>
      </c>
      <c r="BB79" s="41" t="str" cm="1">
        <f t="array" ref="BB79">IFERROR(_xlfn.XLOOKUP(TRIM($E79),TRIM('Año 2026'!$E$3:$E$66),'Año 2026'!$AC$3:$AC$66),"")</f>
        <v>Entregado</v>
      </c>
      <c r="BC79" s="41" cm="1">
        <f t="array" ref="BC79">IFERROR(_xlfn.XLOOKUP(TRIM($E79),TRIM('Año 2026'!$E$3:$E$66),'Año 2026'!$AD$3:$AD$66),"")</f>
        <v>0</v>
      </c>
    </row>
    <row r="80" spans="1:55" s="41" customFormat="1" ht="105" customHeight="1" x14ac:dyDescent="0.25">
      <c r="A80" s="48">
        <v>79</v>
      </c>
      <c r="B80" s="48">
        <v>2026</v>
      </c>
      <c r="C80" s="51" t="s">
        <v>277</v>
      </c>
      <c r="D80" s="51" t="s">
        <v>284</v>
      </c>
      <c r="E80" s="54" t="s">
        <v>49</v>
      </c>
      <c r="F80" s="53" t="s">
        <v>269</v>
      </c>
      <c r="G80" s="51" t="s">
        <v>50</v>
      </c>
      <c r="H80" s="105">
        <v>8</v>
      </c>
      <c r="I80" s="48" t="s">
        <v>266</v>
      </c>
      <c r="J80" s="51"/>
      <c r="K80" s="51"/>
      <c r="L80" s="51"/>
      <c r="M80" s="51"/>
      <c r="N80" s="51"/>
      <c r="O80" s="51"/>
      <c r="P80" s="51"/>
      <c r="Q80" s="51"/>
      <c r="R80" s="45" t="s">
        <v>310</v>
      </c>
      <c r="S80" s="51"/>
      <c r="T80" s="50"/>
      <c r="U80" s="48"/>
      <c r="V80" s="47"/>
      <c r="W80" s="45"/>
      <c r="X80" s="45"/>
      <c r="Y80" s="49"/>
      <c r="Z80" s="49"/>
      <c r="AA80" s="47">
        <v>46251</v>
      </c>
      <c r="AB80" s="48" t="str">
        <f ca="1">IF(AA80&lt;TODAY(),"VENCIDO","POR VENCER")</f>
        <v>POR VENCER</v>
      </c>
      <c r="AC80" s="47">
        <v>46261</v>
      </c>
      <c r="AD80" s="46" t="s">
        <v>309</v>
      </c>
      <c r="AE80" s="45" t="s">
        <v>308</v>
      </c>
      <c r="AF80" s="41" t="str" cm="1">
        <f t="array" ref="AF80">IFERROR(_xlfn.XLOOKUP(TRIM($E80),TRIM('Año 2026'!$E$3:$E$66),'Año 2026'!$G$3:$G$66),"")</f>
        <v>Oficio N° 00450-2026-SUNEDU-DS-DIRESESU-UVE</v>
      </c>
      <c r="AG80" s="41" cm="1">
        <f t="array" ref="AG80">IFERROR(_xlfn.XLOOKUP(TRIM($E80),TRIM('Año 2026'!$E$3:$E$66),'Año 2026'!$H$3:$H$66),"")</f>
        <v>46057</v>
      </c>
      <c r="AH80" s="41" cm="1">
        <f t="array" ref="AH80">IFERROR(_xlfn.XLOOKUP(TRIM($E80),TRIM('Año 2026'!$E$3:$E$66),'Año 2026'!$I$3:$I$66),"")</f>
        <v>5</v>
      </c>
      <c r="AI80" s="41" cm="1">
        <f t="array" ref="AI80">IFERROR(_xlfn.XLOOKUP(TRIM($E80),TRIM('Año 2026'!$E$3:$E$66),'Año 2026'!$J$3:$J$66),"")</f>
        <v>46064</v>
      </c>
      <c r="AJ80" s="41" cm="1">
        <f t="array" aca="1" ref="AJ80" ca="1">IFERROR(_xlfn.XLOOKUP(TRIM($E80),TRIM('Año 2026'!$E$3:$E$66),'Año 2026'!$K$3:$K$66),"")</f>
        <v>-128</v>
      </c>
      <c r="AK80" s="41" t="str" cm="1">
        <f t="array" aca="1" ref="AK80" ca="1">IFERROR(_xlfn.XLOOKUP(TRIM($E80),TRIM('Año 2026'!$E$3:$E$66),'Año 2026'!$L$3:$L$66),"")</f>
        <v>NUEVA FECHA</v>
      </c>
      <c r="AL80" s="41" t="str" cm="1">
        <f t="array" aca="1" ref="AL80" ca="1">IFERROR(_xlfn.XLOOKUP(TRIM($E80),TRIM('Año 2026'!$E$3:$E$66),'Año 2026'!$M$3:$M$66),"")</f>
        <v>NUEVA FECHA</v>
      </c>
      <c r="AM80" s="41" t="str" cm="1">
        <f t="array" ref="AM80">IFERROR(_xlfn.XLOOKUP(TRIM($E80),TRIM('Año 2026'!$E$3:$E$66),'Año 2026'!$N$3:$N$66),"")</f>
        <v>Ajustes al plazo</v>
      </c>
      <c r="AN80" s="41" cm="1">
        <f t="array" ref="AN80">IFERROR(_xlfn.XLOOKUP(TRIM($E80),TRIM('Año 2026'!$E$3:$E$66),'Año 2026'!$O$3:$O$66),"")</f>
        <v>0</v>
      </c>
      <c r="AO80" s="41" t="str" cm="1">
        <f t="array" ref="AO80">IFERROR(_xlfn.XLOOKUP(TRIM($E80),TRIM('Año 2026'!$E$3:$E$66),'Año 2026'!$P$3:$P$66),"")</f>
        <v>Visita de inspección</v>
      </c>
      <c r="AP80" s="41" cm="1">
        <f t="array" ref="AP80">IFERROR(_xlfn.XLOOKUP(TRIM($E80),TRIM('Año 2026'!$E$3:$E$66),'Año 2026'!$Q$3:$Q$66),"")</f>
        <v>0</v>
      </c>
      <c r="AQ80" s="41" cm="1">
        <f t="array" ref="AQ80">IFERROR(_xlfn.XLOOKUP(TRIM($E80),TRIM('Año 2026'!$E$3:$E$66),'Año 2026'!$R$3:$R$66),"")</f>
        <v>0</v>
      </c>
      <c r="AR80" s="41" cm="1">
        <f t="array" ref="AR80">IFERROR(_xlfn.XLOOKUP(TRIM($E80),TRIM('Año 2026'!$E$3:$E$66),'Año 2026'!$S$3:$S$66),"")</f>
        <v>0</v>
      </c>
      <c r="AS80" s="41" cm="1">
        <f t="array" ref="AS80">IFERROR(_xlfn.XLOOKUP(TRIM($E80),TRIM('Año 2026'!$E$3:$E$66),'Año 2026'!$T$3:$T$66),"")</f>
        <v>0</v>
      </c>
      <c r="AT80" s="41" cm="1">
        <f t="array" ref="AT80">IFERROR(_xlfn.XLOOKUP(TRIM($E80),TRIM('Año 2026'!$E$3:$E$66),'Año 2026'!$U$3:$U$66),"")</f>
        <v>0</v>
      </c>
      <c r="AU80" s="41" t="str" cm="1">
        <f t="array" ref="AU80">IFERROR(_xlfn.XLOOKUP(TRIM($E80),TRIM('Año 2026'!$E$3:$E$66),'Año 2026'!$V$3:$V$66),"")</f>
        <v>Oficio N° XXX-2026-SUNEDU-DS-DIRESESU-UVE</v>
      </c>
      <c r="AV80" s="41" cm="1">
        <f t="array" ref="AV80">IFERROR(_xlfn.XLOOKUP(TRIM($E80),TRIM('Año 2026'!$E$3:$E$66),'Año 2026'!$W$3:$W$66),"")</f>
        <v>0</v>
      </c>
      <c r="AW80" s="41" cm="1">
        <f t="array" ref="AW80">IFERROR(_xlfn.XLOOKUP(TRIM($E80),TRIM('Año 2026'!$E$3:$E$66),'Año 2026'!$X$3:$X$66),"")</f>
        <v>3</v>
      </c>
      <c r="AX80" s="41" t="str" cm="1">
        <f t="array" ref="AX80">IFERROR(_xlfn.XLOOKUP(TRIM($E80),TRIM('Año 2026'!$E$3:$E$66),'Año 2026'!$Y$3:$Y$66),"")</f>
        <v/>
      </c>
      <c r="AY80" s="41" t="str" cm="1">
        <f t="array" aca="1" ref="AY80" ca="1">IFERROR(_xlfn.XLOOKUP(TRIM($E80),TRIM('Año 2026'!$E$3:$E$66),'Año 2026'!$Z$3:$Z$66),"")</f>
        <v/>
      </c>
      <c r="AZ80" s="41" t="str" cm="1">
        <f t="array" aca="1" ref="AZ80" ca="1">IFERROR(_xlfn.XLOOKUP(TRIM($E80),TRIM('Año 2026'!$E$3:$E$66),'Año 2026'!$AA$3:$AA$66),"")</f>
        <v/>
      </c>
      <c r="BA80" s="41" t="str" cm="1">
        <f t="array" aca="1" ref="BA80" ca="1">IFERROR(_xlfn.XLOOKUP(TRIM($E80),TRIM('Año 2026'!$E$3:$E$66),'Año 2026'!$AB$3:$AB$66),"")</f>
        <v/>
      </c>
      <c r="BB80" s="41" t="str" cm="1">
        <f t="array" ref="BB80">IFERROR(_xlfn.XLOOKUP(TRIM($E80),TRIM('Año 2026'!$E$3:$E$66),'Año 2026'!$AC$3:$AC$66),"")</f>
        <v>Entregado</v>
      </c>
      <c r="BC80" s="41" t="str" cm="1">
        <f t="array" ref="BC80">IFERROR(_xlfn.XLOOKUP(TRIM($E80),TRIM('Año 2026'!$E$3:$E$66),'Año 2026'!$AD$3:$AD$66),"")</f>
        <v>Visita Remota / Verificar</v>
      </c>
    </row>
    <row r="81" spans="1:55" s="41" customFormat="1" ht="105" customHeight="1" x14ac:dyDescent="0.25">
      <c r="A81" s="48">
        <v>80</v>
      </c>
      <c r="B81" s="48">
        <v>2026</v>
      </c>
      <c r="C81" s="51" t="s">
        <v>277</v>
      </c>
      <c r="D81" s="51" t="s">
        <v>284</v>
      </c>
      <c r="E81" s="54" t="s">
        <v>55</v>
      </c>
      <c r="F81" s="53" t="s">
        <v>269</v>
      </c>
      <c r="G81" s="51" t="s">
        <v>3352</v>
      </c>
      <c r="H81" s="105">
        <v>14</v>
      </c>
      <c r="I81" s="48" t="s">
        <v>295</v>
      </c>
      <c r="J81" s="51"/>
      <c r="K81" s="51"/>
      <c r="L81" s="51"/>
      <c r="M81" s="51"/>
      <c r="N81" s="51"/>
      <c r="O81" s="51"/>
      <c r="P81" s="51"/>
      <c r="Q81" s="51"/>
      <c r="R81" s="45" t="s">
        <v>307</v>
      </c>
      <c r="S81" s="51"/>
      <c r="T81" s="50"/>
      <c r="U81" s="48"/>
      <c r="V81" s="47"/>
      <c r="W81" s="45"/>
      <c r="X81" s="45"/>
      <c r="Y81" s="49"/>
      <c r="Z81" s="49"/>
      <c r="AA81" s="47"/>
      <c r="AB81" s="48"/>
      <c r="AC81" s="47"/>
      <c r="AD81" s="46"/>
      <c r="AE81" s="45"/>
      <c r="AF81" s="41" t="str" cm="1">
        <f t="array" ref="AF81">IFERROR(_xlfn.XLOOKUP(TRIM($E81),TRIM('Año 2026'!$E$3:$E$66),'Año 2026'!$G$3:$G$66),"")</f>
        <v>Oficio N° 00684-2026-SUNEDU-DS-DIRESESU-UVE</v>
      </c>
      <c r="AG81" s="41" cm="1">
        <f t="array" ref="AG81">IFERROR(_xlfn.XLOOKUP(TRIM($E81),TRIM('Año 2026'!$E$3:$E$66),'Año 2026'!$H$3:$H$66),"")</f>
        <v>46084</v>
      </c>
      <c r="AH81" s="41" cm="1">
        <f t="array" ref="AH81">IFERROR(_xlfn.XLOOKUP(TRIM($E81),TRIM('Año 2026'!$E$3:$E$66),'Año 2026'!$I$3:$I$66),"")</f>
        <v>10</v>
      </c>
      <c r="AI81" s="41" cm="1">
        <f t="array" ref="AI81">IFERROR(_xlfn.XLOOKUP(TRIM($E81),TRIM('Año 2026'!$E$3:$E$66),'Año 2026'!$J$3:$J$66),"")</f>
        <v>46098</v>
      </c>
      <c r="AJ81" s="41" cm="1">
        <f t="array" aca="1" ref="AJ81" ca="1">IFERROR(_xlfn.XLOOKUP(TRIM($E81),TRIM('Año 2026'!$E$3:$E$66),'Año 2026'!$K$3:$K$66),"")</f>
        <v>-94</v>
      </c>
      <c r="AK81" s="41" t="str" cm="1">
        <f t="array" aca="1" ref="AK81" ca="1">IFERROR(_xlfn.XLOOKUP(TRIM($E81),TRIM('Año 2026'!$E$3:$E$66),'Año 2026'!$L$3:$L$66),"")</f>
        <v>NUEVA FECHA</v>
      </c>
      <c r="AL81" s="41" t="str" cm="1">
        <f t="array" aca="1" ref="AL81" ca="1">IFERROR(_xlfn.XLOOKUP(TRIM($E81),TRIM('Año 2026'!$E$3:$E$66),'Año 2026'!$M$3:$M$66),"")</f>
        <v>NUEVA FECHA</v>
      </c>
      <c r="AM81" s="41" t="str" cm="1">
        <f t="array" ref="AM81">IFERROR(_xlfn.XLOOKUP(TRIM($E81),TRIM('Año 2026'!$E$3:$E$66),'Año 2026'!$N$3:$N$66),"")</f>
        <v>Ajustes al plazo</v>
      </c>
      <c r="AN81" s="41" cm="1">
        <f t="array" ref="AN81">IFERROR(_xlfn.XLOOKUP(TRIM($E81),TRIM('Año 2026'!$E$3:$E$66),'Año 2026'!$O$3:$O$66),"")</f>
        <v>0</v>
      </c>
      <c r="AO81" s="41" t="str" cm="1">
        <f t="array" ref="AO81">IFERROR(_xlfn.XLOOKUP(TRIM($E81),TRIM('Año 2026'!$E$3:$E$66),'Año 2026'!$P$3:$P$66),"")</f>
        <v>Visita de inspección</v>
      </c>
      <c r="AP81" s="41" cm="1">
        <f t="array" ref="AP81">IFERROR(_xlfn.XLOOKUP(TRIM($E81),TRIM('Año 2026'!$E$3:$E$66),'Año 2026'!$Q$3:$Q$66),"")</f>
        <v>0</v>
      </c>
      <c r="AQ81" s="41" cm="1">
        <f t="array" ref="AQ81">IFERROR(_xlfn.XLOOKUP(TRIM($E81),TRIM('Año 2026'!$E$3:$E$66),'Año 2026'!$R$3:$R$66),"")</f>
        <v>0</v>
      </c>
      <c r="AR81" s="41" cm="1">
        <f t="array" ref="AR81">IFERROR(_xlfn.XLOOKUP(TRIM($E81),TRIM('Año 2026'!$E$3:$E$66),'Año 2026'!$S$3:$S$66),"")</f>
        <v>0</v>
      </c>
      <c r="AS81" s="41" cm="1">
        <f t="array" ref="AS81">IFERROR(_xlfn.XLOOKUP(TRIM($E81),TRIM('Año 2026'!$E$3:$E$66),'Año 2026'!$T$3:$T$66),"")</f>
        <v>0</v>
      </c>
      <c r="AT81" s="41" cm="1">
        <f t="array" ref="AT81">IFERROR(_xlfn.XLOOKUP(TRIM($E81),TRIM('Año 2026'!$E$3:$E$66),'Año 2026'!$U$3:$U$66),"")</f>
        <v>0</v>
      </c>
      <c r="AU81" s="41" t="str" cm="1">
        <f t="array" ref="AU81">IFERROR(_xlfn.XLOOKUP(TRIM($E81),TRIM('Año 2026'!$E$3:$E$66),'Año 2026'!$V$3:$V$66),"")</f>
        <v>Acta de visita de inspección</v>
      </c>
      <c r="AV81" s="41" cm="1">
        <f t="array" ref="AV81">IFERROR(_xlfn.XLOOKUP(TRIM($E81),TRIM('Año 2026'!$E$3:$E$66),'Año 2026'!$W$3:$W$66),"")</f>
        <v>46150</v>
      </c>
      <c r="AW81" s="41" cm="1">
        <f t="array" ref="AW81">IFERROR(_xlfn.XLOOKUP(TRIM($E81),TRIM('Año 2026'!$E$3:$E$66),'Año 2026'!$X$3:$X$66),"")</f>
        <v>10</v>
      </c>
      <c r="AX81" s="41" t="str" cm="1">
        <f t="array" ref="AX81">IFERROR(_xlfn.XLOOKUP(TRIM($E81),TRIM('Año 2026'!$E$3:$E$66),'Año 2026'!$Y$3:$Y$66),"")</f>
        <v/>
      </c>
      <c r="AY81" s="41" t="str" cm="1">
        <f t="array" aca="1" ref="AY81" ca="1">IFERROR(_xlfn.XLOOKUP(TRIM($E81),TRIM('Año 2026'!$E$3:$E$66),'Año 2026'!$Z$3:$Z$66),"")</f>
        <v/>
      </c>
      <c r="AZ81" s="41" t="str" cm="1">
        <f t="array" aca="1" ref="AZ81" ca="1">IFERROR(_xlfn.XLOOKUP(TRIM($E81),TRIM('Año 2026'!$E$3:$E$66),'Año 2026'!$AA$3:$AA$66),"")</f>
        <v/>
      </c>
      <c r="BA81" s="41" t="str" cm="1">
        <f t="array" aca="1" ref="BA81" ca="1">IFERROR(_xlfn.XLOOKUP(TRIM($E81),TRIM('Año 2026'!$E$3:$E$66),'Año 2026'!$AB$3:$AB$66),"")</f>
        <v/>
      </c>
      <c r="BB81" s="41" cm="1">
        <f t="array" ref="BB81">IFERROR(_xlfn.XLOOKUP(TRIM($E81),TRIM('Año 2026'!$E$3:$E$66),'Año 2026'!$AC$3:$AC$66),"")</f>
        <v>0</v>
      </c>
      <c r="BC81" s="41" cm="1">
        <f t="array" ref="BC81">IFERROR(_xlfn.XLOOKUP(TRIM($E81),TRIM('Año 2026'!$E$3:$E$66),'Año 2026'!$AD$3:$AD$66),"")</f>
        <v>0</v>
      </c>
    </row>
    <row r="82" spans="1:55" s="41" customFormat="1" ht="105" customHeight="1" x14ac:dyDescent="0.25">
      <c r="A82" s="48">
        <v>81</v>
      </c>
      <c r="B82" s="48">
        <v>2026</v>
      </c>
      <c r="C82" s="51" t="s">
        <v>277</v>
      </c>
      <c r="D82" s="51" t="s">
        <v>284</v>
      </c>
      <c r="E82" s="54" t="s">
        <v>60</v>
      </c>
      <c r="F82" s="53" t="s">
        <v>269</v>
      </c>
      <c r="G82" s="51" t="s">
        <v>61</v>
      </c>
      <c r="H82" s="105">
        <v>43</v>
      </c>
      <c r="I82" s="48" t="s">
        <v>266</v>
      </c>
      <c r="J82" s="51"/>
      <c r="K82" s="51"/>
      <c r="L82" s="51"/>
      <c r="M82" s="51"/>
      <c r="N82" s="51"/>
      <c r="O82" s="51"/>
      <c r="P82" s="51"/>
      <c r="Q82" s="51"/>
      <c r="R82" s="45"/>
      <c r="S82" s="51"/>
      <c r="T82" s="50"/>
      <c r="U82" s="48"/>
      <c r="V82" s="47"/>
      <c r="W82" s="45"/>
      <c r="X82" s="45"/>
      <c r="Y82" s="49"/>
      <c r="Z82" s="49"/>
      <c r="AA82" s="47">
        <v>46253</v>
      </c>
      <c r="AB82" s="48"/>
      <c r="AC82" s="47">
        <v>46260</v>
      </c>
      <c r="AD82" s="46"/>
      <c r="AE82" s="45"/>
      <c r="AF82" s="41" t="str" cm="1">
        <f t="array" ref="AF82">IFERROR(_xlfn.XLOOKUP(TRIM($E82),TRIM('Año 2026'!$E$3:$E$66),'Año 2026'!$G$3:$G$66),"")</f>
        <v>Oficio N° 01181-2026-SUNEDU-DS-DIRESESU-UVE</v>
      </c>
      <c r="AG82" s="41" cm="1">
        <f t="array" ref="AG82">IFERROR(_xlfn.XLOOKUP(TRIM($E82),TRIM('Año 2026'!$E$3:$E$66),'Año 2026'!$H$3:$H$66),"")</f>
        <v>46108</v>
      </c>
      <c r="AH82" s="41" cm="1">
        <f t="array" ref="AH82">IFERROR(_xlfn.XLOOKUP(TRIM($E82),TRIM('Año 2026'!$E$3:$E$66),'Año 2026'!$I$3:$I$66),"")</f>
        <v>5</v>
      </c>
      <c r="AI82" s="41" cm="1">
        <f t="array" ref="AI82">IFERROR(_xlfn.XLOOKUP(TRIM($E82),TRIM('Año 2026'!$E$3:$E$66),'Año 2026'!$J$3:$J$66),"")</f>
        <v>46115</v>
      </c>
      <c r="AJ82" s="41" cm="1">
        <f t="array" aca="1" ref="AJ82" ca="1">IFERROR(_xlfn.XLOOKUP(TRIM($E82),TRIM('Año 2026'!$E$3:$E$66),'Año 2026'!$K$3:$K$66),"")</f>
        <v>-77</v>
      </c>
      <c r="AK82" s="41" t="str" cm="1">
        <f t="array" aca="1" ref="AK82" ca="1">IFERROR(_xlfn.XLOOKUP(TRIM($E82),TRIM('Año 2026'!$E$3:$E$66),'Año 2026'!$L$3:$L$66),"")</f>
        <v>CONCLUIDO</v>
      </c>
      <c r="AL82" s="41" t="str" cm="1">
        <f t="array" aca="1" ref="AL82" ca="1">IFERROR(_xlfn.XLOOKUP(TRIM($E82),TRIM('Año 2026'!$E$3:$E$66),'Año 2026'!$M$3:$M$66),"")</f>
        <v>CONCLUIDO</v>
      </c>
      <c r="AM82" s="41" t="str" cm="1">
        <f t="array" ref="AM82">IFERROR(_xlfn.XLOOKUP(TRIM($E82),TRIM('Año 2026'!$E$3:$E$66),'Año 2026'!$N$3:$N$66),"")</f>
        <v>Entregado</v>
      </c>
      <c r="AN82" s="41" cm="1">
        <f t="array" ref="AN82">IFERROR(_xlfn.XLOOKUP(TRIM($E82),TRIM('Año 2026'!$E$3:$E$66),'Año 2026'!$O$3:$O$66),"")</f>
        <v>0</v>
      </c>
      <c r="AO82" s="41" cm="1">
        <f t="array" ref="AO82">IFERROR(_xlfn.XLOOKUP(TRIM($E82),TRIM('Año 2026'!$E$3:$E$66),'Año 2026'!$P$3:$P$66),"")</f>
        <v>0</v>
      </c>
      <c r="AP82" s="41" cm="1">
        <f t="array" ref="AP82">IFERROR(_xlfn.XLOOKUP(TRIM($E82),TRIM('Año 2026'!$E$3:$E$66),'Año 2026'!$Q$3:$Q$66),"")</f>
        <v>0</v>
      </c>
      <c r="AQ82" s="41" cm="1">
        <f t="array" ref="AQ82">IFERROR(_xlfn.XLOOKUP(TRIM($E82),TRIM('Año 2026'!$E$3:$E$66),'Año 2026'!$R$3:$R$66),"")</f>
        <v>0</v>
      </c>
      <c r="AR82" s="41" cm="1">
        <f t="array" ref="AR82">IFERROR(_xlfn.XLOOKUP(TRIM($E82),TRIM('Año 2026'!$E$3:$E$66),'Año 2026'!$S$3:$S$66),"")</f>
        <v>0</v>
      </c>
      <c r="AS82" s="41" cm="1">
        <f t="array" ref="AS82">IFERROR(_xlfn.XLOOKUP(TRIM($E82),TRIM('Año 2026'!$E$3:$E$66),'Año 2026'!$T$3:$T$66),"")</f>
        <v>0</v>
      </c>
      <c r="AT82" s="41" cm="1">
        <f t="array" ref="AT82">IFERROR(_xlfn.XLOOKUP(TRIM($E82),TRIM('Año 2026'!$E$3:$E$66),'Año 2026'!$U$3:$U$66),"")</f>
        <v>0</v>
      </c>
      <c r="AU82" s="41" cm="1">
        <f t="array" ref="AU82">IFERROR(_xlfn.XLOOKUP(TRIM($E82),TRIM('Año 2026'!$E$3:$E$66),'Año 2026'!$V$3:$V$66),"")</f>
        <v>0</v>
      </c>
      <c r="AV82" s="41" cm="1">
        <f t="array" ref="AV82">IFERROR(_xlfn.XLOOKUP(TRIM($E82),TRIM('Año 2026'!$E$3:$E$66),'Año 2026'!$W$3:$W$66),"")</f>
        <v>0</v>
      </c>
      <c r="AW82" s="41" cm="1">
        <f t="array" ref="AW82">IFERROR(_xlfn.XLOOKUP(TRIM($E82),TRIM('Año 2026'!$E$3:$E$66),'Año 2026'!$X$3:$X$66),"")</f>
        <v>0</v>
      </c>
      <c r="AX82" s="41" cm="1">
        <f t="array" ref="AX82">IFERROR(_xlfn.XLOOKUP(TRIM($E82),TRIM('Año 2026'!$E$3:$E$66),'Año 2026'!$Y$3:$Y$66),"")</f>
        <v>0</v>
      </c>
      <c r="AY82" s="41" cm="1">
        <f t="array" aca="1" ref="AY82" ca="1">IFERROR(_xlfn.XLOOKUP(TRIM($E82),TRIM('Año 2026'!$E$3:$E$66),'Año 2026'!$Z$3:$Z$66),"")</f>
        <v>-46192</v>
      </c>
      <c r="AZ82" s="41" t="str" cm="1">
        <f t="array" aca="1" ref="AZ82" ca="1">IFERROR(_xlfn.XLOOKUP(TRIM($E82),TRIM('Año 2026'!$E$3:$E$66),'Año 2026'!$AA$3:$AA$66),"")</f>
        <v>🚨 VENCIDO</v>
      </c>
      <c r="BA82" s="41" t="str" cm="1">
        <f t="array" aca="1" ref="BA82" ca="1">IFERROR(_xlfn.XLOOKUP(TRIM($E82),TRIM('Año 2026'!$E$3:$E$66),'Año 2026'!$AB$3:$AB$66),"")</f>
        <v>❌ Vencido por 46192 días</v>
      </c>
      <c r="BB82" s="41" cm="1">
        <f t="array" ref="BB82">IFERROR(_xlfn.XLOOKUP(TRIM($E82),TRIM('Año 2026'!$E$3:$E$66),'Año 2026'!$AC$3:$AC$66),"")</f>
        <v>0</v>
      </c>
      <c r="BC82" s="41" cm="1">
        <f t="array" ref="BC82">IFERROR(_xlfn.XLOOKUP(TRIM($E82),TRIM('Año 2026'!$E$3:$E$66),'Año 2026'!$AD$3:$AD$66),"")</f>
        <v>0</v>
      </c>
    </row>
    <row r="83" spans="1:55" s="41" customFormat="1" ht="105" customHeight="1" x14ac:dyDescent="0.25">
      <c r="A83" s="48"/>
      <c r="B83" s="51">
        <v>2025</v>
      </c>
      <c r="C83" s="58" t="s">
        <v>69</v>
      </c>
      <c r="D83" s="51" t="s">
        <v>284</v>
      </c>
      <c r="E83" s="58" t="s">
        <v>3294</v>
      </c>
      <c r="F83" s="53" t="s">
        <v>424</v>
      </c>
      <c r="G83" s="51" t="s">
        <v>3295</v>
      </c>
      <c r="H83" s="108">
        <v>16</v>
      </c>
      <c r="I83" s="51" t="s">
        <v>266</v>
      </c>
      <c r="J83" s="51" t="s">
        <v>3211</v>
      </c>
      <c r="K83" s="51" t="s">
        <v>476</v>
      </c>
      <c r="L83" s="51" t="s">
        <v>466</v>
      </c>
      <c r="M83" s="51" t="s">
        <v>465</v>
      </c>
      <c r="N83" s="51" t="s">
        <v>3371</v>
      </c>
      <c r="O83" s="51"/>
      <c r="P83" s="51"/>
      <c r="Q83" s="51"/>
      <c r="R83" s="66" t="s">
        <v>611</v>
      </c>
      <c r="S83" s="51" t="s">
        <v>372</v>
      </c>
      <c r="T83" s="50">
        <v>1</v>
      </c>
      <c r="U83" s="48" t="s">
        <v>471</v>
      </c>
      <c r="V83" s="47">
        <v>45987</v>
      </c>
      <c r="W83" s="45" t="s">
        <v>610</v>
      </c>
      <c r="X83" s="45"/>
      <c r="Y83" s="67" t="s">
        <v>462</v>
      </c>
      <c r="Z83" s="67"/>
      <c r="AA83" s="47"/>
      <c r="AB83" s="48" t="s">
        <v>317</v>
      </c>
      <c r="AC83" s="47"/>
      <c r="AD83" s="46" t="s">
        <v>333</v>
      </c>
      <c r="AE83" s="45" t="s">
        <v>612</v>
      </c>
      <c r="AF83" s="41" t="str" cm="1">
        <f t="array" ref="AF83">IFERROR(_xlfn.XLOOKUP(TRIM($E83),TRIM('Año 2026'!$E$3:$E$66),'Año 2026'!$G$3:$G$66),"")</f>
        <v/>
      </c>
      <c r="AG83" s="41" t="str" cm="1">
        <f t="array" ref="AG83">IFERROR(_xlfn.XLOOKUP(TRIM($E83),TRIM('Año 2026'!$E$3:$E$66),'Año 2026'!$H$3:$H$66),"")</f>
        <v/>
      </c>
      <c r="AH83" s="41" t="str" cm="1">
        <f t="array" ref="AH83">IFERROR(_xlfn.XLOOKUP(TRIM($E83),TRIM('Año 2026'!$E$3:$E$66),'Año 2026'!$I$3:$I$66),"")</f>
        <v/>
      </c>
      <c r="AI83" s="41" t="str" cm="1">
        <f t="array" ref="AI83">IFERROR(_xlfn.XLOOKUP(TRIM($E83),TRIM('Año 2026'!$E$3:$E$66),'Año 2026'!$J$3:$J$66),"")</f>
        <v/>
      </c>
      <c r="AJ83" s="41" t="str" cm="1">
        <f t="array" ref="AJ83">IFERROR(_xlfn.XLOOKUP(TRIM($E83),TRIM('Año 2026'!$E$3:$E$66),'Año 2026'!$K$3:$K$66),"")</f>
        <v/>
      </c>
      <c r="AK83" s="41" t="str" cm="1">
        <f t="array" ref="AK83">IFERROR(_xlfn.XLOOKUP(TRIM($E83),TRIM('Año 2026'!$E$3:$E$66),'Año 2026'!$L$3:$L$66),"")</f>
        <v/>
      </c>
      <c r="AL83" s="41" t="str" cm="1">
        <f t="array" ref="AL83">IFERROR(_xlfn.XLOOKUP(TRIM($E83),TRIM('Año 2026'!$E$3:$E$66),'Año 2026'!$M$3:$M$66),"")</f>
        <v/>
      </c>
      <c r="AM83" s="41" t="str" cm="1">
        <f t="array" ref="AM83">IFERROR(_xlfn.XLOOKUP(TRIM($E83),TRIM('Año 2026'!$E$3:$E$66),'Año 2026'!$N$3:$N$66),"")</f>
        <v/>
      </c>
      <c r="AN83" s="41" t="str" cm="1">
        <f t="array" ref="AN83">IFERROR(_xlfn.XLOOKUP(TRIM($E83),TRIM('Año 2026'!$E$3:$E$66),'Año 2026'!$O$3:$O$66),"")</f>
        <v/>
      </c>
      <c r="AO83" s="41" t="str" cm="1">
        <f t="array" ref="AO83">IFERROR(_xlfn.XLOOKUP(TRIM($E83),TRIM('Año 2026'!$E$3:$E$66),'Año 2026'!$P$3:$P$66),"")</f>
        <v/>
      </c>
      <c r="AP83" s="41" t="str" cm="1">
        <f t="array" ref="AP83">IFERROR(_xlfn.XLOOKUP(TRIM($E83),TRIM('Año 2026'!$E$3:$E$66),'Año 2026'!$Q$3:$Q$66),"")</f>
        <v/>
      </c>
      <c r="AQ83" s="41" t="str" cm="1">
        <f t="array" ref="AQ83">IFERROR(_xlfn.XLOOKUP(TRIM($E83),TRIM('Año 2026'!$E$3:$E$66),'Año 2026'!$R$3:$R$66),"")</f>
        <v/>
      </c>
      <c r="AR83" s="41" t="str" cm="1">
        <f t="array" ref="AR83">IFERROR(_xlfn.XLOOKUP(TRIM($E83),TRIM('Año 2026'!$E$3:$E$66),'Año 2026'!$S$3:$S$66),"")</f>
        <v/>
      </c>
      <c r="AS83" s="41" t="str" cm="1">
        <f t="array" ref="AS83">IFERROR(_xlfn.XLOOKUP(TRIM($E83),TRIM('Año 2026'!$E$3:$E$66),'Año 2026'!$T$3:$T$66),"")</f>
        <v/>
      </c>
      <c r="AT83" s="41" t="str" cm="1">
        <f t="array" ref="AT83">IFERROR(_xlfn.XLOOKUP(TRIM($E83),TRIM('Año 2026'!$E$3:$E$66),'Año 2026'!$U$3:$U$66),"")</f>
        <v/>
      </c>
      <c r="AU83" s="41" t="str" cm="1">
        <f t="array" ref="AU83">IFERROR(_xlfn.XLOOKUP(TRIM($E83),TRIM('Año 2026'!$E$3:$E$66),'Año 2026'!$V$3:$V$66),"")</f>
        <v/>
      </c>
      <c r="AV83" s="41" t="str" cm="1">
        <f t="array" ref="AV83">IFERROR(_xlfn.XLOOKUP(TRIM($E83),TRIM('Año 2026'!$E$3:$E$66),'Año 2026'!$W$3:$W$66),"")</f>
        <v/>
      </c>
      <c r="AW83" s="41" t="str" cm="1">
        <f t="array" ref="AW83">IFERROR(_xlfn.XLOOKUP(TRIM($E83),TRIM('Año 2026'!$E$3:$E$66),'Año 2026'!$X$3:$X$66),"")</f>
        <v/>
      </c>
      <c r="AX83" s="41" t="str" cm="1">
        <f t="array" ref="AX83">IFERROR(_xlfn.XLOOKUP(TRIM($E83),TRIM('Año 2026'!$E$3:$E$66),'Año 2026'!$Y$3:$Y$66),"")</f>
        <v/>
      </c>
      <c r="AY83" s="41" t="str" cm="1">
        <f t="array" ref="AY83">IFERROR(_xlfn.XLOOKUP(TRIM($E83),TRIM('Año 2026'!$E$3:$E$66),'Año 2026'!$Z$3:$Z$66),"")</f>
        <v/>
      </c>
      <c r="AZ83" s="41" t="str" cm="1">
        <f t="array" ref="AZ83">IFERROR(_xlfn.XLOOKUP(TRIM($E83),TRIM('Año 2026'!$E$3:$E$66),'Año 2026'!$AA$3:$AA$66),"")</f>
        <v/>
      </c>
      <c r="BA83" s="41" t="str" cm="1">
        <f t="array" ref="BA83">IFERROR(_xlfn.XLOOKUP(TRIM($E83),TRIM('Año 2026'!$E$3:$E$66),'Año 2026'!$AB$3:$AB$66),"")</f>
        <v/>
      </c>
      <c r="BB83" s="41" t="str" cm="1">
        <f t="array" ref="BB83">IFERROR(_xlfn.XLOOKUP(TRIM($E83),TRIM('Año 2026'!$E$3:$E$66),'Año 2026'!$AC$3:$AC$66),"")</f>
        <v/>
      </c>
      <c r="BC83" s="41" t="str" cm="1">
        <f t="array" ref="BC83">IFERROR(_xlfn.XLOOKUP(TRIM($E83),TRIM('Año 2026'!$E$3:$E$66),'Año 2026'!$AD$3:$AD$66),"")</f>
        <v/>
      </c>
    </row>
    <row r="84" spans="1:55" s="41" customFormat="1" ht="105" customHeight="1" x14ac:dyDescent="0.25">
      <c r="A84" s="48"/>
      <c r="B84" s="51">
        <v>2025</v>
      </c>
      <c r="C84" s="51" t="s">
        <v>69</v>
      </c>
      <c r="D84" s="51" t="s">
        <v>284</v>
      </c>
      <c r="E84" s="51" t="s">
        <v>475</v>
      </c>
      <c r="F84" s="53" t="s">
        <v>424</v>
      </c>
      <c r="G84" s="51" t="s">
        <v>474</v>
      </c>
      <c r="H84" s="108">
        <v>16</v>
      </c>
      <c r="I84" s="51" t="s">
        <v>266</v>
      </c>
      <c r="J84" s="51" t="s">
        <v>3211</v>
      </c>
      <c r="K84" s="51"/>
      <c r="L84" s="51"/>
      <c r="M84" s="51"/>
      <c r="N84" s="51" t="s">
        <v>3371</v>
      </c>
      <c r="O84" s="51" t="s">
        <v>798</v>
      </c>
      <c r="P84" s="51" t="s">
        <v>360</v>
      </c>
      <c r="Q84" s="51" t="s">
        <v>472</v>
      </c>
      <c r="R84" s="66" t="s">
        <v>473</v>
      </c>
      <c r="S84" s="51" t="s">
        <v>347</v>
      </c>
      <c r="T84" s="50">
        <v>1</v>
      </c>
      <c r="U84" s="48" t="s">
        <v>471</v>
      </c>
      <c r="V84" s="47">
        <v>45988</v>
      </c>
      <c r="W84" s="45" t="s">
        <v>470</v>
      </c>
      <c r="X84" s="45"/>
      <c r="Y84" s="67"/>
      <c r="Z84" s="67"/>
      <c r="AA84" s="47"/>
      <c r="AB84" s="48" t="s">
        <v>317</v>
      </c>
      <c r="AC84" s="47"/>
      <c r="AD84" s="46" t="s">
        <v>333</v>
      </c>
      <c r="AE84" s="45" t="s">
        <v>469</v>
      </c>
      <c r="AF84" s="41" t="str" cm="1">
        <f t="array" ref="AF84">IFERROR(_xlfn.XLOOKUP(TRIM($E84),TRIM('Año 2026'!$E$3:$E$66),'Año 2026'!$G$3:$G$66),"")</f>
        <v/>
      </c>
      <c r="AG84" s="41" t="str" cm="1">
        <f t="array" ref="AG84">IFERROR(_xlfn.XLOOKUP(TRIM($E84),TRIM('Año 2026'!$E$3:$E$66),'Año 2026'!$H$3:$H$66),"")</f>
        <v/>
      </c>
      <c r="AH84" s="41" t="str" cm="1">
        <f t="array" ref="AH84">IFERROR(_xlfn.XLOOKUP(TRIM($E84),TRIM('Año 2026'!$E$3:$E$66),'Año 2026'!$I$3:$I$66),"")</f>
        <v/>
      </c>
      <c r="AI84" s="41" t="str" cm="1">
        <f t="array" ref="AI84">IFERROR(_xlfn.XLOOKUP(TRIM($E84),TRIM('Año 2026'!$E$3:$E$66),'Año 2026'!$J$3:$J$66),"")</f>
        <v/>
      </c>
      <c r="AJ84" s="41" t="str" cm="1">
        <f t="array" ref="AJ84">IFERROR(_xlfn.XLOOKUP(TRIM($E84),TRIM('Año 2026'!$E$3:$E$66),'Año 2026'!$K$3:$K$66),"")</f>
        <v/>
      </c>
      <c r="AK84" s="41" t="str" cm="1">
        <f t="array" ref="AK84">IFERROR(_xlfn.XLOOKUP(TRIM($E84),TRIM('Año 2026'!$E$3:$E$66),'Año 2026'!$L$3:$L$66),"")</f>
        <v/>
      </c>
      <c r="AL84" s="41" t="str" cm="1">
        <f t="array" ref="AL84">IFERROR(_xlfn.XLOOKUP(TRIM($E84),TRIM('Año 2026'!$E$3:$E$66),'Año 2026'!$M$3:$M$66),"")</f>
        <v/>
      </c>
      <c r="AM84" s="41" t="str" cm="1">
        <f t="array" ref="AM84">IFERROR(_xlfn.XLOOKUP(TRIM($E84),TRIM('Año 2026'!$E$3:$E$66),'Año 2026'!$N$3:$N$66),"")</f>
        <v/>
      </c>
      <c r="AN84" s="41" t="str" cm="1">
        <f t="array" ref="AN84">IFERROR(_xlfn.XLOOKUP(TRIM($E84),TRIM('Año 2026'!$E$3:$E$66),'Año 2026'!$O$3:$O$66),"")</f>
        <v/>
      </c>
      <c r="AO84" s="41" t="str" cm="1">
        <f t="array" ref="AO84">IFERROR(_xlfn.XLOOKUP(TRIM($E84),TRIM('Año 2026'!$E$3:$E$66),'Año 2026'!$P$3:$P$66),"")</f>
        <v/>
      </c>
      <c r="AP84" s="41" t="str" cm="1">
        <f t="array" ref="AP84">IFERROR(_xlfn.XLOOKUP(TRIM($E84),TRIM('Año 2026'!$E$3:$E$66),'Año 2026'!$Q$3:$Q$66),"")</f>
        <v/>
      </c>
      <c r="AQ84" s="41" t="str" cm="1">
        <f t="array" ref="AQ84">IFERROR(_xlfn.XLOOKUP(TRIM($E84),TRIM('Año 2026'!$E$3:$E$66),'Año 2026'!$R$3:$R$66),"")</f>
        <v/>
      </c>
      <c r="AR84" s="41" t="str" cm="1">
        <f t="array" ref="AR84">IFERROR(_xlfn.XLOOKUP(TRIM($E84),TRIM('Año 2026'!$E$3:$E$66),'Año 2026'!$S$3:$S$66),"")</f>
        <v/>
      </c>
      <c r="AS84" s="41" t="str" cm="1">
        <f t="array" ref="AS84">IFERROR(_xlfn.XLOOKUP(TRIM($E84),TRIM('Año 2026'!$E$3:$E$66),'Año 2026'!$T$3:$T$66),"")</f>
        <v/>
      </c>
      <c r="AT84" s="41" t="str" cm="1">
        <f t="array" ref="AT84">IFERROR(_xlfn.XLOOKUP(TRIM($E84),TRIM('Año 2026'!$E$3:$E$66),'Año 2026'!$U$3:$U$66),"")</f>
        <v/>
      </c>
      <c r="AU84" s="41" t="str" cm="1">
        <f t="array" ref="AU84">IFERROR(_xlfn.XLOOKUP(TRIM($E84),TRIM('Año 2026'!$E$3:$E$66),'Año 2026'!$V$3:$V$66),"")</f>
        <v/>
      </c>
      <c r="AV84" s="41" t="str" cm="1">
        <f t="array" ref="AV84">IFERROR(_xlfn.XLOOKUP(TRIM($E84),TRIM('Año 2026'!$E$3:$E$66),'Año 2026'!$W$3:$W$66),"")</f>
        <v/>
      </c>
      <c r="AW84" s="41" t="str" cm="1">
        <f t="array" ref="AW84">IFERROR(_xlfn.XLOOKUP(TRIM($E84),TRIM('Año 2026'!$E$3:$E$66),'Año 2026'!$X$3:$X$66),"")</f>
        <v/>
      </c>
      <c r="AX84" s="41" t="str" cm="1">
        <f t="array" ref="AX84">IFERROR(_xlfn.XLOOKUP(TRIM($E84),TRIM('Año 2026'!$E$3:$E$66),'Año 2026'!$Y$3:$Y$66),"")</f>
        <v/>
      </c>
      <c r="AY84" s="41" t="str" cm="1">
        <f t="array" ref="AY84">IFERROR(_xlfn.XLOOKUP(TRIM($E84),TRIM('Año 2026'!$E$3:$E$66),'Año 2026'!$Z$3:$Z$66),"")</f>
        <v/>
      </c>
      <c r="AZ84" s="41" t="str" cm="1">
        <f t="array" ref="AZ84">IFERROR(_xlfn.XLOOKUP(TRIM($E84),TRIM('Año 2026'!$E$3:$E$66),'Año 2026'!$AA$3:$AA$66),"")</f>
        <v/>
      </c>
      <c r="BA84" s="41" t="str" cm="1">
        <f t="array" ref="BA84">IFERROR(_xlfn.XLOOKUP(TRIM($E84),TRIM('Año 2026'!$E$3:$E$66),'Año 2026'!$AB$3:$AB$66),"")</f>
        <v/>
      </c>
      <c r="BB84" s="41" t="str" cm="1">
        <f t="array" ref="BB84">IFERROR(_xlfn.XLOOKUP(TRIM($E84),TRIM('Año 2026'!$E$3:$E$66),'Año 2026'!$AC$3:$AC$66),"")</f>
        <v/>
      </c>
      <c r="BC84" s="41" t="str" cm="1">
        <f t="array" ref="BC84">IFERROR(_xlfn.XLOOKUP(TRIM($E84),TRIM('Año 2026'!$E$3:$E$66),'Año 2026'!$AD$3:$AD$66),"")</f>
        <v/>
      </c>
    </row>
    <row r="85" spans="1:55" s="41" customFormat="1" ht="105" customHeight="1" x14ac:dyDescent="0.25">
      <c r="A85" s="48"/>
      <c r="B85" s="48">
        <v>2026</v>
      </c>
      <c r="C85" s="51" t="s">
        <v>69</v>
      </c>
      <c r="D85" s="51" t="s">
        <v>287</v>
      </c>
      <c r="E85" s="51" t="s">
        <v>81</v>
      </c>
      <c r="F85" s="53" t="s">
        <v>269</v>
      </c>
      <c r="G85" s="51" t="s">
        <v>304</v>
      </c>
      <c r="H85" s="105">
        <v>13</v>
      </c>
      <c r="I85" s="48" t="s">
        <v>295</v>
      </c>
      <c r="J85" s="51"/>
      <c r="K85" s="51"/>
      <c r="L85" s="51"/>
      <c r="M85" s="51"/>
      <c r="N85" s="51"/>
      <c r="O85" s="51"/>
      <c r="P85" s="51"/>
      <c r="Q85" s="51"/>
      <c r="R85" s="45" t="s">
        <v>3353</v>
      </c>
      <c r="S85" s="51"/>
      <c r="T85" s="50"/>
      <c r="U85" s="48"/>
      <c r="V85" s="47"/>
      <c r="W85" s="45"/>
      <c r="X85" s="45"/>
      <c r="Y85" s="49"/>
      <c r="Z85" s="49"/>
      <c r="AA85" s="47"/>
      <c r="AB85" s="48"/>
      <c r="AC85" s="47"/>
      <c r="AD85" s="46"/>
      <c r="AE85" s="45"/>
      <c r="AF85" s="41" cm="1">
        <f t="array" ref="AF85">IFERROR(_xlfn.XLOOKUP(TRIM($E85),TRIM('Año 2026'!$E$3:$E$66),'Año 2026'!$G$3:$G$66),"")</f>
        <v>0</v>
      </c>
      <c r="AG85" s="41" cm="1">
        <f t="array" ref="AG85">IFERROR(_xlfn.XLOOKUP(TRIM($E85),TRIM('Año 2026'!$E$3:$E$66),'Año 2026'!$H$3:$H$66),"")</f>
        <v>0</v>
      </c>
      <c r="AH85" s="41" cm="1">
        <f t="array" ref="AH85">IFERROR(_xlfn.XLOOKUP(TRIM($E85),TRIM('Año 2026'!$E$3:$E$66),'Año 2026'!$I$3:$I$66),"")</f>
        <v>0</v>
      </c>
      <c r="AI85" s="41" cm="1">
        <f t="array" ref="AI85">IFERROR(_xlfn.XLOOKUP(TRIM($E85),TRIM('Año 2026'!$E$3:$E$66),'Año 2026'!$J$3:$J$66),"")</f>
        <v>0</v>
      </c>
      <c r="AJ85" s="41" cm="1">
        <f t="array" ref="AJ85">IFERROR(_xlfn.XLOOKUP(TRIM($E85),TRIM('Año 2026'!$E$3:$E$66),'Año 2026'!$K$3:$K$66),"")</f>
        <v>0</v>
      </c>
      <c r="AK85" s="41" t="str" cm="1">
        <f t="array" aca="1" ref="AK85" ca="1">IFERROR(_xlfn.XLOOKUP(TRIM($E85),TRIM('Año 2026'!$E$3:$E$66),'Año 2026'!$L$3:$L$66),"")</f>
        <v>🚨 VENCIDO</v>
      </c>
      <c r="AL85" s="41" t="str" cm="1">
        <f t="array" aca="1" ref="AL85" ca="1">IFERROR(_xlfn.XLOOKUP(TRIM($E85),TRIM('Año 2026'!$E$3:$E$66),'Año 2026'!$M$3:$M$66),"")</f>
        <v>❌ Vencido por 46192 días</v>
      </c>
      <c r="AM85" s="41" cm="1">
        <f t="array" ref="AM85">IFERROR(_xlfn.XLOOKUP(TRIM($E85),TRIM('Año 2026'!$E$3:$E$66),'Año 2026'!$N$3:$N$66),"")</f>
        <v>0</v>
      </c>
      <c r="AN85" s="41" cm="1">
        <f t="array" ref="AN85">IFERROR(_xlfn.XLOOKUP(TRIM($E85),TRIM('Año 2026'!$E$3:$E$66),'Año 2026'!$O$3:$O$66),"")</f>
        <v>0</v>
      </c>
      <c r="AO85" s="41" cm="1">
        <f t="array" ref="AO85">IFERROR(_xlfn.XLOOKUP(TRIM($E85),TRIM('Año 2026'!$E$3:$E$66),'Año 2026'!$P$3:$P$66),"")</f>
        <v>0</v>
      </c>
      <c r="AP85" s="41" cm="1">
        <f t="array" ref="AP85">IFERROR(_xlfn.XLOOKUP(TRIM($E85),TRIM('Año 2026'!$E$3:$E$66),'Año 2026'!$Q$3:$Q$66),"")</f>
        <v>0</v>
      </c>
      <c r="AQ85" s="41" cm="1">
        <f t="array" ref="AQ85">IFERROR(_xlfn.XLOOKUP(TRIM($E85),TRIM('Año 2026'!$E$3:$E$66),'Año 2026'!$R$3:$R$66),"")</f>
        <v>0</v>
      </c>
      <c r="AR85" s="41" cm="1">
        <f t="array" ref="AR85">IFERROR(_xlfn.XLOOKUP(TRIM($E85),TRIM('Año 2026'!$E$3:$E$66),'Año 2026'!$S$3:$S$66),"")</f>
        <v>0</v>
      </c>
      <c r="AS85" s="41" cm="1">
        <f t="array" ref="AS85">IFERROR(_xlfn.XLOOKUP(TRIM($E85),TRIM('Año 2026'!$E$3:$E$66),'Año 2026'!$T$3:$T$66),"")</f>
        <v>0</v>
      </c>
      <c r="AT85" s="41" cm="1">
        <f t="array" ref="AT85">IFERROR(_xlfn.XLOOKUP(TRIM($E85),TRIM('Año 2026'!$E$3:$E$66),'Año 2026'!$U$3:$U$66),"")</f>
        <v>0</v>
      </c>
      <c r="AU85" s="41" cm="1">
        <f t="array" ref="AU85">IFERROR(_xlfn.XLOOKUP(TRIM($E85),TRIM('Año 2026'!$E$3:$E$66),'Año 2026'!$V$3:$V$66),"")</f>
        <v>0</v>
      </c>
      <c r="AV85" s="41" cm="1">
        <f t="array" ref="AV85">IFERROR(_xlfn.XLOOKUP(TRIM($E85),TRIM('Año 2026'!$E$3:$E$66),'Año 2026'!$W$3:$W$66),"")</f>
        <v>0</v>
      </c>
      <c r="AW85" s="41" cm="1">
        <f t="array" ref="AW85">IFERROR(_xlfn.XLOOKUP(TRIM($E85),TRIM('Año 2026'!$E$3:$E$66),'Año 2026'!$X$3:$X$66),"")</f>
        <v>0</v>
      </c>
      <c r="AX85" s="41" cm="1">
        <f t="array" ref="AX85">IFERROR(_xlfn.XLOOKUP(TRIM($E85),TRIM('Año 2026'!$E$3:$E$66),'Año 2026'!$Y$3:$Y$66),"")</f>
        <v>0</v>
      </c>
      <c r="AY85" s="41" cm="1">
        <f t="array" aca="1" ref="AY85" ca="1">IFERROR(_xlfn.XLOOKUP(TRIM($E85),TRIM('Año 2026'!$E$3:$E$66),'Año 2026'!$Z$3:$Z$66),"")</f>
        <v>-46192</v>
      </c>
      <c r="AZ85" s="41" t="str" cm="1">
        <f t="array" aca="1" ref="AZ85" ca="1">IFERROR(_xlfn.XLOOKUP(TRIM($E85),TRIM('Año 2026'!$E$3:$E$66),'Año 2026'!$AA$3:$AA$66),"")</f>
        <v>🚨 VENCIDO</v>
      </c>
      <c r="BA85" s="41" t="str" cm="1">
        <f t="array" aca="1" ref="BA85" ca="1">IFERROR(_xlfn.XLOOKUP(TRIM($E85),TRIM('Año 2026'!$E$3:$E$66),'Año 2026'!$AB$3:$AB$66),"")</f>
        <v>❌ Vencido por 46192 días</v>
      </c>
      <c r="BB85" s="41" cm="1">
        <f t="array" ref="BB85">IFERROR(_xlfn.XLOOKUP(TRIM($E85),TRIM('Año 2026'!$E$3:$E$66),'Año 2026'!$AC$3:$AC$66),"")</f>
        <v>0</v>
      </c>
      <c r="BC85" s="41" cm="1">
        <f t="array" ref="BC85">IFERROR(_xlfn.XLOOKUP(TRIM($E85),TRIM('Año 2026'!$E$3:$E$66),'Año 2026'!$AD$3:$AD$66),"")</f>
        <v>0</v>
      </c>
    </row>
    <row r="86" spans="1:55" s="41" customFormat="1" ht="105" customHeight="1" x14ac:dyDescent="0.25">
      <c r="A86" s="48"/>
      <c r="B86" s="48">
        <v>2026</v>
      </c>
      <c r="C86" s="51" t="s">
        <v>69</v>
      </c>
      <c r="D86" s="51" t="s">
        <v>287</v>
      </c>
      <c r="E86" s="51" t="s">
        <v>120</v>
      </c>
      <c r="F86" s="53" t="s">
        <v>269</v>
      </c>
      <c r="G86" s="51" t="s">
        <v>121</v>
      </c>
      <c r="H86" s="105">
        <v>14</v>
      </c>
      <c r="I86" s="48" t="s">
        <v>295</v>
      </c>
      <c r="J86" s="51"/>
      <c r="K86" s="51"/>
      <c r="L86" s="51"/>
      <c r="M86" s="51"/>
      <c r="N86" s="51"/>
      <c r="O86" s="51"/>
      <c r="P86" s="51"/>
      <c r="Q86" s="51"/>
      <c r="R86" s="45" t="s">
        <v>301</v>
      </c>
      <c r="S86" s="51"/>
      <c r="T86" s="50"/>
      <c r="U86" s="48"/>
      <c r="V86" s="47"/>
      <c r="W86" s="45"/>
      <c r="X86" s="45"/>
      <c r="Y86" s="49"/>
      <c r="Z86" s="49"/>
      <c r="AA86" s="47"/>
      <c r="AB86" s="48"/>
      <c r="AC86" s="47"/>
      <c r="AD86" s="46"/>
      <c r="AE86" s="45"/>
      <c r="AF86" s="41" cm="1">
        <f t="array" ref="AF86">IFERROR(_xlfn.XLOOKUP(TRIM($E86),TRIM('Año 2026'!$E$3:$E$66),'Año 2026'!$G$3:$G$66),"")</f>
        <v>0</v>
      </c>
      <c r="AG86" s="41" cm="1">
        <f t="array" ref="AG86">IFERROR(_xlfn.XLOOKUP(TRIM($E86),TRIM('Año 2026'!$E$3:$E$66),'Año 2026'!$H$3:$H$66),"")</f>
        <v>0</v>
      </c>
      <c r="AH86" s="41" cm="1">
        <f t="array" ref="AH86">IFERROR(_xlfn.XLOOKUP(TRIM($E86),TRIM('Año 2026'!$E$3:$E$66),'Año 2026'!$I$3:$I$66),"")</f>
        <v>0</v>
      </c>
      <c r="AI86" s="41" cm="1">
        <f t="array" ref="AI86">IFERROR(_xlfn.XLOOKUP(TRIM($E86),TRIM('Año 2026'!$E$3:$E$66),'Año 2026'!$J$3:$J$66),"")</f>
        <v>0</v>
      </c>
      <c r="AJ86" s="41" cm="1">
        <f t="array" aca="1" ref="AJ86" ca="1">IFERROR(_xlfn.XLOOKUP(TRIM($E86),TRIM('Año 2026'!$E$3:$E$66),'Año 2026'!$K$3:$K$66),"")</f>
        <v>-46192</v>
      </c>
      <c r="AK86" s="41" t="str" cm="1">
        <f t="array" aca="1" ref="AK86" ca="1">IFERROR(_xlfn.XLOOKUP(TRIM($E86),TRIM('Año 2026'!$E$3:$E$66),'Año 2026'!$L$3:$L$66),"")</f>
        <v>🚨 VENCIDO</v>
      </c>
      <c r="AL86" s="41" t="str" cm="1">
        <f t="array" aca="1" ref="AL86" ca="1">IFERROR(_xlfn.XLOOKUP(TRIM($E86),TRIM('Año 2026'!$E$3:$E$66),'Año 2026'!$M$3:$M$66),"")</f>
        <v>❌ Vencido por 46192 días</v>
      </c>
      <c r="AM86" s="41" cm="1">
        <f t="array" ref="AM86">IFERROR(_xlfn.XLOOKUP(TRIM($E86),TRIM('Año 2026'!$E$3:$E$66),'Año 2026'!$N$3:$N$66),"")</f>
        <v>0</v>
      </c>
      <c r="AN86" s="41" cm="1">
        <f t="array" ref="AN86">IFERROR(_xlfn.XLOOKUP(TRIM($E86),TRIM('Año 2026'!$E$3:$E$66),'Año 2026'!$O$3:$O$66),"")</f>
        <v>0</v>
      </c>
      <c r="AO86" s="41" cm="1">
        <f t="array" ref="AO86">IFERROR(_xlfn.XLOOKUP(TRIM($E86),TRIM('Año 2026'!$E$3:$E$66),'Año 2026'!$P$3:$P$66),"")</f>
        <v>0</v>
      </c>
      <c r="AP86" s="41" cm="1">
        <f t="array" ref="AP86">IFERROR(_xlfn.XLOOKUP(TRIM($E86),TRIM('Año 2026'!$E$3:$E$66),'Año 2026'!$Q$3:$Q$66),"")</f>
        <v>0</v>
      </c>
      <c r="AQ86" s="41" cm="1">
        <f t="array" ref="AQ86">IFERROR(_xlfn.XLOOKUP(TRIM($E86),TRIM('Año 2026'!$E$3:$E$66),'Año 2026'!$R$3:$R$66),"")</f>
        <v>0</v>
      </c>
      <c r="AR86" s="41" cm="1">
        <f t="array" ref="AR86">IFERROR(_xlfn.XLOOKUP(TRIM($E86),TRIM('Año 2026'!$E$3:$E$66),'Año 2026'!$S$3:$S$66),"")</f>
        <v>0</v>
      </c>
      <c r="AS86" s="41" cm="1">
        <f t="array" ref="AS86">IFERROR(_xlfn.XLOOKUP(TRIM($E86),TRIM('Año 2026'!$E$3:$E$66),'Año 2026'!$T$3:$T$66),"")</f>
        <v>0</v>
      </c>
      <c r="AT86" s="41" cm="1">
        <f t="array" ref="AT86">IFERROR(_xlfn.XLOOKUP(TRIM($E86),TRIM('Año 2026'!$E$3:$E$66),'Año 2026'!$U$3:$U$66),"")</f>
        <v>0</v>
      </c>
      <c r="AU86" s="41" cm="1">
        <f t="array" ref="AU86">IFERROR(_xlfn.XLOOKUP(TRIM($E86),TRIM('Año 2026'!$E$3:$E$66),'Año 2026'!$V$3:$V$66),"")</f>
        <v>0</v>
      </c>
      <c r="AV86" s="41" cm="1">
        <f t="array" ref="AV86">IFERROR(_xlfn.XLOOKUP(TRIM($E86),TRIM('Año 2026'!$E$3:$E$66),'Año 2026'!$W$3:$W$66),"")</f>
        <v>0</v>
      </c>
      <c r="AW86" s="41" cm="1">
        <f t="array" ref="AW86">IFERROR(_xlfn.XLOOKUP(TRIM($E86),TRIM('Año 2026'!$E$3:$E$66),'Año 2026'!$X$3:$X$66),"")</f>
        <v>0</v>
      </c>
      <c r="AX86" s="41" cm="1">
        <f t="array" ref="AX86">IFERROR(_xlfn.XLOOKUP(TRIM($E86),TRIM('Año 2026'!$E$3:$E$66),'Año 2026'!$Y$3:$Y$66),"")</f>
        <v>0</v>
      </c>
      <c r="AY86" s="41" cm="1">
        <f t="array" ref="AY86">IFERROR(_xlfn.XLOOKUP(TRIM($E86),TRIM('Año 2026'!$E$3:$E$66),'Año 2026'!$Z$3:$Z$66),"")</f>
        <v>0</v>
      </c>
      <c r="AZ86" s="41" cm="1">
        <f t="array" ref="AZ86">IFERROR(_xlfn.XLOOKUP(TRIM($E86),TRIM('Año 2026'!$E$3:$E$66),'Año 2026'!$AA$3:$AA$66),"")</f>
        <v>0</v>
      </c>
      <c r="BA86" s="41" cm="1">
        <f t="array" ref="BA86">IFERROR(_xlfn.XLOOKUP(TRIM($E86),TRIM('Año 2026'!$E$3:$E$66),'Año 2026'!$AB$3:$AB$66),"")</f>
        <v>0</v>
      </c>
      <c r="BB86" s="41" cm="1">
        <f t="array" ref="BB86">IFERROR(_xlfn.XLOOKUP(TRIM($E86),TRIM('Año 2026'!$E$3:$E$66),'Año 2026'!$AC$3:$AC$66),"")</f>
        <v>0</v>
      </c>
      <c r="BC86" s="41" cm="1">
        <f t="array" ref="BC86">IFERROR(_xlfn.XLOOKUP(TRIM($E86),TRIM('Año 2026'!$E$3:$E$66),'Año 2026'!$AD$3:$AD$66),"")</f>
        <v>0</v>
      </c>
    </row>
    <row r="87" spans="1:55" s="41" customFormat="1" ht="105" customHeight="1" x14ac:dyDescent="0.25">
      <c r="A87" s="48"/>
      <c r="B87" s="48">
        <v>2026</v>
      </c>
      <c r="C87" s="51" t="s">
        <v>69</v>
      </c>
      <c r="D87" s="51" t="s">
        <v>287</v>
      </c>
      <c r="E87" s="51" t="s">
        <v>135</v>
      </c>
      <c r="F87" s="53" t="s">
        <v>269</v>
      </c>
      <c r="G87" s="51" t="s">
        <v>136</v>
      </c>
      <c r="H87" s="105">
        <v>22</v>
      </c>
      <c r="I87" s="48" t="s">
        <v>295</v>
      </c>
      <c r="J87" s="51"/>
      <c r="K87" s="51"/>
      <c r="L87" s="51"/>
      <c r="M87" s="51"/>
      <c r="N87" s="51"/>
      <c r="O87" s="51"/>
      <c r="P87" s="51"/>
      <c r="Q87" s="51"/>
      <c r="R87" s="45" t="s">
        <v>298</v>
      </c>
      <c r="S87" s="51"/>
      <c r="T87" s="50"/>
      <c r="U87" s="48"/>
      <c r="V87" s="47"/>
      <c r="W87" s="45"/>
      <c r="X87" s="45"/>
      <c r="Y87" s="49"/>
      <c r="Z87" s="49"/>
      <c r="AA87" s="47"/>
      <c r="AB87" s="48"/>
      <c r="AC87" s="47"/>
      <c r="AD87" s="46"/>
      <c r="AE87" s="45"/>
      <c r="AF87" s="41" cm="1">
        <f t="array" ref="AF87">IFERROR(_xlfn.XLOOKUP(TRIM($E87),TRIM('Año 2026'!$E$3:$E$66),'Año 2026'!$G$3:$G$66),"")</f>
        <v>0</v>
      </c>
      <c r="AG87" s="41" cm="1">
        <f t="array" ref="AG87">IFERROR(_xlfn.XLOOKUP(TRIM($E87),TRIM('Año 2026'!$E$3:$E$66),'Año 2026'!$H$3:$H$66),"")</f>
        <v>0</v>
      </c>
      <c r="AH87" s="41" cm="1">
        <f t="array" ref="AH87">IFERROR(_xlfn.XLOOKUP(TRIM($E87),TRIM('Año 2026'!$E$3:$E$66),'Año 2026'!$I$3:$I$66),"")</f>
        <v>0</v>
      </c>
      <c r="AI87" s="41" cm="1">
        <f t="array" ref="AI87">IFERROR(_xlfn.XLOOKUP(TRIM($E87),TRIM('Año 2026'!$E$3:$E$66),'Año 2026'!$J$3:$J$66),"")</f>
        <v>0</v>
      </c>
      <c r="AJ87" s="41" cm="1">
        <f t="array" aca="1" ref="AJ87" ca="1">IFERROR(_xlfn.XLOOKUP(TRIM($E87),TRIM('Año 2026'!$E$3:$E$66),'Año 2026'!$K$3:$K$66),"")</f>
        <v>-46192</v>
      </c>
      <c r="AK87" s="41" t="str" cm="1">
        <f t="array" aca="1" ref="AK87" ca="1">IFERROR(_xlfn.XLOOKUP(TRIM($E87),TRIM('Año 2026'!$E$3:$E$66),'Año 2026'!$L$3:$L$66),"")</f>
        <v>🚨 VENCIDO</v>
      </c>
      <c r="AL87" s="41" t="str" cm="1">
        <f t="array" aca="1" ref="AL87" ca="1">IFERROR(_xlfn.XLOOKUP(TRIM($E87),TRIM('Año 2026'!$E$3:$E$66),'Año 2026'!$M$3:$M$66),"")</f>
        <v>❌ Vencido por 46192 días</v>
      </c>
      <c r="AM87" s="41" cm="1">
        <f t="array" ref="AM87">IFERROR(_xlfn.XLOOKUP(TRIM($E87),TRIM('Año 2026'!$E$3:$E$66),'Año 2026'!$N$3:$N$66),"")</f>
        <v>0</v>
      </c>
      <c r="AN87" s="41" cm="1">
        <f t="array" ref="AN87">IFERROR(_xlfn.XLOOKUP(TRIM($E87),TRIM('Año 2026'!$E$3:$E$66),'Año 2026'!$O$3:$O$66),"")</f>
        <v>0</v>
      </c>
      <c r="AO87" s="41" cm="1">
        <f t="array" ref="AO87">IFERROR(_xlfn.XLOOKUP(TRIM($E87),TRIM('Año 2026'!$E$3:$E$66),'Año 2026'!$P$3:$P$66),"")</f>
        <v>0</v>
      </c>
      <c r="AP87" s="41" cm="1">
        <f t="array" ref="AP87">IFERROR(_xlfn.XLOOKUP(TRIM($E87),TRIM('Año 2026'!$E$3:$E$66),'Año 2026'!$Q$3:$Q$66),"")</f>
        <v>0</v>
      </c>
      <c r="AQ87" s="41" cm="1">
        <f t="array" ref="AQ87">IFERROR(_xlfn.XLOOKUP(TRIM($E87),TRIM('Año 2026'!$E$3:$E$66),'Año 2026'!$R$3:$R$66),"")</f>
        <v>0</v>
      </c>
      <c r="AR87" s="41" cm="1">
        <f t="array" ref="AR87">IFERROR(_xlfn.XLOOKUP(TRIM($E87),TRIM('Año 2026'!$E$3:$E$66),'Año 2026'!$S$3:$S$66),"")</f>
        <v>0</v>
      </c>
      <c r="AS87" s="41" cm="1">
        <f t="array" ref="AS87">IFERROR(_xlfn.XLOOKUP(TRIM($E87),TRIM('Año 2026'!$E$3:$E$66),'Año 2026'!$T$3:$T$66),"")</f>
        <v>0</v>
      </c>
      <c r="AT87" s="41" cm="1">
        <f t="array" ref="AT87">IFERROR(_xlfn.XLOOKUP(TRIM($E87),TRIM('Año 2026'!$E$3:$E$66),'Año 2026'!$U$3:$U$66),"")</f>
        <v>0</v>
      </c>
      <c r="AU87" s="41" cm="1">
        <f t="array" ref="AU87">IFERROR(_xlfn.XLOOKUP(TRIM($E87),TRIM('Año 2026'!$E$3:$E$66),'Año 2026'!$V$3:$V$66),"")</f>
        <v>0</v>
      </c>
      <c r="AV87" s="41" cm="1">
        <f t="array" ref="AV87">IFERROR(_xlfn.XLOOKUP(TRIM($E87),TRIM('Año 2026'!$E$3:$E$66),'Año 2026'!$W$3:$W$66),"")</f>
        <v>0</v>
      </c>
      <c r="AW87" s="41" cm="1">
        <f t="array" ref="AW87">IFERROR(_xlfn.XLOOKUP(TRIM($E87),TRIM('Año 2026'!$E$3:$E$66),'Año 2026'!$X$3:$X$66),"")</f>
        <v>0</v>
      </c>
      <c r="AX87" s="41" cm="1">
        <f t="array" ref="AX87">IFERROR(_xlfn.XLOOKUP(TRIM($E87),TRIM('Año 2026'!$E$3:$E$66),'Año 2026'!$Y$3:$Y$66),"")</f>
        <v>0</v>
      </c>
      <c r="AY87" s="41" cm="1">
        <f t="array" ref="AY87">IFERROR(_xlfn.XLOOKUP(TRIM($E87),TRIM('Año 2026'!$E$3:$E$66),'Año 2026'!$Z$3:$Z$66),"")</f>
        <v>0</v>
      </c>
      <c r="AZ87" s="41" cm="1">
        <f t="array" ref="AZ87">IFERROR(_xlfn.XLOOKUP(TRIM($E87),TRIM('Año 2026'!$E$3:$E$66),'Año 2026'!$AA$3:$AA$66),"")</f>
        <v>0</v>
      </c>
      <c r="BA87" s="41" cm="1">
        <f t="array" ref="BA87">IFERROR(_xlfn.XLOOKUP(TRIM($E87),TRIM('Año 2026'!$E$3:$E$66),'Año 2026'!$AB$3:$AB$66),"")</f>
        <v>0</v>
      </c>
      <c r="BB87" s="41" cm="1">
        <f t="array" ref="BB87">IFERROR(_xlfn.XLOOKUP(TRIM($E87),TRIM('Año 2026'!$E$3:$E$66),'Año 2026'!$AC$3:$AC$66),"")</f>
        <v>0</v>
      </c>
      <c r="BC87" s="41" cm="1">
        <f t="array" ref="BC87">IFERROR(_xlfn.XLOOKUP(TRIM($E87),TRIM('Año 2026'!$E$3:$E$66),'Año 2026'!$AD$3:$AD$66),"")</f>
        <v>0</v>
      </c>
    </row>
    <row r="88" spans="1:55" s="41" customFormat="1" ht="105" customHeight="1" x14ac:dyDescent="0.25">
      <c r="A88" s="48"/>
      <c r="B88" s="48">
        <v>2026</v>
      </c>
      <c r="C88" s="51" t="s">
        <v>69</v>
      </c>
      <c r="D88" s="51" t="s">
        <v>287</v>
      </c>
      <c r="E88" s="51" t="s">
        <v>126</v>
      </c>
      <c r="F88" s="53" t="s">
        <v>269</v>
      </c>
      <c r="G88" s="51" t="s">
        <v>297</v>
      </c>
      <c r="H88" s="105">
        <v>5</v>
      </c>
      <c r="I88" s="48" t="s">
        <v>295</v>
      </c>
      <c r="J88" s="51"/>
      <c r="K88" s="51"/>
      <c r="L88" s="51"/>
      <c r="M88" s="51"/>
      <c r="N88" s="51"/>
      <c r="O88" s="51"/>
      <c r="P88" s="51"/>
      <c r="Q88" s="51"/>
      <c r="R88" s="45" t="s">
        <v>294</v>
      </c>
      <c r="S88" s="51"/>
      <c r="T88" s="50"/>
      <c r="U88" s="48"/>
      <c r="V88" s="47"/>
      <c r="W88" s="45"/>
      <c r="X88" s="45"/>
      <c r="Y88" s="49"/>
      <c r="Z88" s="49"/>
      <c r="AA88" s="47"/>
      <c r="AB88" s="48"/>
      <c r="AC88" s="47"/>
      <c r="AD88" s="46"/>
      <c r="AE88" s="45"/>
      <c r="AF88" s="41" cm="1">
        <f t="array" ref="AF88">IFERROR(_xlfn.XLOOKUP(TRIM($E88),TRIM('Año 2026'!$E$3:$E$66),'Año 2026'!$G$3:$G$66),"")</f>
        <v>0</v>
      </c>
      <c r="AG88" s="41" cm="1">
        <f t="array" ref="AG88">IFERROR(_xlfn.XLOOKUP(TRIM($E88),TRIM('Año 2026'!$E$3:$E$66),'Año 2026'!$H$3:$H$66),"")</f>
        <v>0</v>
      </c>
      <c r="AH88" s="41" cm="1">
        <f t="array" ref="AH88">IFERROR(_xlfn.XLOOKUP(TRIM($E88),TRIM('Año 2026'!$E$3:$E$66),'Año 2026'!$I$3:$I$66),"")</f>
        <v>0</v>
      </c>
      <c r="AI88" s="41" cm="1">
        <f t="array" ref="AI88">IFERROR(_xlfn.XLOOKUP(TRIM($E88),TRIM('Año 2026'!$E$3:$E$66),'Año 2026'!$J$3:$J$66),"")</f>
        <v>0</v>
      </c>
      <c r="AJ88" s="41" cm="1">
        <f t="array" aca="1" ref="AJ88" ca="1">IFERROR(_xlfn.XLOOKUP(TRIM($E88),TRIM('Año 2026'!$E$3:$E$66),'Año 2026'!$K$3:$K$66),"")</f>
        <v>-46192</v>
      </c>
      <c r="AK88" s="41" t="str" cm="1">
        <f t="array" aca="1" ref="AK88" ca="1">IFERROR(_xlfn.XLOOKUP(TRIM($E88),TRIM('Año 2026'!$E$3:$E$66),'Año 2026'!$L$3:$L$66),"")</f>
        <v>🚨 VENCIDO</v>
      </c>
      <c r="AL88" s="41" t="str" cm="1">
        <f t="array" aca="1" ref="AL88" ca="1">IFERROR(_xlfn.XLOOKUP(TRIM($E88),TRIM('Año 2026'!$E$3:$E$66),'Año 2026'!$M$3:$M$66),"")</f>
        <v>❌ Vencido por 46192 días</v>
      </c>
      <c r="AM88" s="41" cm="1">
        <f t="array" ref="AM88">IFERROR(_xlfn.XLOOKUP(TRIM($E88),TRIM('Año 2026'!$E$3:$E$66),'Año 2026'!$N$3:$N$66),"")</f>
        <v>0</v>
      </c>
      <c r="AN88" s="41" cm="1">
        <f t="array" ref="AN88">IFERROR(_xlfn.XLOOKUP(TRIM($E88),TRIM('Año 2026'!$E$3:$E$66),'Año 2026'!$O$3:$O$66),"")</f>
        <v>0</v>
      </c>
      <c r="AO88" s="41" cm="1">
        <f t="array" ref="AO88">IFERROR(_xlfn.XLOOKUP(TRIM($E88),TRIM('Año 2026'!$E$3:$E$66),'Año 2026'!$P$3:$P$66),"")</f>
        <v>0</v>
      </c>
      <c r="AP88" s="41" cm="1">
        <f t="array" ref="AP88">IFERROR(_xlfn.XLOOKUP(TRIM($E88),TRIM('Año 2026'!$E$3:$E$66),'Año 2026'!$Q$3:$Q$66),"")</f>
        <v>0</v>
      </c>
      <c r="AQ88" s="41" cm="1">
        <f t="array" ref="AQ88">IFERROR(_xlfn.XLOOKUP(TRIM($E88),TRIM('Año 2026'!$E$3:$E$66),'Año 2026'!$R$3:$R$66),"")</f>
        <v>0</v>
      </c>
      <c r="AR88" s="41" cm="1">
        <f t="array" ref="AR88">IFERROR(_xlfn.XLOOKUP(TRIM($E88),TRIM('Año 2026'!$E$3:$E$66),'Año 2026'!$S$3:$S$66),"")</f>
        <v>0</v>
      </c>
      <c r="AS88" s="41" cm="1">
        <f t="array" ref="AS88">IFERROR(_xlfn.XLOOKUP(TRIM($E88),TRIM('Año 2026'!$E$3:$E$66),'Año 2026'!$T$3:$T$66),"")</f>
        <v>0</v>
      </c>
      <c r="AT88" s="41" cm="1">
        <f t="array" ref="AT88">IFERROR(_xlfn.XLOOKUP(TRIM($E88),TRIM('Año 2026'!$E$3:$E$66),'Año 2026'!$U$3:$U$66),"")</f>
        <v>0</v>
      </c>
      <c r="AU88" s="41" cm="1">
        <f t="array" ref="AU88">IFERROR(_xlfn.XLOOKUP(TRIM($E88),TRIM('Año 2026'!$E$3:$E$66),'Año 2026'!$V$3:$V$66),"")</f>
        <v>0</v>
      </c>
      <c r="AV88" s="41" cm="1">
        <f t="array" ref="AV88">IFERROR(_xlfn.XLOOKUP(TRIM($E88),TRIM('Año 2026'!$E$3:$E$66),'Año 2026'!$W$3:$W$66),"")</f>
        <v>0</v>
      </c>
      <c r="AW88" s="41" cm="1">
        <f t="array" ref="AW88">IFERROR(_xlfn.XLOOKUP(TRIM($E88),TRIM('Año 2026'!$E$3:$E$66),'Año 2026'!$X$3:$X$66),"")</f>
        <v>0</v>
      </c>
      <c r="AX88" s="41" cm="1">
        <f t="array" ref="AX88">IFERROR(_xlfn.XLOOKUP(TRIM($E88),TRIM('Año 2026'!$E$3:$E$66),'Año 2026'!$Y$3:$Y$66),"")</f>
        <v>0</v>
      </c>
      <c r="AY88" s="41" cm="1">
        <f t="array" ref="AY88">IFERROR(_xlfn.XLOOKUP(TRIM($E88),TRIM('Año 2026'!$E$3:$E$66),'Año 2026'!$Z$3:$Z$66),"")</f>
        <v>0</v>
      </c>
      <c r="AZ88" s="41" cm="1">
        <f t="array" ref="AZ88">IFERROR(_xlfn.XLOOKUP(TRIM($E88),TRIM('Año 2026'!$E$3:$E$66),'Año 2026'!$AA$3:$AA$66),"")</f>
        <v>0</v>
      </c>
      <c r="BA88" s="41" cm="1">
        <f t="array" ref="BA88">IFERROR(_xlfn.XLOOKUP(TRIM($E88),TRIM('Año 2026'!$E$3:$E$66),'Año 2026'!$AB$3:$AB$66),"")</f>
        <v>0</v>
      </c>
      <c r="BB88" s="41" cm="1">
        <f t="array" ref="BB88">IFERROR(_xlfn.XLOOKUP(TRIM($E88),TRIM('Año 2026'!$E$3:$E$66),'Año 2026'!$AC$3:$AC$66),"")</f>
        <v>0</v>
      </c>
      <c r="BC88" s="41" cm="1">
        <f t="array" ref="BC88">IFERROR(_xlfn.XLOOKUP(TRIM($E88),TRIM('Año 2026'!$E$3:$E$66),'Año 2026'!$AD$3:$AD$66),"")</f>
        <v>0</v>
      </c>
    </row>
    <row r="89" spans="1:55" s="41" customFormat="1" ht="105" customHeight="1" x14ac:dyDescent="0.25">
      <c r="A89" s="48"/>
      <c r="B89" s="48">
        <v>2026</v>
      </c>
      <c r="C89" s="51" t="s">
        <v>69</v>
      </c>
      <c r="D89" s="51" t="s">
        <v>287</v>
      </c>
      <c r="E89" s="51" t="s">
        <v>123</v>
      </c>
      <c r="F89" s="53" t="s">
        <v>269</v>
      </c>
      <c r="G89" s="51" t="s">
        <v>124</v>
      </c>
      <c r="H89" s="105">
        <v>16</v>
      </c>
      <c r="I89" s="48" t="s">
        <v>266</v>
      </c>
      <c r="J89" s="51"/>
      <c r="K89" s="51"/>
      <c r="L89" s="51"/>
      <c r="M89" s="51"/>
      <c r="N89" s="51"/>
      <c r="O89" s="51" t="s">
        <v>798</v>
      </c>
      <c r="P89" s="51" t="s">
        <v>3243</v>
      </c>
      <c r="Q89" s="51"/>
      <c r="R89" s="45" t="s">
        <v>292</v>
      </c>
      <c r="S89" s="51"/>
      <c r="T89" s="50"/>
      <c r="U89" s="48" t="s">
        <v>3354</v>
      </c>
      <c r="V89" s="47">
        <v>46135</v>
      </c>
      <c r="W89" s="45" t="s">
        <v>291</v>
      </c>
      <c r="X89" s="45"/>
      <c r="Y89" s="49"/>
      <c r="Z89" s="49"/>
      <c r="AA89" s="47"/>
      <c r="AB89" s="48"/>
      <c r="AC89" s="47"/>
      <c r="AD89" s="46"/>
      <c r="AE89" s="45"/>
      <c r="AF89" s="41" cm="1">
        <f t="array" ref="AF89">IFERROR(_xlfn.XLOOKUP(TRIM($E89),TRIM('Año 2026'!$E$3:$E$66),'Año 2026'!$G$3:$G$66),"")</f>
        <v>0</v>
      </c>
      <c r="AG89" s="41" cm="1">
        <f t="array" ref="AG89">IFERROR(_xlfn.XLOOKUP(TRIM($E89),TRIM('Año 2026'!$E$3:$E$66),'Año 2026'!$H$3:$H$66),"")</f>
        <v>0</v>
      </c>
      <c r="AH89" s="41" cm="1">
        <f t="array" ref="AH89">IFERROR(_xlfn.XLOOKUP(TRIM($E89),TRIM('Año 2026'!$E$3:$E$66),'Año 2026'!$I$3:$I$66),"")</f>
        <v>0</v>
      </c>
      <c r="AI89" s="41" cm="1">
        <f t="array" ref="AI89">IFERROR(_xlfn.XLOOKUP(TRIM($E89),TRIM('Año 2026'!$E$3:$E$66),'Año 2026'!$J$3:$J$66),"")</f>
        <v>0</v>
      </c>
      <c r="AJ89" s="41" cm="1">
        <f t="array" aca="1" ref="AJ89" ca="1">IFERROR(_xlfn.XLOOKUP(TRIM($E89),TRIM('Año 2026'!$E$3:$E$66),'Año 2026'!$K$3:$K$66),"")</f>
        <v>-46192</v>
      </c>
      <c r="AK89" s="41" t="str" cm="1">
        <f t="array" aca="1" ref="AK89" ca="1">IFERROR(_xlfn.XLOOKUP(TRIM($E89),TRIM('Año 2026'!$E$3:$E$66),'Año 2026'!$L$3:$L$66),"")</f>
        <v>🚨 VENCIDO</v>
      </c>
      <c r="AL89" s="41" t="str" cm="1">
        <f t="array" aca="1" ref="AL89" ca="1">IFERROR(_xlfn.XLOOKUP(TRIM($E89),TRIM('Año 2026'!$E$3:$E$66),'Año 2026'!$M$3:$M$66),"")</f>
        <v>❌ Vencido por 46192 días</v>
      </c>
      <c r="AM89" s="41" cm="1">
        <f t="array" ref="AM89">IFERROR(_xlfn.XLOOKUP(TRIM($E89),TRIM('Año 2026'!$E$3:$E$66),'Año 2026'!$N$3:$N$66),"")</f>
        <v>0</v>
      </c>
      <c r="AN89" s="41" cm="1">
        <f t="array" ref="AN89">IFERROR(_xlfn.XLOOKUP(TRIM($E89),TRIM('Año 2026'!$E$3:$E$66),'Año 2026'!$O$3:$O$66),"")</f>
        <v>0</v>
      </c>
      <c r="AO89" s="41" cm="1">
        <f t="array" ref="AO89">IFERROR(_xlfn.XLOOKUP(TRIM($E89),TRIM('Año 2026'!$E$3:$E$66),'Año 2026'!$P$3:$P$66),"")</f>
        <v>0</v>
      </c>
      <c r="AP89" s="41" cm="1">
        <f t="array" ref="AP89">IFERROR(_xlfn.XLOOKUP(TRIM($E89),TRIM('Año 2026'!$E$3:$E$66),'Año 2026'!$Q$3:$Q$66),"")</f>
        <v>0</v>
      </c>
      <c r="AQ89" s="41" cm="1">
        <f t="array" ref="AQ89">IFERROR(_xlfn.XLOOKUP(TRIM($E89),TRIM('Año 2026'!$E$3:$E$66),'Año 2026'!$R$3:$R$66),"")</f>
        <v>0</v>
      </c>
      <c r="AR89" s="41" cm="1">
        <f t="array" ref="AR89">IFERROR(_xlfn.XLOOKUP(TRIM($E89),TRIM('Año 2026'!$E$3:$E$66),'Año 2026'!$S$3:$S$66),"")</f>
        <v>0</v>
      </c>
      <c r="AS89" s="41" cm="1">
        <f t="array" ref="AS89">IFERROR(_xlfn.XLOOKUP(TRIM($E89),TRIM('Año 2026'!$E$3:$E$66),'Año 2026'!$T$3:$T$66),"")</f>
        <v>0</v>
      </c>
      <c r="AT89" s="41" cm="1">
        <f t="array" ref="AT89">IFERROR(_xlfn.XLOOKUP(TRIM($E89),TRIM('Año 2026'!$E$3:$E$66),'Año 2026'!$U$3:$U$66),"")</f>
        <v>0</v>
      </c>
      <c r="AU89" s="41" cm="1">
        <f t="array" ref="AU89">IFERROR(_xlfn.XLOOKUP(TRIM($E89),TRIM('Año 2026'!$E$3:$E$66),'Año 2026'!$V$3:$V$66),"")</f>
        <v>0</v>
      </c>
      <c r="AV89" s="41" cm="1">
        <f t="array" ref="AV89">IFERROR(_xlfn.XLOOKUP(TRIM($E89),TRIM('Año 2026'!$E$3:$E$66),'Año 2026'!$W$3:$W$66),"")</f>
        <v>0</v>
      </c>
      <c r="AW89" s="41" cm="1">
        <f t="array" ref="AW89">IFERROR(_xlfn.XLOOKUP(TRIM($E89),TRIM('Año 2026'!$E$3:$E$66),'Año 2026'!$X$3:$X$66),"")</f>
        <v>0</v>
      </c>
      <c r="AX89" s="41" cm="1">
        <f t="array" ref="AX89">IFERROR(_xlfn.XLOOKUP(TRIM($E89),TRIM('Año 2026'!$E$3:$E$66),'Año 2026'!$Y$3:$Y$66),"")</f>
        <v>0</v>
      </c>
      <c r="AY89" s="41" cm="1">
        <f t="array" ref="AY89">IFERROR(_xlfn.XLOOKUP(TRIM($E89),TRIM('Año 2026'!$E$3:$E$66),'Año 2026'!$Z$3:$Z$66),"")</f>
        <v>0</v>
      </c>
      <c r="AZ89" s="41" cm="1">
        <f t="array" ref="AZ89">IFERROR(_xlfn.XLOOKUP(TRIM($E89),TRIM('Año 2026'!$E$3:$E$66),'Año 2026'!$AA$3:$AA$66),"")</f>
        <v>0</v>
      </c>
      <c r="BA89" s="41" cm="1">
        <f t="array" ref="BA89">IFERROR(_xlfn.XLOOKUP(TRIM($E89),TRIM('Año 2026'!$E$3:$E$66),'Año 2026'!$AB$3:$AB$66),"")</f>
        <v>0</v>
      </c>
      <c r="BB89" s="41" cm="1">
        <f t="array" ref="BB89">IFERROR(_xlfn.XLOOKUP(TRIM($E89),TRIM('Año 2026'!$E$3:$E$66),'Año 2026'!$AC$3:$AC$66),"")</f>
        <v>0</v>
      </c>
      <c r="BC89" s="41" cm="1">
        <f t="array" ref="BC89">IFERROR(_xlfn.XLOOKUP(TRIM($E89),TRIM('Año 2026'!$E$3:$E$66),'Año 2026'!$AD$3:$AD$66),"")</f>
        <v>0</v>
      </c>
    </row>
    <row r="90" spans="1:55" s="41" customFormat="1" ht="105" customHeight="1" x14ac:dyDescent="0.25">
      <c r="A90" s="48"/>
      <c r="B90" s="48">
        <v>2026</v>
      </c>
      <c r="C90" s="51" t="s">
        <v>277</v>
      </c>
      <c r="D90" s="51" t="s">
        <v>353</v>
      </c>
      <c r="E90" s="51" t="s">
        <v>64</v>
      </c>
      <c r="F90" s="53" t="s">
        <v>269</v>
      </c>
      <c r="G90" s="41" t="s">
        <v>65</v>
      </c>
      <c r="H90" s="105">
        <v>106</v>
      </c>
      <c r="I90" s="48" t="s">
        <v>266</v>
      </c>
      <c r="J90" s="51"/>
      <c r="K90" s="51"/>
      <c r="L90" s="51"/>
      <c r="M90" s="51"/>
      <c r="N90" s="51"/>
      <c r="O90" s="51"/>
      <c r="P90" s="51"/>
      <c r="Q90" s="51"/>
      <c r="R90" s="45" t="s">
        <v>3355</v>
      </c>
      <c r="S90" s="51"/>
      <c r="T90" s="50"/>
      <c r="U90" s="48"/>
      <c r="V90" s="47"/>
      <c r="W90" s="45"/>
      <c r="X90" s="45"/>
      <c r="Y90" s="49"/>
      <c r="Z90" s="49"/>
      <c r="AA90" s="47"/>
      <c r="AB90" s="48"/>
      <c r="AC90" s="47"/>
      <c r="AD90" s="46"/>
      <c r="AE90" s="45"/>
      <c r="AF90" s="41" t="str" cm="1">
        <f t="array" ref="AF90">IFERROR(_xlfn.XLOOKUP(TRIM($E90),TRIM('Año 2026'!$E$3:$E$66),'Año 2026'!$G$3:$G$66),"")</f>
        <v>Oficio N° 001831-2026-SUNEDU-DS-DIRESESU-UVE</v>
      </c>
      <c r="AG90" s="41" cm="1">
        <f t="array" ref="AG90">IFERROR(_xlfn.XLOOKUP(TRIM($E90),TRIM('Año 2026'!$E$3:$E$66),'Año 2026'!$H$3:$H$66),"")</f>
        <v>46134</v>
      </c>
      <c r="AH90" s="41" cm="1">
        <f t="array" ref="AH90">IFERROR(_xlfn.XLOOKUP(TRIM($E90),TRIM('Año 2026'!$E$3:$E$66),'Año 2026'!$I$3:$I$66),"")</f>
        <v>10</v>
      </c>
      <c r="AI90" s="41" cm="1">
        <f t="array" ref="AI90">IFERROR(_xlfn.XLOOKUP(TRIM($E90),TRIM('Año 2026'!$E$3:$E$66),'Año 2026'!$J$3:$J$66),"")</f>
        <v>46148</v>
      </c>
      <c r="AJ90" s="41" cm="1">
        <f t="array" aca="1" ref="AJ90" ca="1">IFERROR(_xlfn.XLOOKUP(TRIM($E90),TRIM('Año 2026'!$E$3:$E$66),'Año 2026'!$K$3:$K$66),"")</f>
        <v>-44</v>
      </c>
      <c r="AK90" s="41" t="str" cm="1">
        <f t="array" aca="1" ref="AK90" ca="1">IFERROR(_xlfn.XLOOKUP(TRIM($E90),TRIM('Año 2026'!$E$3:$E$66),'Año 2026'!$L$3:$L$66),"")</f>
        <v>CONCLUIDO</v>
      </c>
      <c r="AL90" s="41" t="str" cm="1">
        <f t="array" aca="1" ref="AL90" ca="1">IFERROR(_xlfn.XLOOKUP(TRIM($E90),TRIM('Año 2026'!$E$3:$E$66),'Año 2026'!$M$3:$M$66),"")</f>
        <v>CONCLUIDO</v>
      </c>
      <c r="AM90" s="41" t="str" cm="1">
        <f t="array" ref="AM90">IFERROR(_xlfn.XLOOKUP(TRIM($E90),TRIM('Año 2026'!$E$3:$E$66),'Año 2026'!$N$3:$N$66),"")</f>
        <v>Entregado</v>
      </c>
      <c r="AN90" s="41" cm="1">
        <f t="array" ref="AN90">IFERROR(_xlfn.XLOOKUP(TRIM($E90),TRIM('Año 2026'!$E$3:$E$66),'Año 2026'!$O$3:$O$66),"")</f>
        <v>0</v>
      </c>
      <c r="AO90" s="41" cm="1">
        <f t="array" ref="AO90">IFERROR(_xlfn.XLOOKUP(TRIM($E90),TRIM('Año 2026'!$E$3:$E$66),'Año 2026'!$P$3:$P$66),"")</f>
        <v>0</v>
      </c>
      <c r="AP90" s="41" cm="1">
        <f t="array" ref="AP90">IFERROR(_xlfn.XLOOKUP(TRIM($E90),TRIM('Año 2026'!$E$3:$E$66),'Año 2026'!$Q$3:$Q$66),"")</f>
        <v>0</v>
      </c>
      <c r="AQ90" s="41" cm="1">
        <f t="array" ref="AQ90">IFERROR(_xlfn.XLOOKUP(TRIM($E90),TRIM('Año 2026'!$E$3:$E$66),'Año 2026'!$R$3:$R$66),"")</f>
        <v>0</v>
      </c>
      <c r="AR90" s="41" cm="1">
        <f t="array" ref="AR90">IFERROR(_xlfn.XLOOKUP(TRIM($E90),TRIM('Año 2026'!$E$3:$E$66),'Año 2026'!$S$3:$S$66),"")</f>
        <v>0</v>
      </c>
      <c r="AS90" s="41" cm="1">
        <f t="array" ref="AS90">IFERROR(_xlfn.XLOOKUP(TRIM($E90),TRIM('Año 2026'!$E$3:$E$66),'Año 2026'!$T$3:$T$66),"")</f>
        <v>0</v>
      </c>
      <c r="AT90" s="41" cm="1">
        <f t="array" ref="AT90">IFERROR(_xlfn.XLOOKUP(TRIM($E90),TRIM('Año 2026'!$E$3:$E$66),'Año 2026'!$U$3:$U$66),"")</f>
        <v>0</v>
      </c>
      <c r="AU90" s="41" cm="1">
        <f t="array" ref="AU90">IFERROR(_xlfn.XLOOKUP(TRIM($E90),TRIM('Año 2026'!$E$3:$E$66),'Año 2026'!$V$3:$V$66),"")</f>
        <v>0</v>
      </c>
      <c r="AV90" s="41" cm="1">
        <f t="array" ref="AV90">IFERROR(_xlfn.XLOOKUP(TRIM($E90),TRIM('Año 2026'!$E$3:$E$66),'Año 2026'!$W$3:$W$66),"")</f>
        <v>0</v>
      </c>
      <c r="AW90" s="41" cm="1">
        <f t="array" ref="AW90">IFERROR(_xlfn.XLOOKUP(TRIM($E90),TRIM('Año 2026'!$E$3:$E$66),'Año 2026'!$X$3:$X$66),"")</f>
        <v>0</v>
      </c>
      <c r="AX90" s="41" cm="1">
        <f t="array" ref="AX90">IFERROR(_xlfn.XLOOKUP(TRIM($E90),TRIM('Año 2026'!$E$3:$E$66),'Año 2026'!$Y$3:$Y$66),"")</f>
        <v>0</v>
      </c>
      <c r="AY90" s="41" cm="1">
        <f t="array" aca="1" ref="AY90" ca="1">IFERROR(_xlfn.XLOOKUP(TRIM($E90),TRIM('Año 2026'!$E$3:$E$66),'Año 2026'!$Z$3:$Z$66),"")</f>
        <v>-46192</v>
      </c>
      <c r="AZ90" s="41" t="str" cm="1">
        <f t="array" aca="1" ref="AZ90" ca="1">IFERROR(_xlfn.XLOOKUP(TRIM($E90),TRIM('Año 2026'!$E$3:$E$66),'Año 2026'!$AA$3:$AA$66),"")</f>
        <v>🚨 VENCIDO</v>
      </c>
      <c r="BA90" s="41" t="str" cm="1">
        <f t="array" aca="1" ref="BA90" ca="1">IFERROR(_xlfn.XLOOKUP(TRIM($E90),TRIM('Año 2026'!$E$3:$E$66),'Año 2026'!$AB$3:$AB$66),"")</f>
        <v>❌ Vencido por 46192 días</v>
      </c>
      <c r="BB90" s="41" cm="1">
        <f t="array" ref="BB90">IFERROR(_xlfn.XLOOKUP(TRIM($E90),TRIM('Año 2026'!$E$3:$E$66),'Año 2026'!$AC$3:$AC$66),"")</f>
        <v>0</v>
      </c>
      <c r="BC90" s="41" cm="1">
        <f t="array" ref="BC90">IFERROR(_xlfn.XLOOKUP(TRIM($E90),TRIM('Año 2026'!$E$3:$E$66),'Año 2026'!$AD$3:$AD$66),"")</f>
        <v>0</v>
      </c>
    </row>
    <row r="91" spans="1:55" s="41" customFormat="1" ht="105" customHeight="1" x14ac:dyDescent="0.25">
      <c r="A91" s="48"/>
      <c r="B91" s="48">
        <v>2026</v>
      </c>
      <c r="C91" s="51" t="s">
        <v>69</v>
      </c>
      <c r="D91" s="51" t="s">
        <v>287</v>
      </c>
      <c r="E91" s="51" t="s">
        <v>132</v>
      </c>
      <c r="F91" s="53" t="s">
        <v>269</v>
      </c>
      <c r="G91" s="51" t="s">
        <v>286</v>
      </c>
      <c r="H91" s="105">
        <v>83</v>
      </c>
      <c r="I91" s="48" t="s">
        <v>266</v>
      </c>
      <c r="J91" s="51"/>
      <c r="K91" s="51"/>
      <c r="L91" s="51"/>
      <c r="M91" s="51"/>
      <c r="N91" s="51"/>
      <c r="O91" s="51"/>
      <c r="P91" s="51"/>
      <c r="Q91" s="51"/>
      <c r="R91" s="45" t="s">
        <v>285</v>
      </c>
      <c r="S91" s="51"/>
      <c r="T91" s="50"/>
      <c r="U91" s="48"/>
      <c r="V91" s="47"/>
      <c r="W91" s="45"/>
      <c r="X91" s="45"/>
      <c r="Y91" s="49"/>
      <c r="Z91" s="49"/>
      <c r="AA91" s="47"/>
      <c r="AB91" s="48"/>
      <c r="AC91" s="47"/>
      <c r="AD91" s="46"/>
      <c r="AE91" s="45"/>
      <c r="AF91" s="41" cm="1">
        <f t="array" ref="AF91">IFERROR(_xlfn.XLOOKUP(TRIM($E91),TRIM('Año 2026'!$E$3:$E$66),'Año 2026'!$G$3:$G$66),"")</f>
        <v>0</v>
      </c>
      <c r="AG91" s="41" cm="1">
        <f t="array" ref="AG91">IFERROR(_xlfn.XLOOKUP(TRIM($E91),TRIM('Año 2026'!$E$3:$E$66),'Año 2026'!$H$3:$H$66),"")</f>
        <v>0</v>
      </c>
      <c r="AH91" s="41" cm="1">
        <f t="array" ref="AH91">IFERROR(_xlfn.XLOOKUP(TRIM($E91),TRIM('Año 2026'!$E$3:$E$66),'Año 2026'!$I$3:$I$66),"")</f>
        <v>0</v>
      </c>
      <c r="AI91" s="41" cm="1">
        <f t="array" ref="AI91">IFERROR(_xlfn.XLOOKUP(TRIM($E91),TRIM('Año 2026'!$E$3:$E$66),'Año 2026'!$J$3:$J$66),"")</f>
        <v>0</v>
      </c>
      <c r="AJ91" s="41" cm="1">
        <f t="array" aca="1" ref="AJ91" ca="1">IFERROR(_xlfn.XLOOKUP(TRIM($E91),TRIM('Año 2026'!$E$3:$E$66),'Año 2026'!$K$3:$K$66),"")</f>
        <v>-46192</v>
      </c>
      <c r="AK91" s="41" t="str" cm="1">
        <f t="array" aca="1" ref="AK91" ca="1">IFERROR(_xlfn.XLOOKUP(TRIM($E91),TRIM('Año 2026'!$E$3:$E$66),'Año 2026'!$L$3:$L$66),"")</f>
        <v>🚨 VENCIDO</v>
      </c>
      <c r="AL91" s="41" t="str" cm="1">
        <f t="array" aca="1" ref="AL91" ca="1">IFERROR(_xlfn.XLOOKUP(TRIM($E91),TRIM('Año 2026'!$E$3:$E$66),'Año 2026'!$M$3:$M$66),"")</f>
        <v>❌ Vencido por 46192 días</v>
      </c>
      <c r="AM91" s="41" cm="1">
        <f t="array" ref="AM91">IFERROR(_xlfn.XLOOKUP(TRIM($E91),TRIM('Año 2026'!$E$3:$E$66),'Año 2026'!$N$3:$N$66),"")</f>
        <v>0</v>
      </c>
      <c r="AN91" s="41" cm="1">
        <f t="array" ref="AN91">IFERROR(_xlfn.XLOOKUP(TRIM($E91),TRIM('Año 2026'!$E$3:$E$66),'Año 2026'!$O$3:$O$66),"")</f>
        <v>0</v>
      </c>
      <c r="AO91" s="41" cm="1">
        <f t="array" ref="AO91">IFERROR(_xlfn.XLOOKUP(TRIM($E91),TRIM('Año 2026'!$E$3:$E$66),'Año 2026'!$P$3:$P$66),"")</f>
        <v>0</v>
      </c>
      <c r="AP91" s="41" cm="1">
        <f t="array" ref="AP91">IFERROR(_xlfn.XLOOKUP(TRIM($E91),TRIM('Año 2026'!$E$3:$E$66),'Año 2026'!$Q$3:$Q$66),"")</f>
        <v>0</v>
      </c>
      <c r="AQ91" s="41" cm="1">
        <f t="array" ref="AQ91">IFERROR(_xlfn.XLOOKUP(TRIM($E91),TRIM('Año 2026'!$E$3:$E$66),'Año 2026'!$R$3:$R$66),"")</f>
        <v>0</v>
      </c>
      <c r="AR91" s="41" cm="1">
        <f t="array" ref="AR91">IFERROR(_xlfn.XLOOKUP(TRIM($E91),TRIM('Año 2026'!$E$3:$E$66),'Año 2026'!$S$3:$S$66),"")</f>
        <v>0</v>
      </c>
      <c r="AS91" s="41" cm="1">
        <f t="array" ref="AS91">IFERROR(_xlfn.XLOOKUP(TRIM($E91),TRIM('Año 2026'!$E$3:$E$66),'Año 2026'!$T$3:$T$66),"")</f>
        <v>0</v>
      </c>
      <c r="AT91" s="41" cm="1">
        <f t="array" ref="AT91">IFERROR(_xlfn.XLOOKUP(TRIM($E91),TRIM('Año 2026'!$E$3:$E$66),'Año 2026'!$U$3:$U$66),"")</f>
        <v>0</v>
      </c>
      <c r="AU91" s="41" cm="1">
        <f t="array" ref="AU91">IFERROR(_xlfn.XLOOKUP(TRIM($E91),TRIM('Año 2026'!$E$3:$E$66),'Año 2026'!$V$3:$V$66),"")</f>
        <v>0</v>
      </c>
      <c r="AV91" s="41" cm="1">
        <f t="array" ref="AV91">IFERROR(_xlfn.XLOOKUP(TRIM($E91),TRIM('Año 2026'!$E$3:$E$66),'Año 2026'!$W$3:$W$66),"")</f>
        <v>0</v>
      </c>
      <c r="AW91" s="41" cm="1">
        <f t="array" ref="AW91">IFERROR(_xlfn.XLOOKUP(TRIM($E91),TRIM('Año 2026'!$E$3:$E$66),'Año 2026'!$X$3:$X$66),"")</f>
        <v>0</v>
      </c>
      <c r="AX91" s="41" cm="1">
        <f t="array" ref="AX91">IFERROR(_xlfn.XLOOKUP(TRIM($E91),TRIM('Año 2026'!$E$3:$E$66),'Año 2026'!$Y$3:$Y$66),"")</f>
        <v>0</v>
      </c>
      <c r="AY91" s="41" cm="1">
        <f t="array" ref="AY91">IFERROR(_xlfn.XLOOKUP(TRIM($E91),TRIM('Año 2026'!$E$3:$E$66),'Año 2026'!$Z$3:$Z$66),"")</f>
        <v>0</v>
      </c>
      <c r="AZ91" s="41" cm="1">
        <f t="array" ref="AZ91">IFERROR(_xlfn.XLOOKUP(TRIM($E91),TRIM('Año 2026'!$E$3:$E$66),'Año 2026'!$AA$3:$AA$66),"")</f>
        <v>0</v>
      </c>
      <c r="BA91" s="41" cm="1">
        <f t="array" ref="BA91">IFERROR(_xlfn.XLOOKUP(TRIM($E91),TRIM('Año 2026'!$E$3:$E$66),'Año 2026'!$AB$3:$AB$66),"")</f>
        <v>0</v>
      </c>
      <c r="BB91" s="41" cm="1">
        <f t="array" ref="BB91">IFERROR(_xlfn.XLOOKUP(TRIM($E91),TRIM('Año 2026'!$E$3:$E$66),'Año 2026'!$AC$3:$AC$66),"")</f>
        <v>0</v>
      </c>
      <c r="BC91" s="41" cm="1">
        <f t="array" ref="BC91">IFERROR(_xlfn.XLOOKUP(TRIM($E91),TRIM('Año 2026'!$E$3:$E$66),'Año 2026'!$AD$3:$AD$66),"")</f>
        <v>0</v>
      </c>
    </row>
    <row r="92" spans="1:55" s="41" customFormat="1" ht="105" customHeight="1" x14ac:dyDescent="0.25">
      <c r="A92" s="48"/>
      <c r="B92" s="48">
        <v>2026</v>
      </c>
      <c r="C92" s="51" t="s">
        <v>69</v>
      </c>
      <c r="D92" s="51" t="s">
        <v>284</v>
      </c>
      <c r="E92" s="51" t="s">
        <v>245</v>
      </c>
      <c r="F92" s="53" t="s">
        <v>269</v>
      </c>
      <c r="G92" s="51" t="s">
        <v>246</v>
      </c>
      <c r="H92" s="105">
        <v>83</v>
      </c>
      <c r="I92" s="48" t="s">
        <v>266</v>
      </c>
      <c r="J92" s="51"/>
      <c r="K92" s="51"/>
      <c r="L92" s="51"/>
      <c r="M92" s="51"/>
      <c r="N92" s="51"/>
      <c r="O92" s="51"/>
      <c r="P92" s="51"/>
      <c r="Q92" s="51"/>
      <c r="R92" s="45" t="s">
        <v>282</v>
      </c>
      <c r="S92" s="51"/>
      <c r="T92" s="50"/>
      <c r="U92" s="48"/>
      <c r="V92" s="47"/>
      <c r="W92" s="45"/>
      <c r="X92" s="45"/>
      <c r="Y92" s="49"/>
      <c r="Z92" s="49"/>
      <c r="AA92" s="47"/>
      <c r="AB92" s="48"/>
      <c r="AC92" s="47"/>
      <c r="AD92" s="46"/>
      <c r="AE92" s="45"/>
      <c r="AF92" s="41" cm="1">
        <f t="array" ref="AF92">IFERROR(_xlfn.XLOOKUP(TRIM($E92),TRIM('Año 2026'!$E$3:$E$66),'Año 2026'!$G$3:$G$66),"")</f>
        <v>0</v>
      </c>
      <c r="AG92" s="41" cm="1">
        <f t="array" ref="AG92">IFERROR(_xlfn.XLOOKUP(TRIM($E92),TRIM('Año 2026'!$E$3:$E$66),'Año 2026'!$H$3:$H$66),"")</f>
        <v>0</v>
      </c>
      <c r="AH92" s="41" cm="1">
        <f t="array" ref="AH92">IFERROR(_xlfn.XLOOKUP(TRIM($E92),TRIM('Año 2026'!$E$3:$E$66),'Año 2026'!$I$3:$I$66),"")</f>
        <v>0</v>
      </c>
      <c r="AI92" s="41" cm="1">
        <f t="array" ref="AI92">IFERROR(_xlfn.XLOOKUP(TRIM($E92),TRIM('Año 2026'!$E$3:$E$66),'Año 2026'!$J$3:$J$66),"")</f>
        <v>0</v>
      </c>
      <c r="AJ92" s="41" cm="1">
        <f t="array" ref="AJ92">IFERROR(_xlfn.XLOOKUP(TRIM($E92),TRIM('Año 2026'!$E$3:$E$66),'Año 2026'!$K$3:$K$66),"")</f>
        <v>0</v>
      </c>
      <c r="AK92" s="41" cm="1">
        <f t="array" ref="AK92">IFERROR(_xlfn.XLOOKUP(TRIM($E92),TRIM('Año 2026'!$E$3:$E$66),'Año 2026'!$L$3:$L$66),"")</f>
        <v>0</v>
      </c>
      <c r="AL92" s="41" cm="1">
        <f t="array" ref="AL92">IFERROR(_xlfn.XLOOKUP(TRIM($E92),TRIM('Año 2026'!$E$3:$E$66),'Año 2026'!$M$3:$M$66),"")</f>
        <v>0</v>
      </c>
      <c r="AM92" s="41" cm="1">
        <f t="array" ref="AM92">IFERROR(_xlfn.XLOOKUP(TRIM($E92),TRIM('Año 2026'!$E$3:$E$66),'Año 2026'!$N$3:$N$66),"")</f>
        <v>0</v>
      </c>
      <c r="AN92" s="41" cm="1">
        <f t="array" ref="AN92">IFERROR(_xlfn.XLOOKUP(TRIM($E92),TRIM('Año 2026'!$E$3:$E$66),'Año 2026'!$O$3:$O$66),"")</f>
        <v>0</v>
      </c>
      <c r="AO92" s="41" cm="1">
        <f t="array" ref="AO92">IFERROR(_xlfn.XLOOKUP(TRIM($E92),TRIM('Año 2026'!$E$3:$E$66),'Año 2026'!$P$3:$P$66),"")</f>
        <v>0</v>
      </c>
      <c r="AP92" s="41" cm="1">
        <f t="array" ref="AP92">IFERROR(_xlfn.XLOOKUP(TRIM($E92),TRIM('Año 2026'!$E$3:$E$66),'Año 2026'!$Q$3:$Q$66),"")</f>
        <v>0</v>
      </c>
      <c r="AQ92" s="41" cm="1">
        <f t="array" ref="AQ92">IFERROR(_xlfn.XLOOKUP(TRIM($E92),TRIM('Año 2026'!$E$3:$E$66),'Año 2026'!$R$3:$R$66),"")</f>
        <v>0</v>
      </c>
      <c r="AR92" s="41" cm="1">
        <f t="array" ref="AR92">IFERROR(_xlfn.XLOOKUP(TRIM($E92),TRIM('Año 2026'!$E$3:$E$66),'Año 2026'!$S$3:$S$66),"")</f>
        <v>0</v>
      </c>
      <c r="AS92" s="41" cm="1">
        <f t="array" ref="AS92">IFERROR(_xlfn.XLOOKUP(TRIM($E92),TRIM('Año 2026'!$E$3:$E$66),'Año 2026'!$T$3:$T$66),"")</f>
        <v>0</v>
      </c>
      <c r="AT92" s="41" cm="1">
        <f t="array" ref="AT92">IFERROR(_xlfn.XLOOKUP(TRIM($E92),TRIM('Año 2026'!$E$3:$E$66),'Año 2026'!$U$3:$U$66),"")</f>
        <v>0</v>
      </c>
      <c r="AU92" s="41" cm="1">
        <f t="array" ref="AU92">IFERROR(_xlfn.XLOOKUP(TRIM($E92),TRIM('Año 2026'!$E$3:$E$66),'Año 2026'!$V$3:$V$66),"")</f>
        <v>0</v>
      </c>
      <c r="AV92" s="41" cm="1">
        <f t="array" ref="AV92">IFERROR(_xlfn.XLOOKUP(TRIM($E92),TRIM('Año 2026'!$E$3:$E$66),'Año 2026'!$W$3:$W$66),"")</f>
        <v>0</v>
      </c>
      <c r="AW92" s="41" cm="1">
        <f t="array" ref="AW92">IFERROR(_xlfn.XLOOKUP(TRIM($E92),TRIM('Año 2026'!$E$3:$E$66),'Año 2026'!$X$3:$X$66),"")</f>
        <v>0</v>
      </c>
      <c r="AX92" s="41" cm="1">
        <f t="array" ref="AX92">IFERROR(_xlfn.XLOOKUP(TRIM($E92),TRIM('Año 2026'!$E$3:$E$66),'Año 2026'!$Y$3:$Y$66),"")</f>
        <v>0</v>
      </c>
      <c r="AY92" s="41" cm="1">
        <f t="array" ref="AY92">IFERROR(_xlfn.XLOOKUP(TRIM($E92),TRIM('Año 2026'!$E$3:$E$66),'Año 2026'!$Z$3:$Z$66),"")</f>
        <v>0</v>
      </c>
      <c r="AZ92" s="41" cm="1">
        <f t="array" ref="AZ92">IFERROR(_xlfn.XLOOKUP(TRIM($E92),TRIM('Año 2026'!$E$3:$E$66),'Año 2026'!$AA$3:$AA$66),"")</f>
        <v>0</v>
      </c>
      <c r="BA92" s="41" cm="1">
        <f t="array" ref="BA92">IFERROR(_xlfn.XLOOKUP(TRIM($E92),TRIM('Año 2026'!$E$3:$E$66),'Año 2026'!$AB$3:$AB$66),"")</f>
        <v>0</v>
      </c>
      <c r="BB92" s="41" cm="1">
        <f t="array" ref="BB92">IFERROR(_xlfn.XLOOKUP(TRIM($E92),TRIM('Año 2026'!$E$3:$E$66),'Año 2026'!$AC$3:$AC$66),"")</f>
        <v>0</v>
      </c>
      <c r="BC92" s="41" cm="1">
        <f t="array" ref="BC92">IFERROR(_xlfn.XLOOKUP(TRIM($E92),TRIM('Año 2026'!$E$3:$E$66),'Año 2026'!$AD$3:$AD$66),"")</f>
        <v>0</v>
      </c>
    </row>
    <row r="93" spans="1:55" s="41" customFormat="1" ht="105" customHeight="1" x14ac:dyDescent="0.25">
      <c r="A93" s="48"/>
      <c r="B93" s="48">
        <v>2026</v>
      </c>
      <c r="C93" s="51" t="s">
        <v>277</v>
      </c>
      <c r="D93" s="51" t="s">
        <v>353</v>
      </c>
      <c r="E93" s="51" t="s">
        <v>68</v>
      </c>
      <c r="F93" s="53" t="s">
        <v>269</v>
      </c>
      <c r="G93" s="51" t="s">
        <v>275</v>
      </c>
      <c r="H93" s="105">
        <v>108</v>
      </c>
      <c r="I93" s="48" t="s">
        <v>266</v>
      </c>
      <c r="J93" s="51"/>
      <c r="K93" s="51"/>
      <c r="L93" s="51"/>
      <c r="M93" s="51"/>
      <c r="N93" s="51"/>
      <c r="O93" s="51"/>
      <c r="P93" s="51"/>
      <c r="Q93" s="51"/>
      <c r="R93" s="45"/>
      <c r="S93" s="51"/>
      <c r="T93" s="50"/>
      <c r="U93" s="48"/>
      <c r="V93" s="47"/>
      <c r="W93" s="45"/>
      <c r="X93" s="45"/>
      <c r="Y93" s="49"/>
      <c r="Z93" s="49"/>
      <c r="AA93" s="47"/>
      <c r="AB93" s="48"/>
      <c r="AC93" s="47"/>
      <c r="AD93" s="46"/>
      <c r="AE93" s="45"/>
      <c r="AF93" s="41" cm="1">
        <f t="array" ref="AF93">IFERROR(_xlfn.XLOOKUP(TRIM($E93),TRIM('Año 2026'!$E$3:$E$66),'Año 2026'!$G$3:$G$66),"")</f>
        <v>0</v>
      </c>
      <c r="AG93" s="41" cm="1">
        <f t="array" ref="AG93">IFERROR(_xlfn.XLOOKUP(TRIM($E93),TRIM('Año 2026'!$E$3:$E$66),'Año 2026'!$H$3:$H$66),"")</f>
        <v>0</v>
      </c>
      <c r="AH93" s="41" cm="1">
        <f t="array" ref="AH93">IFERROR(_xlfn.XLOOKUP(TRIM($E93),TRIM('Año 2026'!$E$3:$E$66),'Año 2026'!$I$3:$I$66),"")</f>
        <v>0</v>
      </c>
      <c r="AI93" s="41" cm="1">
        <f t="array" ref="AI93">IFERROR(_xlfn.XLOOKUP(TRIM($E93),TRIM('Año 2026'!$E$3:$E$66),'Año 2026'!$J$3:$J$66),"")</f>
        <v>0</v>
      </c>
      <c r="AJ93" s="41" cm="1">
        <f t="array" ref="AJ93">IFERROR(_xlfn.XLOOKUP(TRIM($E93),TRIM('Año 2026'!$E$3:$E$66),'Año 2026'!$K$3:$K$66),"")</f>
        <v>0</v>
      </c>
      <c r="AK93" s="41" cm="1">
        <f t="array" ref="AK93">IFERROR(_xlfn.XLOOKUP(TRIM($E93),TRIM('Año 2026'!$E$3:$E$66),'Año 2026'!$L$3:$L$66),"")</f>
        <v>0</v>
      </c>
      <c r="AL93" s="41" cm="1">
        <f t="array" ref="AL93">IFERROR(_xlfn.XLOOKUP(TRIM($E93),TRIM('Año 2026'!$E$3:$E$66),'Año 2026'!$M$3:$M$66),"")</f>
        <v>0</v>
      </c>
      <c r="AM93" s="41" cm="1">
        <f t="array" ref="AM93">IFERROR(_xlfn.XLOOKUP(TRIM($E93),TRIM('Año 2026'!$E$3:$E$66),'Año 2026'!$N$3:$N$66),"")</f>
        <v>0</v>
      </c>
      <c r="AN93" s="41" cm="1">
        <f t="array" ref="AN93">IFERROR(_xlfn.XLOOKUP(TRIM($E93),TRIM('Año 2026'!$E$3:$E$66),'Año 2026'!$O$3:$O$66),"")</f>
        <v>0</v>
      </c>
      <c r="AO93" s="41" cm="1">
        <f t="array" ref="AO93">IFERROR(_xlfn.XLOOKUP(TRIM($E93),TRIM('Año 2026'!$E$3:$E$66),'Año 2026'!$P$3:$P$66),"")</f>
        <v>0</v>
      </c>
      <c r="AP93" s="41" cm="1">
        <f t="array" ref="AP93">IFERROR(_xlfn.XLOOKUP(TRIM($E93),TRIM('Año 2026'!$E$3:$E$66),'Año 2026'!$Q$3:$Q$66),"")</f>
        <v>0</v>
      </c>
      <c r="AQ93" s="41" cm="1">
        <f t="array" ref="AQ93">IFERROR(_xlfn.XLOOKUP(TRIM($E93),TRIM('Año 2026'!$E$3:$E$66),'Año 2026'!$R$3:$R$66),"")</f>
        <v>0</v>
      </c>
      <c r="AR93" s="41" cm="1">
        <f t="array" ref="AR93">IFERROR(_xlfn.XLOOKUP(TRIM($E93),TRIM('Año 2026'!$E$3:$E$66),'Año 2026'!$S$3:$S$66),"")</f>
        <v>0</v>
      </c>
      <c r="AS93" s="41" cm="1">
        <f t="array" ref="AS93">IFERROR(_xlfn.XLOOKUP(TRIM($E93),TRIM('Año 2026'!$E$3:$E$66),'Año 2026'!$T$3:$T$66),"")</f>
        <v>0</v>
      </c>
      <c r="AT93" s="41" cm="1">
        <f t="array" ref="AT93">IFERROR(_xlfn.XLOOKUP(TRIM($E93),TRIM('Año 2026'!$E$3:$E$66),'Año 2026'!$U$3:$U$66),"")</f>
        <v>0</v>
      </c>
      <c r="AU93" s="41" cm="1">
        <f t="array" ref="AU93">IFERROR(_xlfn.XLOOKUP(TRIM($E93),TRIM('Año 2026'!$E$3:$E$66),'Año 2026'!$V$3:$V$66),"")</f>
        <v>0</v>
      </c>
      <c r="AV93" s="41" cm="1">
        <f t="array" ref="AV93">IFERROR(_xlfn.XLOOKUP(TRIM($E93),TRIM('Año 2026'!$E$3:$E$66),'Año 2026'!$W$3:$W$66),"")</f>
        <v>0</v>
      </c>
      <c r="AW93" s="41" cm="1">
        <f t="array" ref="AW93">IFERROR(_xlfn.XLOOKUP(TRIM($E93),TRIM('Año 2026'!$E$3:$E$66),'Año 2026'!$X$3:$X$66),"")</f>
        <v>0</v>
      </c>
      <c r="AX93" s="41" cm="1">
        <f t="array" ref="AX93">IFERROR(_xlfn.XLOOKUP(TRIM($E93),TRIM('Año 2026'!$E$3:$E$66),'Año 2026'!$Y$3:$Y$66),"")</f>
        <v>0</v>
      </c>
      <c r="AY93" s="41" cm="1">
        <f t="array" ref="AY93">IFERROR(_xlfn.XLOOKUP(TRIM($E93),TRIM('Año 2026'!$E$3:$E$66),'Año 2026'!$Z$3:$Z$66),"")</f>
        <v>0</v>
      </c>
      <c r="AZ93" s="41" cm="1">
        <f t="array" ref="AZ93">IFERROR(_xlfn.XLOOKUP(TRIM($E93),TRIM('Año 2026'!$E$3:$E$66),'Año 2026'!$AA$3:$AA$66),"")</f>
        <v>0</v>
      </c>
      <c r="BA93" s="41" cm="1">
        <f t="array" ref="BA93">IFERROR(_xlfn.XLOOKUP(TRIM($E93),TRIM('Año 2026'!$E$3:$E$66),'Año 2026'!$AB$3:$AB$66),"")</f>
        <v>0</v>
      </c>
      <c r="BB93" s="41" cm="1">
        <f t="array" ref="BB93">IFERROR(_xlfn.XLOOKUP(TRIM($E93),TRIM('Año 2026'!$E$3:$E$66),'Año 2026'!$AC$3:$AC$66),"")</f>
        <v>0</v>
      </c>
      <c r="BC93" s="41" cm="1">
        <f t="array" ref="BC93">IFERROR(_xlfn.XLOOKUP(TRIM($E93),TRIM('Año 2026'!$E$3:$E$66),'Año 2026'!$AD$3:$AD$66),"")</f>
        <v>0</v>
      </c>
    </row>
    <row r="94" spans="1:55" s="41" customFormat="1" ht="105" customHeight="1" x14ac:dyDescent="0.25">
      <c r="A94" s="48"/>
      <c r="B94" s="48">
        <v>2026</v>
      </c>
      <c r="C94" s="51" t="s">
        <v>277</v>
      </c>
      <c r="D94" s="51" t="s">
        <v>353</v>
      </c>
      <c r="E94" s="51" t="s">
        <v>279</v>
      </c>
      <c r="F94" s="53" t="s">
        <v>269</v>
      </c>
      <c r="G94" s="51" t="s">
        <v>275</v>
      </c>
      <c r="H94" s="105">
        <v>65</v>
      </c>
      <c r="I94" s="48" t="s">
        <v>266</v>
      </c>
      <c r="J94" s="51"/>
      <c r="K94" s="51"/>
      <c r="L94" s="51"/>
      <c r="M94" s="51"/>
      <c r="N94" s="51"/>
      <c r="O94" s="51"/>
      <c r="P94" s="51"/>
      <c r="Q94" s="51"/>
      <c r="R94" s="45"/>
      <c r="S94" s="51"/>
      <c r="T94" s="50"/>
      <c r="U94" s="48"/>
      <c r="V94" s="47"/>
      <c r="W94" s="45"/>
      <c r="X94" s="45"/>
      <c r="Y94" s="49"/>
      <c r="Z94" s="49"/>
      <c r="AA94" s="47"/>
      <c r="AB94" s="48"/>
      <c r="AC94" s="47"/>
      <c r="AD94" s="46"/>
      <c r="AE94" s="45"/>
      <c r="AF94" s="41" t="str" cm="1">
        <f t="array" ref="AF94">IFERROR(_xlfn.XLOOKUP(TRIM($E94),TRIM('Año 2026'!$E$3:$E$66),'Año 2026'!$G$3:$G$66),"")</f>
        <v/>
      </c>
      <c r="AG94" s="41" t="str" cm="1">
        <f t="array" ref="AG94">IFERROR(_xlfn.XLOOKUP(TRIM($E94),TRIM('Año 2026'!$E$3:$E$66),'Año 2026'!$H$3:$H$66),"")</f>
        <v/>
      </c>
      <c r="AH94" s="41" t="str" cm="1">
        <f t="array" ref="AH94">IFERROR(_xlfn.XLOOKUP(TRIM($E94),TRIM('Año 2026'!$E$3:$E$66),'Año 2026'!$I$3:$I$66),"")</f>
        <v/>
      </c>
      <c r="AI94" s="41" t="str" cm="1">
        <f t="array" ref="AI94">IFERROR(_xlfn.XLOOKUP(TRIM($E94),TRIM('Año 2026'!$E$3:$E$66),'Año 2026'!$J$3:$J$66),"")</f>
        <v/>
      </c>
      <c r="AJ94" s="41" t="str" cm="1">
        <f t="array" ref="AJ94">IFERROR(_xlfn.XLOOKUP(TRIM($E94),TRIM('Año 2026'!$E$3:$E$66),'Año 2026'!$K$3:$K$66),"")</f>
        <v/>
      </c>
      <c r="AK94" s="41" t="str" cm="1">
        <f t="array" ref="AK94">IFERROR(_xlfn.XLOOKUP(TRIM($E94),TRIM('Año 2026'!$E$3:$E$66),'Año 2026'!$L$3:$L$66),"")</f>
        <v/>
      </c>
      <c r="AL94" s="41" t="str" cm="1">
        <f t="array" ref="AL94">IFERROR(_xlfn.XLOOKUP(TRIM($E94),TRIM('Año 2026'!$E$3:$E$66),'Año 2026'!$M$3:$M$66),"")</f>
        <v/>
      </c>
      <c r="AM94" s="41" t="str" cm="1">
        <f t="array" ref="AM94">IFERROR(_xlfn.XLOOKUP(TRIM($E94),TRIM('Año 2026'!$E$3:$E$66),'Año 2026'!$N$3:$N$66),"")</f>
        <v/>
      </c>
      <c r="AN94" s="41" t="str" cm="1">
        <f t="array" ref="AN94">IFERROR(_xlfn.XLOOKUP(TRIM($E94),TRIM('Año 2026'!$E$3:$E$66),'Año 2026'!$O$3:$O$66),"")</f>
        <v/>
      </c>
      <c r="AO94" s="41" t="str" cm="1">
        <f t="array" ref="AO94">IFERROR(_xlfn.XLOOKUP(TRIM($E94),TRIM('Año 2026'!$E$3:$E$66),'Año 2026'!$P$3:$P$66),"")</f>
        <v/>
      </c>
      <c r="AP94" s="41" t="str" cm="1">
        <f t="array" ref="AP94">IFERROR(_xlfn.XLOOKUP(TRIM($E94),TRIM('Año 2026'!$E$3:$E$66),'Año 2026'!$Q$3:$Q$66),"")</f>
        <v/>
      </c>
      <c r="AQ94" s="41" t="str" cm="1">
        <f t="array" ref="AQ94">IFERROR(_xlfn.XLOOKUP(TRIM($E94),TRIM('Año 2026'!$E$3:$E$66),'Año 2026'!$R$3:$R$66),"")</f>
        <v/>
      </c>
      <c r="AR94" s="41" t="str" cm="1">
        <f t="array" ref="AR94">IFERROR(_xlfn.XLOOKUP(TRIM($E94),TRIM('Año 2026'!$E$3:$E$66),'Año 2026'!$S$3:$S$66),"")</f>
        <v/>
      </c>
      <c r="AS94" s="41" t="str" cm="1">
        <f t="array" ref="AS94">IFERROR(_xlfn.XLOOKUP(TRIM($E94),TRIM('Año 2026'!$E$3:$E$66),'Año 2026'!$T$3:$T$66),"")</f>
        <v/>
      </c>
      <c r="AT94" s="41" t="str" cm="1">
        <f t="array" ref="AT94">IFERROR(_xlfn.XLOOKUP(TRIM($E94),TRIM('Año 2026'!$E$3:$E$66),'Año 2026'!$U$3:$U$66),"")</f>
        <v/>
      </c>
      <c r="AU94" s="41" t="str" cm="1">
        <f t="array" ref="AU94">IFERROR(_xlfn.XLOOKUP(TRIM($E94),TRIM('Año 2026'!$E$3:$E$66),'Año 2026'!$V$3:$V$66),"")</f>
        <v/>
      </c>
      <c r="AV94" s="41" t="str" cm="1">
        <f t="array" ref="AV94">IFERROR(_xlfn.XLOOKUP(TRIM($E94),TRIM('Año 2026'!$E$3:$E$66),'Año 2026'!$W$3:$W$66),"")</f>
        <v/>
      </c>
      <c r="AW94" s="41" t="str" cm="1">
        <f t="array" ref="AW94">IFERROR(_xlfn.XLOOKUP(TRIM($E94),TRIM('Año 2026'!$E$3:$E$66),'Año 2026'!$X$3:$X$66),"")</f>
        <v/>
      </c>
      <c r="AX94" s="41" t="str" cm="1">
        <f t="array" ref="AX94">IFERROR(_xlfn.XLOOKUP(TRIM($E94),TRIM('Año 2026'!$E$3:$E$66),'Año 2026'!$Y$3:$Y$66),"")</f>
        <v/>
      </c>
      <c r="AY94" s="41" t="str" cm="1">
        <f t="array" ref="AY94">IFERROR(_xlfn.XLOOKUP(TRIM($E94),TRIM('Año 2026'!$E$3:$E$66),'Año 2026'!$Z$3:$Z$66),"")</f>
        <v/>
      </c>
      <c r="AZ94" s="41" t="str" cm="1">
        <f t="array" ref="AZ94">IFERROR(_xlfn.XLOOKUP(TRIM($E94),TRIM('Año 2026'!$E$3:$E$66),'Año 2026'!$AA$3:$AA$66),"")</f>
        <v/>
      </c>
      <c r="BA94" s="41" t="str" cm="1">
        <f t="array" ref="BA94">IFERROR(_xlfn.XLOOKUP(TRIM($E94),TRIM('Año 2026'!$E$3:$E$66),'Año 2026'!$AB$3:$AB$66),"")</f>
        <v/>
      </c>
      <c r="BB94" s="41" t="str" cm="1">
        <f t="array" ref="BB94">IFERROR(_xlfn.XLOOKUP(TRIM($E94),TRIM('Año 2026'!$E$3:$E$66),'Año 2026'!$AC$3:$AC$66),"")</f>
        <v/>
      </c>
      <c r="BC94" s="41" t="str" cm="1">
        <f t="array" ref="BC94">IFERROR(_xlfn.XLOOKUP(TRIM($E94),TRIM('Año 2026'!$E$3:$E$66),'Año 2026'!$AD$3:$AD$66),"")</f>
        <v/>
      </c>
    </row>
    <row r="95" spans="1:55" s="41" customFormat="1" ht="105" customHeight="1" x14ac:dyDescent="0.25">
      <c r="A95" s="48"/>
      <c r="B95" s="48">
        <v>2026</v>
      </c>
      <c r="C95" s="51" t="s">
        <v>277</v>
      </c>
      <c r="D95" s="51" t="s">
        <v>353</v>
      </c>
      <c r="E95" s="51" t="s">
        <v>276</v>
      </c>
      <c r="F95" s="53" t="s">
        <v>269</v>
      </c>
      <c r="G95" s="51" t="s">
        <v>275</v>
      </c>
      <c r="H95" s="105">
        <v>17</v>
      </c>
      <c r="I95" s="48" t="s">
        <v>266</v>
      </c>
      <c r="J95" s="51"/>
      <c r="K95" s="51"/>
      <c r="L95" s="51"/>
      <c r="M95" s="51"/>
      <c r="N95" s="51"/>
      <c r="O95" s="51"/>
      <c r="P95" s="51"/>
      <c r="Q95" s="51"/>
      <c r="R95" s="45" t="s">
        <v>274</v>
      </c>
      <c r="S95" s="51"/>
      <c r="T95" s="50"/>
      <c r="U95" s="48"/>
      <c r="V95" s="47"/>
      <c r="W95" s="45"/>
      <c r="X95" s="45"/>
      <c r="Y95" s="49"/>
      <c r="Z95" s="49"/>
      <c r="AA95" s="47"/>
      <c r="AB95" s="48"/>
      <c r="AC95" s="47"/>
      <c r="AD95" s="46"/>
      <c r="AE95" s="45"/>
      <c r="AF95" s="41" t="str" cm="1">
        <f t="array" ref="AF95">IFERROR(_xlfn.XLOOKUP(TRIM($E95),TRIM('Año 2026'!$E$3:$E$66),'Año 2026'!$G$3:$G$66),"")</f>
        <v/>
      </c>
      <c r="AG95" s="41" t="str" cm="1">
        <f t="array" ref="AG95">IFERROR(_xlfn.XLOOKUP(TRIM($E95),TRIM('Año 2026'!$E$3:$E$66),'Año 2026'!$H$3:$H$66),"")</f>
        <v/>
      </c>
      <c r="AH95" s="41" t="str" cm="1">
        <f t="array" ref="AH95">IFERROR(_xlfn.XLOOKUP(TRIM($E95),TRIM('Año 2026'!$E$3:$E$66),'Año 2026'!$I$3:$I$66),"")</f>
        <v/>
      </c>
      <c r="AI95" s="41" t="str" cm="1">
        <f t="array" ref="AI95">IFERROR(_xlfn.XLOOKUP(TRIM($E95),TRIM('Año 2026'!$E$3:$E$66),'Año 2026'!$J$3:$J$66),"")</f>
        <v/>
      </c>
      <c r="AJ95" s="41" t="str" cm="1">
        <f t="array" ref="AJ95">IFERROR(_xlfn.XLOOKUP(TRIM($E95),TRIM('Año 2026'!$E$3:$E$66),'Año 2026'!$K$3:$K$66),"")</f>
        <v/>
      </c>
      <c r="AK95" s="41" t="str" cm="1">
        <f t="array" ref="AK95">IFERROR(_xlfn.XLOOKUP(TRIM($E95),TRIM('Año 2026'!$E$3:$E$66),'Año 2026'!$L$3:$L$66),"")</f>
        <v/>
      </c>
      <c r="AL95" s="41" t="str" cm="1">
        <f t="array" ref="AL95">IFERROR(_xlfn.XLOOKUP(TRIM($E95),TRIM('Año 2026'!$E$3:$E$66),'Año 2026'!$M$3:$M$66),"")</f>
        <v/>
      </c>
      <c r="AM95" s="41" t="str" cm="1">
        <f t="array" ref="AM95">IFERROR(_xlfn.XLOOKUP(TRIM($E95),TRIM('Año 2026'!$E$3:$E$66),'Año 2026'!$N$3:$N$66),"")</f>
        <v/>
      </c>
      <c r="AN95" s="41" t="str" cm="1">
        <f t="array" ref="AN95">IFERROR(_xlfn.XLOOKUP(TRIM($E95),TRIM('Año 2026'!$E$3:$E$66),'Año 2026'!$O$3:$O$66),"")</f>
        <v/>
      </c>
      <c r="AO95" s="41" t="str" cm="1">
        <f t="array" ref="AO95">IFERROR(_xlfn.XLOOKUP(TRIM($E95),TRIM('Año 2026'!$E$3:$E$66),'Año 2026'!$P$3:$P$66),"")</f>
        <v/>
      </c>
      <c r="AP95" s="41" t="str" cm="1">
        <f t="array" ref="AP95">IFERROR(_xlfn.XLOOKUP(TRIM($E95),TRIM('Año 2026'!$E$3:$E$66),'Año 2026'!$Q$3:$Q$66),"")</f>
        <v/>
      </c>
      <c r="AQ95" s="41" t="str" cm="1">
        <f t="array" ref="AQ95">IFERROR(_xlfn.XLOOKUP(TRIM($E95),TRIM('Año 2026'!$E$3:$E$66),'Año 2026'!$R$3:$R$66),"")</f>
        <v/>
      </c>
      <c r="AR95" s="41" t="str" cm="1">
        <f t="array" ref="AR95">IFERROR(_xlfn.XLOOKUP(TRIM($E95),TRIM('Año 2026'!$E$3:$E$66),'Año 2026'!$S$3:$S$66),"")</f>
        <v/>
      </c>
      <c r="AS95" s="41" t="str" cm="1">
        <f t="array" ref="AS95">IFERROR(_xlfn.XLOOKUP(TRIM($E95),TRIM('Año 2026'!$E$3:$E$66),'Año 2026'!$T$3:$T$66),"")</f>
        <v/>
      </c>
      <c r="AT95" s="41" t="str" cm="1">
        <f t="array" ref="AT95">IFERROR(_xlfn.XLOOKUP(TRIM($E95),TRIM('Año 2026'!$E$3:$E$66),'Año 2026'!$U$3:$U$66),"")</f>
        <v/>
      </c>
      <c r="AU95" s="41" t="str" cm="1">
        <f t="array" ref="AU95">IFERROR(_xlfn.XLOOKUP(TRIM($E95),TRIM('Año 2026'!$E$3:$E$66),'Año 2026'!$V$3:$V$66),"")</f>
        <v/>
      </c>
      <c r="AV95" s="41" t="str" cm="1">
        <f t="array" ref="AV95">IFERROR(_xlfn.XLOOKUP(TRIM($E95),TRIM('Año 2026'!$E$3:$E$66),'Año 2026'!$W$3:$W$66),"")</f>
        <v/>
      </c>
      <c r="AW95" s="41" t="str" cm="1">
        <f t="array" ref="AW95">IFERROR(_xlfn.XLOOKUP(TRIM($E95),TRIM('Año 2026'!$E$3:$E$66),'Año 2026'!$X$3:$X$66),"")</f>
        <v/>
      </c>
      <c r="AX95" s="41" t="str" cm="1">
        <f t="array" ref="AX95">IFERROR(_xlfn.XLOOKUP(TRIM($E95),TRIM('Año 2026'!$E$3:$E$66),'Año 2026'!$Y$3:$Y$66),"")</f>
        <v/>
      </c>
      <c r="AY95" s="41" t="str" cm="1">
        <f t="array" ref="AY95">IFERROR(_xlfn.XLOOKUP(TRIM($E95),TRIM('Año 2026'!$E$3:$E$66),'Año 2026'!$Z$3:$Z$66),"")</f>
        <v/>
      </c>
      <c r="AZ95" s="41" t="str" cm="1">
        <f t="array" ref="AZ95">IFERROR(_xlfn.XLOOKUP(TRIM($E95),TRIM('Año 2026'!$E$3:$E$66),'Año 2026'!$AA$3:$AA$66),"")</f>
        <v/>
      </c>
      <c r="BA95" s="41" t="str" cm="1">
        <f t="array" ref="BA95">IFERROR(_xlfn.XLOOKUP(TRIM($E95),TRIM('Año 2026'!$E$3:$E$66),'Año 2026'!$AB$3:$AB$66),"")</f>
        <v/>
      </c>
      <c r="BB95" s="41" t="str" cm="1">
        <f t="array" ref="BB95">IFERROR(_xlfn.XLOOKUP(TRIM($E95),TRIM('Año 2026'!$E$3:$E$66),'Año 2026'!$AC$3:$AC$66),"")</f>
        <v/>
      </c>
      <c r="BC95" s="41" t="str" cm="1">
        <f t="array" ref="BC95">IFERROR(_xlfn.XLOOKUP(TRIM($E95),TRIM('Año 2026'!$E$3:$E$66),'Año 2026'!$AD$3:$AD$66),"")</f>
        <v/>
      </c>
    </row>
    <row r="96" spans="1:55" s="41" customFormat="1" ht="105" customHeight="1" x14ac:dyDescent="0.25">
      <c r="A96" s="48"/>
      <c r="B96" s="48">
        <v>2026</v>
      </c>
      <c r="C96" s="51" t="s">
        <v>137</v>
      </c>
      <c r="D96" s="51" t="s">
        <v>270</v>
      </c>
      <c r="E96" s="51" t="s">
        <v>272</v>
      </c>
      <c r="F96" s="53" t="s">
        <v>269</v>
      </c>
      <c r="G96" s="51" t="s">
        <v>140</v>
      </c>
      <c r="H96" s="105">
        <v>149</v>
      </c>
      <c r="I96" s="48" t="s">
        <v>266</v>
      </c>
      <c r="J96" s="51"/>
      <c r="K96" s="51"/>
      <c r="L96" s="51"/>
      <c r="M96" s="51"/>
      <c r="N96" s="51"/>
      <c r="O96" s="51"/>
      <c r="P96" s="51"/>
      <c r="Q96" s="51"/>
      <c r="R96" s="45"/>
      <c r="S96" s="51"/>
      <c r="T96" s="50"/>
      <c r="U96" s="48"/>
      <c r="V96" s="47"/>
      <c r="W96" s="45"/>
      <c r="X96" s="45"/>
      <c r="Y96" s="49"/>
      <c r="Z96" s="49"/>
      <c r="AA96" s="47"/>
      <c r="AB96" s="48"/>
      <c r="AC96" s="47"/>
      <c r="AD96" s="46"/>
      <c r="AE96" s="45"/>
      <c r="AF96" s="41" t="str" cm="1">
        <f t="array" ref="AF96">IFERROR(_xlfn.XLOOKUP(TRIM($E96),TRIM('Año 2026'!$E$3:$E$66),'Año 2026'!$G$3:$G$66),"")</f>
        <v/>
      </c>
      <c r="AG96" s="41" t="str" cm="1">
        <f t="array" ref="AG96">IFERROR(_xlfn.XLOOKUP(TRIM($E96),TRIM('Año 2026'!$E$3:$E$66),'Año 2026'!$H$3:$H$66),"")</f>
        <v/>
      </c>
      <c r="AH96" s="41" t="str" cm="1">
        <f t="array" ref="AH96">IFERROR(_xlfn.XLOOKUP(TRIM($E96),TRIM('Año 2026'!$E$3:$E$66),'Año 2026'!$I$3:$I$66),"")</f>
        <v/>
      </c>
      <c r="AI96" s="41" t="str" cm="1">
        <f t="array" ref="AI96">IFERROR(_xlfn.XLOOKUP(TRIM($E96),TRIM('Año 2026'!$E$3:$E$66),'Año 2026'!$J$3:$J$66),"")</f>
        <v/>
      </c>
      <c r="AJ96" s="41" t="str" cm="1">
        <f t="array" ref="AJ96">IFERROR(_xlfn.XLOOKUP(TRIM($E96),TRIM('Año 2026'!$E$3:$E$66),'Año 2026'!$K$3:$K$66),"")</f>
        <v/>
      </c>
      <c r="AK96" s="41" t="str" cm="1">
        <f t="array" ref="AK96">IFERROR(_xlfn.XLOOKUP(TRIM($E96),TRIM('Año 2026'!$E$3:$E$66),'Año 2026'!$L$3:$L$66),"")</f>
        <v/>
      </c>
      <c r="AL96" s="41" t="str" cm="1">
        <f t="array" ref="AL96">IFERROR(_xlfn.XLOOKUP(TRIM($E96),TRIM('Año 2026'!$E$3:$E$66),'Año 2026'!$M$3:$M$66),"")</f>
        <v/>
      </c>
      <c r="AM96" s="41" t="str" cm="1">
        <f t="array" ref="AM96">IFERROR(_xlfn.XLOOKUP(TRIM($E96),TRIM('Año 2026'!$E$3:$E$66),'Año 2026'!$N$3:$N$66),"")</f>
        <v/>
      </c>
      <c r="AN96" s="41" t="str" cm="1">
        <f t="array" ref="AN96">IFERROR(_xlfn.XLOOKUP(TRIM($E96),TRIM('Año 2026'!$E$3:$E$66),'Año 2026'!$O$3:$O$66),"")</f>
        <v/>
      </c>
      <c r="AO96" s="41" t="str" cm="1">
        <f t="array" ref="AO96">IFERROR(_xlfn.XLOOKUP(TRIM($E96),TRIM('Año 2026'!$E$3:$E$66),'Año 2026'!$P$3:$P$66),"")</f>
        <v/>
      </c>
      <c r="AP96" s="41" t="str" cm="1">
        <f t="array" ref="AP96">IFERROR(_xlfn.XLOOKUP(TRIM($E96),TRIM('Año 2026'!$E$3:$E$66),'Año 2026'!$Q$3:$Q$66),"")</f>
        <v/>
      </c>
      <c r="AQ96" s="41" t="str" cm="1">
        <f t="array" ref="AQ96">IFERROR(_xlfn.XLOOKUP(TRIM($E96),TRIM('Año 2026'!$E$3:$E$66),'Año 2026'!$R$3:$R$66),"")</f>
        <v/>
      </c>
      <c r="AR96" s="41" t="str" cm="1">
        <f t="array" ref="AR96">IFERROR(_xlfn.XLOOKUP(TRIM($E96),TRIM('Año 2026'!$E$3:$E$66),'Año 2026'!$S$3:$S$66),"")</f>
        <v/>
      </c>
      <c r="AS96" s="41" t="str" cm="1">
        <f t="array" ref="AS96">IFERROR(_xlfn.XLOOKUP(TRIM($E96),TRIM('Año 2026'!$E$3:$E$66),'Año 2026'!$T$3:$T$66),"")</f>
        <v/>
      </c>
      <c r="AT96" s="41" t="str" cm="1">
        <f t="array" ref="AT96">IFERROR(_xlfn.XLOOKUP(TRIM($E96),TRIM('Año 2026'!$E$3:$E$66),'Año 2026'!$U$3:$U$66),"")</f>
        <v/>
      </c>
      <c r="AU96" s="41" t="str" cm="1">
        <f t="array" ref="AU96">IFERROR(_xlfn.XLOOKUP(TRIM($E96),TRIM('Año 2026'!$E$3:$E$66),'Año 2026'!$V$3:$V$66),"")</f>
        <v/>
      </c>
      <c r="AV96" s="41" t="str" cm="1">
        <f t="array" ref="AV96">IFERROR(_xlfn.XLOOKUP(TRIM($E96),TRIM('Año 2026'!$E$3:$E$66),'Año 2026'!$W$3:$W$66),"")</f>
        <v/>
      </c>
      <c r="AW96" s="41" t="str" cm="1">
        <f t="array" ref="AW96">IFERROR(_xlfn.XLOOKUP(TRIM($E96),TRIM('Año 2026'!$E$3:$E$66),'Año 2026'!$X$3:$X$66),"")</f>
        <v/>
      </c>
      <c r="AX96" s="41" t="str" cm="1">
        <f t="array" ref="AX96">IFERROR(_xlfn.XLOOKUP(TRIM($E96),TRIM('Año 2026'!$E$3:$E$66),'Año 2026'!$Y$3:$Y$66),"")</f>
        <v/>
      </c>
      <c r="AY96" s="41" t="str" cm="1">
        <f t="array" ref="AY96">IFERROR(_xlfn.XLOOKUP(TRIM($E96),TRIM('Año 2026'!$E$3:$E$66),'Año 2026'!$Z$3:$Z$66),"")</f>
        <v/>
      </c>
      <c r="AZ96" s="41" t="str" cm="1">
        <f t="array" ref="AZ96">IFERROR(_xlfn.XLOOKUP(TRIM($E96),TRIM('Año 2026'!$E$3:$E$66),'Año 2026'!$AA$3:$AA$66),"")</f>
        <v/>
      </c>
      <c r="BA96" s="41" t="str" cm="1">
        <f t="array" ref="BA96">IFERROR(_xlfn.XLOOKUP(TRIM($E96),TRIM('Año 2026'!$E$3:$E$66),'Año 2026'!$AB$3:$AB$66),"")</f>
        <v/>
      </c>
      <c r="BB96" s="41" t="str" cm="1">
        <f t="array" ref="BB96">IFERROR(_xlfn.XLOOKUP(TRIM($E96),TRIM('Año 2026'!$E$3:$E$66),'Año 2026'!$AC$3:$AC$66),"")</f>
        <v/>
      </c>
      <c r="BC96" s="41" t="str" cm="1">
        <f t="array" ref="BC96">IFERROR(_xlfn.XLOOKUP(TRIM($E96),TRIM('Año 2026'!$E$3:$E$66),'Año 2026'!$AD$3:$AD$66),"")</f>
        <v/>
      </c>
    </row>
    <row r="97" spans="1:55" s="41" customFormat="1" ht="105" customHeight="1" x14ac:dyDescent="0.25">
      <c r="A97" s="48"/>
      <c r="B97" s="48">
        <v>2026</v>
      </c>
      <c r="C97" s="51" t="s">
        <v>137</v>
      </c>
      <c r="D97" s="51" t="s">
        <v>270</v>
      </c>
      <c r="E97" s="51" t="s">
        <v>240</v>
      </c>
      <c r="F97" s="53" t="s">
        <v>269</v>
      </c>
      <c r="G97" s="51" t="s">
        <v>241</v>
      </c>
      <c r="H97" s="105">
        <v>21</v>
      </c>
      <c r="I97" s="48" t="s">
        <v>266</v>
      </c>
      <c r="J97" s="51"/>
      <c r="K97" s="51"/>
      <c r="L97" s="51"/>
      <c r="M97" s="51"/>
      <c r="N97" s="51"/>
      <c r="O97" s="51"/>
      <c r="P97" s="51"/>
      <c r="Q97" s="51"/>
      <c r="R97" s="45"/>
      <c r="S97" s="51"/>
      <c r="T97" s="50"/>
      <c r="U97" s="48"/>
      <c r="V97" s="47"/>
      <c r="W97" s="45"/>
      <c r="X97" s="45"/>
      <c r="Y97" s="49"/>
      <c r="Z97" s="49"/>
      <c r="AA97" s="47"/>
      <c r="AB97" s="48"/>
      <c r="AC97" s="47"/>
      <c r="AD97" s="46"/>
      <c r="AE97" s="45"/>
      <c r="AF97" s="41" t="str" cm="1">
        <f t="array" ref="AF97">IFERROR(_xlfn.XLOOKUP(TRIM($E97),TRIM('Año 2026'!$E$3:$E$66),'Año 2026'!$G$3:$G$66),"")</f>
        <v>OFICIO Nº 02415-2026-SUNEDU-DS-DIRESESU-UVE</v>
      </c>
      <c r="AG97" s="41" cm="1">
        <f t="array" ref="AG97">IFERROR(_xlfn.XLOOKUP(TRIM($E97),TRIM('Año 2026'!$E$3:$E$66),'Año 2026'!$H$3:$H$66),"")</f>
        <v>46164</v>
      </c>
      <c r="AH97" s="41" cm="1">
        <f t="array" ref="AH97">IFERROR(_xlfn.XLOOKUP(TRIM($E97),TRIM('Año 2026'!$E$3:$E$66),'Año 2026'!$I$3:$I$66),"")</f>
        <v>2</v>
      </c>
      <c r="AI97" s="41" cm="1">
        <f t="array" ref="AI97">IFERROR(_xlfn.XLOOKUP(TRIM($E97),TRIM('Año 2026'!$E$3:$E$66),'Año 2026'!$J$3:$J$66),"")</f>
        <v>46168</v>
      </c>
      <c r="AJ97" s="41" cm="1">
        <f t="array" aca="1" ref="AJ97" ca="1">IFERROR(_xlfn.XLOOKUP(TRIM($E97),TRIM('Año 2026'!$E$3:$E$66),'Año 2026'!$K$3:$K$66),"")</f>
        <v>-24</v>
      </c>
      <c r="AK97" s="41" t="str" cm="1">
        <f t="array" aca="1" ref="AK97" ca="1">IFERROR(_xlfn.XLOOKUP(TRIM($E97),TRIM('Año 2026'!$E$3:$E$66),'Año 2026'!$L$3:$L$66),"")</f>
        <v>🚨 VENCIDO</v>
      </c>
      <c r="AL97" s="41" t="str" cm="1">
        <f t="array" aca="1" ref="AL97" ca="1">IFERROR(_xlfn.XLOOKUP(TRIM($E97),TRIM('Año 2026'!$E$3:$E$66),'Año 2026'!$M$3:$M$66),"")</f>
        <v>❌ Vencido por 24 días</v>
      </c>
      <c r="AM97" s="41" cm="1">
        <f t="array" ref="AM97">IFERROR(_xlfn.XLOOKUP(TRIM($E97),TRIM('Año 2026'!$E$3:$E$66),'Año 2026'!$N$3:$N$66),"")</f>
        <v>0</v>
      </c>
      <c r="AN97" s="41" cm="1">
        <f t="array" ref="AN97">IFERROR(_xlfn.XLOOKUP(TRIM($E97),TRIM('Año 2026'!$E$3:$E$66),'Año 2026'!$O$3:$O$66),"")</f>
        <v>0</v>
      </c>
      <c r="AO97" s="41" t="str" cm="1">
        <f t="array" ref="AO97">IFERROR(_xlfn.XLOOKUP(TRIM($E97),TRIM('Año 2026'!$E$3:$E$66),'Año 2026'!$P$3:$P$66),"")</f>
        <v>Visita de inspección</v>
      </c>
      <c r="AP97" s="41" cm="1">
        <f t="array" ref="AP97">IFERROR(_xlfn.XLOOKUP(TRIM($E97),TRIM('Año 2026'!$E$3:$E$66),'Año 2026'!$Q$3:$Q$66),"")</f>
        <v>0</v>
      </c>
      <c r="AQ97" s="41" cm="1">
        <f t="array" ref="AQ97">IFERROR(_xlfn.XLOOKUP(TRIM($E97),TRIM('Año 2026'!$E$3:$E$66),'Año 2026'!$R$3:$R$66),"")</f>
        <v>0</v>
      </c>
      <c r="AR97" s="41" cm="1">
        <f t="array" ref="AR97">IFERROR(_xlfn.XLOOKUP(TRIM($E97),TRIM('Año 2026'!$E$3:$E$66),'Año 2026'!$S$3:$S$66),"")</f>
        <v>0</v>
      </c>
      <c r="AS97" s="41" cm="1">
        <f t="array" ref="AS97">IFERROR(_xlfn.XLOOKUP(TRIM($E97),TRIM('Año 2026'!$E$3:$E$66),'Año 2026'!$T$3:$T$66),"")</f>
        <v>0</v>
      </c>
      <c r="AT97" s="41" cm="1">
        <f t="array" ref="AT97">IFERROR(_xlfn.XLOOKUP(TRIM($E97),TRIM('Año 2026'!$E$3:$E$66),'Año 2026'!$U$3:$U$66),"")</f>
        <v>0</v>
      </c>
      <c r="AU97" s="41" t="str" cm="1">
        <f t="array" ref="AU97">IFERROR(_xlfn.XLOOKUP(TRIM($E97),TRIM('Año 2026'!$E$3:$E$66),'Año 2026'!$V$3:$V$66),"")</f>
        <v>OFICIO Nº 02927-2026-SUNEDU-DS-DIRESESU-UVE</v>
      </c>
      <c r="AV97" s="41" cm="1">
        <f t="array" ref="AV97">IFERROR(_xlfn.XLOOKUP(TRIM($E97),TRIM('Año 2026'!$E$3:$E$66),'Año 2026'!$W$3:$W$66),"")</f>
        <v>46185</v>
      </c>
      <c r="AW97" s="41" cm="1">
        <f t="array" ref="AW97">IFERROR(_xlfn.XLOOKUP(TRIM($E97),TRIM('Año 2026'!$E$3:$E$66),'Año 2026'!$X$3:$X$66),"")</f>
        <v>10</v>
      </c>
      <c r="AX97" s="41" t="str" cm="1">
        <f t="array" ref="AX97">IFERROR(_xlfn.XLOOKUP(TRIM($E97),TRIM('Año 2026'!$E$3:$E$66),'Año 2026'!$Y$3:$Y$66),"")</f>
        <v/>
      </c>
      <c r="AY97" s="41" t="str" cm="1">
        <f t="array" aca="1" ref="AY97" ca="1">IFERROR(_xlfn.XLOOKUP(TRIM($E97),TRIM('Año 2026'!$E$3:$E$66),'Año 2026'!$Z$3:$Z$66),"")</f>
        <v/>
      </c>
      <c r="AZ97" s="41" t="str" cm="1">
        <f t="array" aca="1" ref="AZ97" ca="1">IFERROR(_xlfn.XLOOKUP(TRIM($E97),TRIM('Año 2026'!$E$3:$E$66),'Año 2026'!$AA$3:$AA$66),"")</f>
        <v/>
      </c>
      <c r="BA97" s="41" t="str" cm="1">
        <f t="array" aca="1" ref="BA97" ca="1">IFERROR(_xlfn.XLOOKUP(TRIM($E97),TRIM('Año 2026'!$E$3:$E$66),'Año 2026'!$AB$3:$AB$66),"")</f>
        <v/>
      </c>
      <c r="BB97" s="41" cm="1">
        <f t="array" ref="BB97">IFERROR(_xlfn.XLOOKUP(TRIM($E97),TRIM('Año 2026'!$E$3:$E$66),'Año 2026'!$AC$3:$AC$66),"")</f>
        <v>0</v>
      </c>
      <c r="BC97" s="41" cm="1">
        <f t="array" ref="BC97">IFERROR(_xlfn.XLOOKUP(TRIM($E97),TRIM('Año 2026'!$E$3:$E$66),'Año 2026'!$AD$3:$AD$66),"")</f>
        <v>0</v>
      </c>
    </row>
    <row r="98" spans="1:55" s="41" customFormat="1" ht="105" customHeight="1" x14ac:dyDescent="0.25">
      <c r="A98" s="48"/>
      <c r="B98" s="48">
        <v>2026</v>
      </c>
      <c r="C98" s="51" t="s">
        <v>137</v>
      </c>
      <c r="D98" s="51" t="s">
        <v>270</v>
      </c>
      <c r="E98" s="51" t="s">
        <v>265</v>
      </c>
      <c r="F98" s="53" t="s">
        <v>269</v>
      </c>
      <c r="G98" s="51" t="s">
        <v>268</v>
      </c>
      <c r="H98" s="105">
        <v>17</v>
      </c>
      <c r="I98" s="48" t="s">
        <v>266</v>
      </c>
      <c r="J98" s="51"/>
      <c r="K98" s="51"/>
      <c r="L98" s="51"/>
      <c r="M98" s="51"/>
      <c r="N98" s="51"/>
      <c r="O98" s="51"/>
      <c r="P98" s="51"/>
      <c r="Q98" s="51"/>
      <c r="R98" s="45"/>
      <c r="S98" s="51"/>
      <c r="T98" s="50"/>
      <c r="U98" s="48"/>
      <c r="V98" s="47"/>
      <c r="W98" s="45"/>
      <c r="X98" s="45"/>
      <c r="Y98" s="49"/>
      <c r="Z98" s="49"/>
      <c r="AA98" s="47"/>
      <c r="AB98" s="48"/>
      <c r="AC98" s="47"/>
      <c r="AD98" s="46"/>
      <c r="AE98" s="45"/>
      <c r="AF98" s="41" t="str" cm="1">
        <f t="array" ref="AF98">IFERROR(_xlfn.XLOOKUP(TRIM($E98),TRIM('Año 2026'!$E$3:$E$66),'Año 2026'!$G$3:$G$66),"")</f>
        <v/>
      </c>
      <c r="AG98" s="41" t="str" cm="1">
        <f t="array" ref="AG98">IFERROR(_xlfn.XLOOKUP(TRIM($E98),TRIM('Año 2026'!$E$3:$E$66),'Año 2026'!$H$3:$H$66),"")</f>
        <v/>
      </c>
      <c r="AH98" s="41" t="str" cm="1">
        <f t="array" ref="AH98">IFERROR(_xlfn.XLOOKUP(TRIM($E98),TRIM('Año 2026'!$E$3:$E$66),'Año 2026'!$I$3:$I$66),"")</f>
        <v/>
      </c>
      <c r="AI98" s="41" t="str" cm="1">
        <f t="array" ref="AI98">IFERROR(_xlfn.XLOOKUP(TRIM($E98),TRIM('Año 2026'!$E$3:$E$66),'Año 2026'!$J$3:$J$66),"")</f>
        <v/>
      </c>
      <c r="AJ98" s="41" t="str" cm="1">
        <f t="array" ref="AJ98">IFERROR(_xlfn.XLOOKUP(TRIM($E98),TRIM('Año 2026'!$E$3:$E$66),'Año 2026'!$K$3:$K$66),"")</f>
        <v/>
      </c>
      <c r="AK98" s="41" t="str" cm="1">
        <f t="array" ref="AK98">IFERROR(_xlfn.XLOOKUP(TRIM($E98),TRIM('Año 2026'!$E$3:$E$66),'Año 2026'!$L$3:$L$66),"")</f>
        <v/>
      </c>
      <c r="AL98" s="41" t="str" cm="1">
        <f t="array" ref="AL98">IFERROR(_xlfn.XLOOKUP(TRIM($E98),TRIM('Año 2026'!$E$3:$E$66),'Año 2026'!$M$3:$M$66),"")</f>
        <v/>
      </c>
      <c r="AM98" s="41" t="str" cm="1">
        <f t="array" ref="AM98">IFERROR(_xlfn.XLOOKUP(TRIM($E98),TRIM('Año 2026'!$E$3:$E$66),'Año 2026'!$N$3:$N$66),"")</f>
        <v/>
      </c>
      <c r="AN98" s="41" t="str" cm="1">
        <f t="array" ref="AN98">IFERROR(_xlfn.XLOOKUP(TRIM($E98),TRIM('Año 2026'!$E$3:$E$66),'Año 2026'!$O$3:$O$66),"")</f>
        <v/>
      </c>
      <c r="AO98" s="41" t="str" cm="1">
        <f t="array" ref="AO98">IFERROR(_xlfn.XLOOKUP(TRIM($E98),TRIM('Año 2026'!$E$3:$E$66),'Año 2026'!$P$3:$P$66),"")</f>
        <v/>
      </c>
      <c r="AP98" s="41" t="str" cm="1">
        <f t="array" ref="AP98">IFERROR(_xlfn.XLOOKUP(TRIM($E98),TRIM('Año 2026'!$E$3:$E$66),'Año 2026'!$Q$3:$Q$66),"")</f>
        <v/>
      </c>
      <c r="AQ98" s="41" t="str" cm="1">
        <f t="array" ref="AQ98">IFERROR(_xlfn.XLOOKUP(TRIM($E98),TRIM('Año 2026'!$E$3:$E$66),'Año 2026'!$R$3:$R$66),"")</f>
        <v/>
      </c>
      <c r="AR98" s="41" t="str" cm="1">
        <f t="array" ref="AR98">IFERROR(_xlfn.XLOOKUP(TRIM($E98),TRIM('Año 2026'!$E$3:$E$66),'Año 2026'!$S$3:$S$66),"")</f>
        <v/>
      </c>
      <c r="AS98" s="41" t="str" cm="1">
        <f t="array" ref="AS98">IFERROR(_xlfn.XLOOKUP(TRIM($E98),TRIM('Año 2026'!$E$3:$E$66),'Año 2026'!$T$3:$T$66),"")</f>
        <v/>
      </c>
      <c r="AT98" s="41" t="str" cm="1">
        <f t="array" ref="AT98">IFERROR(_xlfn.XLOOKUP(TRIM($E98),TRIM('Año 2026'!$E$3:$E$66),'Año 2026'!$U$3:$U$66),"")</f>
        <v/>
      </c>
      <c r="AU98" s="41" t="str" cm="1">
        <f t="array" ref="AU98">IFERROR(_xlfn.XLOOKUP(TRIM($E98),TRIM('Año 2026'!$E$3:$E$66),'Año 2026'!$V$3:$V$66),"")</f>
        <v/>
      </c>
      <c r="AV98" s="41" t="str" cm="1">
        <f t="array" ref="AV98">IFERROR(_xlfn.XLOOKUP(TRIM($E98),TRIM('Año 2026'!$E$3:$E$66),'Año 2026'!$W$3:$W$66),"")</f>
        <v/>
      </c>
      <c r="AW98" s="41" t="str" cm="1">
        <f t="array" ref="AW98">IFERROR(_xlfn.XLOOKUP(TRIM($E98),TRIM('Año 2026'!$E$3:$E$66),'Año 2026'!$X$3:$X$66),"")</f>
        <v/>
      </c>
      <c r="AX98" s="41" t="str" cm="1">
        <f t="array" ref="AX98">IFERROR(_xlfn.XLOOKUP(TRIM($E98),TRIM('Año 2026'!$E$3:$E$66),'Año 2026'!$Y$3:$Y$66),"")</f>
        <v/>
      </c>
      <c r="AY98" s="41" t="str" cm="1">
        <f t="array" ref="AY98">IFERROR(_xlfn.XLOOKUP(TRIM($E98),TRIM('Año 2026'!$E$3:$E$66),'Año 2026'!$Z$3:$Z$66),"")</f>
        <v/>
      </c>
      <c r="AZ98" s="41" t="str" cm="1">
        <f t="array" ref="AZ98">IFERROR(_xlfn.XLOOKUP(TRIM($E98),TRIM('Año 2026'!$E$3:$E$66),'Año 2026'!$AA$3:$AA$66),"")</f>
        <v/>
      </c>
      <c r="BA98" s="41" t="str" cm="1">
        <f t="array" ref="BA98">IFERROR(_xlfn.XLOOKUP(TRIM($E98),TRIM('Año 2026'!$E$3:$E$66),'Año 2026'!$AB$3:$AB$66),"")</f>
        <v/>
      </c>
      <c r="BB98" s="41" t="str" cm="1">
        <f t="array" ref="BB98">IFERROR(_xlfn.XLOOKUP(TRIM($E98),TRIM('Año 2026'!$E$3:$E$66),'Año 2026'!$AC$3:$AC$66),"")</f>
        <v/>
      </c>
      <c r="BC98" s="41" t="str" cm="1">
        <f t="array" ref="BC98">IFERROR(_xlfn.XLOOKUP(TRIM($E98),TRIM('Año 2026'!$E$3:$E$66),'Año 2026'!$AD$3:$AD$66),"")</f>
        <v/>
      </c>
    </row>
    <row r="99" spans="1:55" x14ac:dyDescent="0.25">
      <c r="H99" s="41"/>
      <c r="AD99" s="40"/>
      <c r="AE99" s="41"/>
    </row>
    <row r="100" spans="1:55" x14ac:dyDescent="0.25">
      <c r="H100" s="41"/>
      <c r="AD100" s="40"/>
      <c r="AE100" s="41"/>
    </row>
    <row r="101" spans="1:55" x14ac:dyDescent="0.25">
      <c r="H101" s="41"/>
      <c r="AD101" s="40"/>
      <c r="AE101" s="41"/>
    </row>
    <row r="102" spans="1:55" x14ac:dyDescent="0.25">
      <c r="H102" s="41"/>
      <c r="AD102" s="40"/>
      <c r="AE102" s="41"/>
    </row>
    <row r="103" spans="1:55" x14ac:dyDescent="0.25">
      <c r="H103" s="41"/>
      <c r="AD103" s="40"/>
      <c r="AE103" s="41"/>
    </row>
    <row r="104" spans="1:55" x14ac:dyDescent="0.25">
      <c r="H104" s="41"/>
      <c r="AD104" s="40"/>
      <c r="AE104" s="41"/>
    </row>
    <row r="105" spans="1:55" x14ac:dyDescent="0.25">
      <c r="H105" s="41"/>
      <c r="AD105" s="40"/>
      <c r="AE105" s="41"/>
    </row>
    <row r="106" spans="1:55" x14ac:dyDescent="0.25">
      <c r="H106" s="41"/>
      <c r="AD106" s="40"/>
      <c r="AE106" s="41"/>
    </row>
    <row r="107" spans="1:55" x14ac:dyDescent="0.25">
      <c r="H107" s="41"/>
      <c r="AD107" s="40"/>
      <c r="AE107" s="41"/>
    </row>
    <row r="108" spans="1:55" x14ac:dyDescent="0.25">
      <c r="H108" s="41"/>
      <c r="AD108" s="40"/>
      <c r="AE108" s="41"/>
    </row>
    <row r="109" spans="1:55" x14ac:dyDescent="0.25">
      <c r="H109" s="41"/>
      <c r="AD109" s="40"/>
      <c r="AE109" s="41"/>
    </row>
    <row r="110" spans="1:55" x14ac:dyDescent="0.25">
      <c r="H110" s="41"/>
      <c r="AD110" s="40"/>
      <c r="AE110" s="41"/>
    </row>
    <row r="111" spans="1:55" x14ac:dyDescent="0.25">
      <c r="H111" s="41"/>
      <c r="AD111" s="40"/>
      <c r="AE111" s="41"/>
    </row>
    <row r="112" spans="1:55" x14ac:dyDescent="0.25">
      <c r="H112" s="41"/>
      <c r="AD112" s="40"/>
      <c r="AE112" s="41"/>
    </row>
    <row r="113" spans="8:31" x14ac:dyDescent="0.25">
      <c r="H113" s="41"/>
      <c r="AD113" s="40"/>
      <c r="AE113" s="41"/>
    </row>
    <row r="114" spans="8:31" x14ac:dyDescent="0.25">
      <c r="H114" s="41"/>
      <c r="AD114" s="40"/>
      <c r="AE114" s="41"/>
    </row>
    <row r="115" spans="8:31" x14ac:dyDescent="0.25">
      <c r="H115" s="41"/>
      <c r="AD115" s="40"/>
      <c r="AE115" s="41"/>
    </row>
    <row r="116" spans="8:31" x14ac:dyDescent="0.25">
      <c r="H116" s="41"/>
      <c r="AD116" s="40"/>
      <c r="AE116" s="41"/>
    </row>
    <row r="117" spans="8:31" x14ac:dyDescent="0.25">
      <c r="H117" s="41"/>
      <c r="AD117" s="40"/>
      <c r="AE117" s="41"/>
    </row>
    <row r="118" spans="8:31" x14ac:dyDescent="0.25">
      <c r="H118" s="41"/>
      <c r="AD118" s="40"/>
      <c r="AE118" s="41"/>
    </row>
    <row r="119" spans="8:31" x14ac:dyDescent="0.25">
      <c r="H119" s="41"/>
      <c r="AD119" s="40"/>
      <c r="AE119" s="41"/>
    </row>
    <row r="120" spans="8:31" x14ac:dyDescent="0.25">
      <c r="H120" s="41"/>
      <c r="AD120" s="40"/>
      <c r="AE120" s="41"/>
    </row>
    <row r="121" spans="8:31" x14ac:dyDescent="0.25">
      <c r="H121" s="41"/>
      <c r="AD121" s="40"/>
      <c r="AE121" s="41"/>
    </row>
    <row r="122" spans="8:31" x14ac:dyDescent="0.25">
      <c r="H122" s="41"/>
      <c r="AD122" s="40"/>
      <c r="AE122" s="41"/>
    </row>
    <row r="123" spans="8:31" x14ac:dyDescent="0.25">
      <c r="H123" s="41"/>
      <c r="AD123" s="40"/>
      <c r="AE123" s="41"/>
    </row>
    <row r="124" spans="8:31" x14ac:dyDescent="0.25">
      <c r="H124" s="41"/>
      <c r="AD124" s="40"/>
      <c r="AE124" s="41"/>
    </row>
    <row r="125" spans="8:31" x14ac:dyDescent="0.25">
      <c r="H125" s="41"/>
      <c r="AD125" s="40"/>
      <c r="AE125" s="41"/>
    </row>
    <row r="126" spans="8:31" x14ac:dyDescent="0.25">
      <c r="H126" s="41"/>
      <c r="AD126" s="40"/>
      <c r="AE126" s="41"/>
    </row>
    <row r="127" spans="8:31" x14ac:dyDescent="0.25">
      <c r="H127" s="41"/>
      <c r="AD127" s="40"/>
      <c r="AE127" s="41"/>
    </row>
    <row r="128" spans="8:31" x14ac:dyDescent="0.25">
      <c r="H128" s="41"/>
      <c r="AD128" s="40"/>
      <c r="AE128" s="41"/>
    </row>
    <row r="129" spans="8:31" x14ac:dyDescent="0.25">
      <c r="H129" s="41"/>
      <c r="AD129" s="40"/>
      <c r="AE129" s="41"/>
    </row>
    <row r="130" spans="8:31" x14ac:dyDescent="0.25">
      <c r="H130" s="41"/>
      <c r="AD130" s="40"/>
      <c r="AE130" s="41"/>
    </row>
    <row r="131" spans="8:31" x14ac:dyDescent="0.25">
      <c r="H131" s="41"/>
      <c r="AD131" s="40"/>
      <c r="AE131" s="41"/>
    </row>
    <row r="132" spans="8:31" x14ac:dyDescent="0.25">
      <c r="H132" s="41"/>
      <c r="AD132" s="40"/>
      <c r="AE132" s="41"/>
    </row>
    <row r="133" spans="8:31" x14ac:dyDescent="0.25">
      <c r="H133" s="41"/>
      <c r="AD133" s="40"/>
      <c r="AE133" s="41"/>
    </row>
    <row r="134" spans="8:31" x14ac:dyDescent="0.25">
      <c r="H134" s="41"/>
      <c r="AD134" s="40"/>
      <c r="AE134" s="41"/>
    </row>
    <row r="135" spans="8:31" x14ac:dyDescent="0.25">
      <c r="H135" s="41"/>
      <c r="AD135" s="40"/>
      <c r="AE135" s="41"/>
    </row>
    <row r="136" spans="8:31" x14ac:dyDescent="0.25">
      <c r="H136" s="41"/>
      <c r="AD136" s="40"/>
      <c r="AE136" s="41"/>
    </row>
    <row r="137" spans="8:31" x14ac:dyDescent="0.25">
      <c r="H137" s="41"/>
      <c r="AD137" s="40"/>
      <c r="AE137" s="41"/>
    </row>
    <row r="138" spans="8:31" x14ac:dyDescent="0.25">
      <c r="H138" s="41"/>
      <c r="AD138" s="40"/>
      <c r="AE138" s="41"/>
    </row>
    <row r="139" spans="8:31" x14ac:dyDescent="0.25">
      <c r="H139" s="41"/>
      <c r="AD139" s="40"/>
      <c r="AE139" s="41"/>
    </row>
    <row r="140" spans="8:31" x14ac:dyDescent="0.25">
      <c r="H140" s="41"/>
      <c r="AD140" s="40"/>
      <c r="AE140" s="41"/>
    </row>
    <row r="141" spans="8:31" x14ac:dyDescent="0.25">
      <c r="H141" s="41"/>
      <c r="AD141" s="40"/>
      <c r="AE141" s="41"/>
    </row>
    <row r="142" spans="8:31" x14ac:dyDescent="0.25">
      <c r="H142" s="41"/>
      <c r="AD142" s="40"/>
      <c r="AE142" s="41"/>
    </row>
    <row r="143" spans="8:31" x14ac:dyDescent="0.25">
      <c r="H143" s="41"/>
      <c r="AD143" s="40"/>
      <c r="AE143" s="41"/>
    </row>
    <row r="144" spans="8:31" x14ac:dyDescent="0.25">
      <c r="H144" s="41"/>
      <c r="AD144" s="40"/>
      <c r="AE144" s="41"/>
    </row>
    <row r="145" spans="8:31" x14ac:dyDescent="0.25">
      <c r="H145" s="41"/>
      <c r="AD145" s="40"/>
      <c r="AE145" s="41"/>
    </row>
    <row r="146" spans="8:31" x14ac:dyDescent="0.25">
      <c r="H146" s="41"/>
      <c r="AD146" s="40"/>
      <c r="AE146" s="41"/>
    </row>
    <row r="147" spans="8:31" x14ac:dyDescent="0.25">
      <c r="H147" s="41"/>
      <c r="AD147" s="40"/>
      <c r="AE147" s="41"/>
    </row>
    <row r="148" spans="8:31" x14ac:dyDescent="0.25">
      <c r="H148" s="41"/>
      <c r="AD148" s="40"/>
      <c r="AE148" s="41"/>
    </row>
    <row r="149" spans="8:31" x14ac:dyDescent="0.25">
      <c r="H149" s="41"/>
      <c r="AD149" s="40"/>
      <c r="AE149" s="41"/>
    </row>
    <row r="150" spans="8:31" x14ac:dyDescent="0.25">
      <c r="H150" s="41"/>
      <c r="AD150" s="40"/>
      <c r="AE150" s="41"/>
    </row>
    <row r="151" spans="8:31" x14ac:dyDescent="0.25">
      <c r="H151" s="41"/>
      <c r="AD151" s="40"/>
      <c r="AE151" s="41"/>
    </row>
    <row r="152" spans="8:31" x14ac:dyDescent="0.25">
      <c r="H152" s="41"/>
      <c r="AD152" s="40"/>
      <c r="AE152" s="41"/>
    </row>
    <row r="153" spans="8:31" x14ac:dyDescent="0.25">
      <c r="H153" s="41"/>
      <c r="AD153" s="40"/>
      <c r="AE153" s="41"/>
    </row>
    <row r="154" spans="8:31" x14ac:dyDescent="0.25">
      <c r="H154" s="41"/>
      <c r="AD154" s="40"/>
      <c r="AE154" s="41"/>
    </row>
    <row r="155" spans="8:31" x14ac:dyDescent="0.25">
      <c r="H155" s="41"/>
      <c r="AD155" s="40"/>
      <c r="AE155" s="41"/>
    </row>
    <row r="156" spans="8:31" x14ac:dyDescent="0.25">
      <c r="H156" s="41"/>
      <c r="AD156" s="40"/>
      <c r="AE156" s="41"/>
    </row>
    <row r="157" spans="8:31" x14ac:dyDescent="0.25">
      <c r="H157" s="41"/>
      <c r="AD157" s="40"/>
      <c r="AE157" s="41"/>
    </row>
    <row r="158" spans="8:31" x14ac:dyDescent="0.25">
      <c r="H158" s="41"/>
      <c r="AD158" s="40"/>
      <c r="AE158" s="41"/>
    </row>
    <row r="159" spans="8:31" x14ac:dyDescent="0.25">
      <c r="H159" s="41"/>
      <c r="AD159" s="40"/>
      <c r="AE159" s="41"/>
    </row>
    <row r="160" spans="8:31" x14ac:dyDescent="0.25">
      <c r="H160" s="41"/>
      <c r="AD160" s="40"/>
      <c r="AE160" s="41"/>
    </row>
    <row r="161" spans="8:31" x14ac:dyDescent="0.25">
      <c r="H161" s="41"/>
      <c r="AD161" s="40"/>
      <c r="AE161" s="41"/>
    </row>
    <row r="162" spans="8:31" x14ac:dyDescent="0.25">
      <c r="H162" s="41"/>
      <c r="AD162" s="40"/>
      <c r="AE162" s="41"/>
    </row>
    <row r="163" spans="8:31" x14ac:dyDescent="0.25">
      <c r="H163" s="41"/>
      <c r="AD163" s="40"/>
      <c r="AE163" s="41"/>
    </row>
    <row r="164" spans="8:31" x14ac:dyDescent="0.25">
      <c r="H164" s="41"/>
      <c r="AD164" s="40"/>
      <c r="AE164" s="41"/>
    </row>
    <row r="165" spans="8:31" x14ac:dyDescent="0.25">
      <c r="H165" s="41"/>
      <c r="AD165" s="40"/>
      <c r="AE165" s="41"/>
    </row>
    <row r="166" spans="8:31" x14ac:dyDescent="0.25">
      <c r="H166" s="41"/>
      <c r="AD166" s="40"/>
      <c r="AE166" s="41"/>
    </row>
    <row r="167" spans="8:31" x14ac:dyDescent="0.25">
      <c r="H167" s="41"/>
      <c r="AD167" s="40"/>
      <c r="AE167" s="41"/>
    </row>
    <row r="168" spans="8:31" x14ac:dyDescent="0.25">
      <c r="H168" s="41"/>
      <c r="AD168" s="40"/>
      <c r="AE168" s="41"/>
    </row>
    <row r="169" spans="8:31" x14ac:dyDescent="0.25">
      <c r="H169" s="41"/>
      <c r="AD169" s="40"/>
      <c r="AE169" s="41"/>
    </row>
    <row r="170" spans="8:31" x14ac:dyDescent="0.25">
      <c r="H170" s="41"/>
      <c r="AD170" s="40"/>
      <c r="AE170" s="41"/>
    </row>
    <row r="171" spans="8:31" x14ac:dyDescent="0.25">
      <c r="H171" s="41"/>
      <c r="AD171" s="40"/>
      <c r="AE171" s="41"/>
    </row>
    <row r="172" spans="8:31" x14ac:dyDescent="0.25">
      <c r="H172" s="41"/>
      <c r="AD172" s="40"/>
      <c r="AE172" s="41"/>
    </row>
    <row r="173" spans="8:31" x14ac:dyDescent="0.25">
      <c r="H173" s="41"/>
      <c r="AD173" s="40"/>
      <c r="AE173" s="41"/>
    </row>
    <row r="174" spans="8:31" x14ac:dyDescent="0.25">
      <c r="H174" s="41"/>
      <c r="AD174" s="40"/>
      <c r="AE174" s="41"/>
    </row>
    <row r="175" spans="8:31" x14ac:dyDescent="0.25">
      <c r="H175" s="41"/>
      <c r="AD175" s="40"/>
      <c r="AE175" s="41"/>
    </row>
    <row r="176" spans="8:31" x14ac:dyDescent="0.25">
      <c r="H176" s="41"/>
      <c r="AD176" s="40"/>
      <c r="AE176" s="41"/>
    </row>
    <row r="177" spans="8:31" x14ac:dyDescent="0.25">
      <c r="H177" s="41"/>
      <c r="AD177" s="40"/>
      <c r="AE177" s="41"/>
    </row>
    <row r="178" spans="8:31" x14ac:dyDescent="0.25">
      <c r="H178" s="41"/>
      <c r="AD178" s="40"/>
      <c r="AE178" s="41"/>
    </row>
    <row r="179" spans="8:31" x14ac:dyDescent="0.25">
      <c r="H179" s="41"/>
      <c r="AD179" s="40"/>
      <c r="AE179" s="41"/>
    </row>
    <row r="180" spans="8:31" x14ac:dyDescent="0.25">
      <c r="H180" s="41"/>
      <c r="AD180" s="40"/>
      <c r="AE180" s="41"/>
    </row>
    <row r="181" spans="8:31" x14ac:dyDescent="0.25">
      <c r="H181" s="41"/>
      <c r="AD181" s="40"/>
      <c r="AE181" s="41"/>
    </row>
    <row r="182" spans="8:31" x14ac:dyDescent="0.25">
      <c r="H182" s="41"/>
      <c r="AD182" s="40"/>
      <c r="AE182" s="41"/>
    </row>
    <row r="183" spans="8:31" x14ac:dyDescent="0.25">
      <c r="H183" s="41"/>
      <c r="AD183" s="40"/>
      <c r="AE183" s="41"/>
    </row>
    <row r="184" spans="8:31" x14ac:dyDescent="0.25">
      <c r="H184" s="41"/>
      <c r="AD184" s="40"/>
      <c r="AE184" s="41"/>
    </row>
    <row r="185" spans="8:31" x14ac:dyDescent="0.25">
      <c r="H185" s="41"/>
      <c r="AD185" s="40"/>
      <c r="AE185" s="41"/>
    </row>
    <row r="186" spans="8:31" x14ac:dyDescent="0.25">
      <c r="H186" s="41"/>
      <c r="AD186" s="40"/>
      <c r="AE186" s="41"/>
    </row>
    <row r="187" spans="8:31" x14ac:dyDescent="0.25">
      <c r="H187" s="41"/>
      <c r="AD187" s="40"/>
      <c r="AE187" s="41"/>
    </row>
    <row r="188" spans="8:31" x14ac:dyDescent="0.25">
      <c r="H188" s="41"/>
      <c r="AD188" s="40"/>
      <c r="AE188" s="41"/>
    </row>
    <row r="189" spans="8:31" x14ac:dyDescent="0.25">
      <c r="H189" s="41"/>
      <c r="AD189" s="40"/>
      <c r="AE189" s="41"/>
    </row>
    <row r="190" spans="8:31" x14ac:dyDescent="0.25">
      <c r="H190" s="41"/>
      <c r="AD190" s="40"/>
      <c r="AE190" s="41"/>
    </row>
    <row r="191" spans="8:31" x14ac:dyDescent="0.25">
      <c r="H191" s="41"/>
      <c r="AD191" s="40"/>
      <c r="AE191" s="41"/>
    </row>
    <row r="192" spans="8:31" x14ac:dyDescent="0.25">
      <c r="H192" s="41"/>
      <c r="AD192" s="40"/>
      <c r="AE192" s="41"/>
    </row>
    <row r="193" spans="8:31" x14ac:dyDescent="0.25">
      <c r="H193" s="41"/>
      <c r="AD193" s="40"/>
      <c r="AE193" s="41"/>
    </row>
    <row r="194" spans="8:31" x14ac:dyDescent="0.25">
      <c r="H194" s="41"/>
      <c r="AD194" s="40"/>
      <c r="AE194" s="41"/>
    </row>
    <row r="195" spans="8:31" x14ac:dyDescent="0.25">
      <c r="H195" s="41"/>
      <c r="AD195" s="40"/>
      <c r="AE195" s="41"/>
    </row>
    <row r="196" spans="8:31" x14ac:dyDescent="0.25">
      <c r="H196" s="41"/>
      <c r="AD196" s="40"/>
      <c r="AE196" s="41"/>
    </row>
    <row r="197" spans="8:31" x14ac:dyDescent="0.25">
      <c r="H197" s="41"/>
      <c r="AD197" s="40"/>
      <c r="AE197" s="41"/>
    </row>
    <row r="198" spans="8:31" x14ac:dyDescent="0.25">
      <c r="H198" s="41"/>
      <c r="AD198" s="40"/>
      <c r="AE198" s="41"/>
    </row>
  </sheetData>
  <autoFilter ref="A1:BB98" xr:uid="{3D9630DA-78DE-4FDF-BD3D-F302DF30A531}">
    <sortState xmlns:xlrd2="http://schemas.microsoft.com/office/spreadsheetml/2017/richdata2" ref="A2:BC98">
      <sortCondition ref="A1:A98"/>
    </sortState>
  </autoFilter>
  <conditionalFormatting sqref="F2:F1048576">
    <cfRule type="containsText" dxfId="57" priority="9" operator="containsText" text="En trámite">
      <formula>NOT(ISERROR(SEARCH("En trámite",F2)))</formula>
    </cfRule>
    <cfRule type="containsText" dxfId="56" priority="10" operator="containsText" text="Archivado">
      <formula>NOT(ISERROR(SEARCH("Archivado",F2)))</formula>
    </cfRule>
    <cfRule type="containsText" dxfId="55" priority="11" operator="containsText" text="Atendido">
      <formula>NOT(ISERROR(SEARCH("Atendido",F2)))</formula>
    </cfRule>
  </conditionalFormatting>
  <conditionalFormatting sqref="AB2:AB98 Y77:Y98">
    <cfRule type="containsText" dxfId="47" priority="22" operator="containsText" text="SIN FECHA">
      <formula>NOT(ISERROR(SEARCH("SIN FECHA",Y2)))</formula>
    </cfRule>
    <cfRule type="containsText" dxfId="46" priority="23" operator="containsText" text="VENCIDO">
      <formula>NOT(ISERROR(SEARCH("VENCIDO",Y2)))</formula>
    </cfRule>
    <cfRule type="containsText" dxfId="45" priority="24" operator="containsText" text="Por vencer">
      <formula>NOT(ISERROR(SEARCH("Por vencer",Y2)))</formula>
    </cfRule>
  </conditionalFormatting>
  <conditionalFormatting sqref="AD2:AD98">
    <cfRule type="containsText" dxfId="44" priority="12" operator="containsText" text="RETRASO">
      <formula>NOT(ISERROR(SEARCH("RETRASO",AD2)))</formula>
    </cfRule>
    <cfRule type="containsText" dxfId="43" priority="13" operator="containsText" text="COMPLETADO">
      <formula>NOT(ISERROR(SEARCH("COMPLETADO",AD2)))</formula>
    </cfRule>
    <cfRule type="containsText" dxfId="42" priority="14" operator="containsText" text="EN PROCESO">
      <formula>NOT(ISERROR(SEARCH("EN PROCESO",AD2)))</formula>
    </cfRule>
  </conditionalFormatting>
  <conditionalFormatting sqref="BC1 AR1 AF1:AI1">
    <cfRule type="containsText" dxfId="41" priority="4" operator="containsText" text="EXTEMPORÁNEA">
      <formula>NOT(ISERROR(SEARCH("EXTEMPORÁNEA",AF1)))</formula>
    </cfRule>
  </conditionalFormatting>
  <conditionalFormatting sqref="AO1:AY1 AF1:AI1">
    <cfRule type="containsText" dxfId="40" priority="1" operator="containsText" text="NO APLICA">
      <formula>NOT(ISERROR(SEARCH("NO APLICA",AF1)))</formula>
    </cfRule>
  </conditionalFormatting>
  <conditionalFormatting sqref="AR1 BC1">
    <cfRule type="containsText" dxfId="39" priority="3" operator="containsText" text="NO APLICA">
      <formula>NOT(ISERROR(SEARCH("NO APLICA",AR1)))</formula>
    </cfRule>
  </conditionalFormatting>
  <conditionalFormatting sqref="AO1:AY1">
    <cfRule type="containsText" dxfId="38" priority="2" operator="containsText" text="EXTEMPORÁNEA">
      <formula>NOT(ISERROR(SEARCH("EXTEMPORÁNEA",AO1)))</formula>
    </cfRule>
  </conditionalFormatting>
  <dataValidations count="2">
    <dataValidation type="list" allowBlank="1" showInputMessage="1" showErrorMessage="1" sqref="S69:T69 S2:T67" xr:uid="{4052491B-39E9-4E06-A312-51099B61C6AA}">
      <formula1>#REF!</formula1>
    </dataValidation>
    <dataValidation type="list" allowBlank="1" showInputMessage="1" showErrorMessage="1" sqref="AD82 AD2:AD80" xr:uid="{963C67FC-94F8-4EAF-9959-7FF217C02830}">
      <formula1>"COMPLETADO,EN PROCESO,RETRASO"</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5" operator="containsText" id="{A4678D2E-91B0-470C-9F57-6A1EDA88BD6A}">
            <xm:f>NOT(ISERROR(SEARCH(#REF!,S2)))</xm:f>
            <xm:f>#REF!</xm:f>
            <x14:dxf>
              <font>
                <b/>
                <i val="0"/>
                <color theme="1"/>
              </font>
            </x14:dxf>
          </x14:cfRule>
          <x14:cfRule type="containsText" priority="16" operator="containsText" id="{0D7BEB3A-1894-476A-A988-70E9D7B9BA74}">
            <xm:f>NOT(ISERROR(SEARCH(#REF!,S2)))</xm:f>
            <xm:f>#REF!</xm:f>
            <x14:dxf>
              <font>
                <b/>
                <i val="0"/>
                <color theme="1"/>
              </font>
              <fill>
                <patternFill>
                  <bgColor rgb="FFC00000"/>
                </patternFill>
              </fill>
            </x14:dxf>
          </x14:cfRule>
          <x14:cfRule type="containsText" priority="17" operator="containsText" id="{ED037709-5840-4247-ADDF-460CA0D06409}">
            <xm:f>NOT(ISERROR(SEARCH(#REF!,S2)))</xm:f>
            <xm:f>#REF!</xm:f>
            <x14:dxf>
              <font>
                <b/>
                <i val="0"/>
                <color theme="1"/>
              </font>
              <fill>
                <patternFill>
                  <bgColor rgb="FFFFC000"/>
                </patternFill>
              </fill>
            </x14:dxf>
          </x14:cfRule>
          <x14:cfRule type="containsText" priority="18" operator="containsText" id="{0270D9FD-6D9D-497F-BE5E-296C846C73DC}">
            <xm:f>NOT(ISERROR(SEARCH(#REF!,S2)))</xm:f>
            <xm:f>#REF!</xm:f>
            <x14:dxf>
              <font>
                <b/>
                <i val="0"/>
                <color auto="1"/>
              </font>
              <fill>
                <patternFill>
                  <bgColor rgb="FF92D050"/>
                </patternFill>
              </fill>
            </x14:dxf>
          </x14:cfRule>
          <xm:sqref>S2:S98</xm:sqref>
        </x14:conditionalFormatting>
        <x14:conditionalFormatting xmlns:xm="http://schemas.microsoft.com/office/excel/2006/main">
          <x14:cfRule type="containsText" priority="19" operator="containsText" id="{469477D0-0DCA-46C9-8705-C3B161C5A1CF}">
            <xm:f>NOT(ISERROR(SEARCH(#REF!,T2)))</xm:f>
            <xm:f>#REF!</xm:f>
            <x14:dxf>
              <font>
                <b/>
                <i val="0"/>
                <color theme="0" tint="-4.9989318521683403E-2"/>
              </font>
              <fill>
                <patternFill>
                  <bgColor theme="1"/>
                </patternFill>
              </fill>
            </x14:dxf>
          </x14:cfRule>
          <x14:cfRule type="containsText" priority="20" operator="containsText" id="{F2AC1D98-703A-403B-B342-9F097C1C4775}">
            <xm:f>NOT(ISERROR(SEARCH(#REF!,T2)))</xm:f>
            <xm:f>#REF!</xm:f>
            <x14:dxf>
              <font>
                <b/>
                <i val="0"/>
                <color theme="1"/>
              </font>
              <fill>
                <patternFill>
                  <bgColor theme="0" tint="-0.24994659260841701"/>
                </patternFill>
              </fill>
            </x14:dxf>
          </x14:cfRule>
          <x14:cfRule type="containsText" priority="21" operator="containsText" id="{5604978B-74FE-4E2F-865A-0CE1EF8CE834}">
            <xm:f>NOT(ISERROR(SEARCH(#REF!,T2)))</xm:f>
            <xm:f>#REF!</xm:f>
            <x14:dxf>
              <font>
                <b/>
                <i val="0"/>
              </font>
            </x14:dxf>
          </x14:cfRule>
          <xm:sqref>T2:T98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7156-4AB0-42FA-B4A9-75445524B9E8}">
  <sheetPr>
    <tabColor rgb="FFC00000"/>
  </sheetPr>
  <dimension ref="A1:L150"/>
  <sheetViews>
    <sheetView workbookViewId="0">
      <selection activeCell="B1" sqref="B1:B150"/>
    </sheetView>
  </sheetViews>
  <sheetFormatPr baseColWidth="10" defaultRowHeight="15" x14ac:dyDescent="0.25"/>
  <cols>
    <col min="1" max="1" width="6" style="114" customWidth="1"/>
    <col min="2" max="2" width="60.28515625" style="115" customWidth="1"/>
    <col min="3" max="3" width="16.85546875" style="114" customWidth="1"/>
    <col min="4" max="4" width="14.7109375" style="114" customWidth="1"/>
    <col min="5" max="7" width="11.42578125" style="115"/>
    <col min="8" max="8" width="21.42578125" style="115" customWidth="1"/>
    <col min="9" max="12" width="11.42578125" style="115"/>
    <col min="13" max="16384" width="11.42578125" style="114"/>
  </cols>
  <sheetData>
    <row r="1" spans="1:12" x14ac:dyDescent="0.25">
      <c r="A1" s="114" t="s">
        <v>1108</v>
      </c>
      <c r="B1" s="114" t="s">
        <v>1107</v>
      </c>
      <c r="C1" s="114" t="s">
        <v>1106</v>
      </c>
      <c r="D1" s="114" t="s">
        <v>1105</v>
      </c>
      <c r="E1" s="116" t="s">
        <v>1104</v>
      </c>
      <c r="F1" s="116" t="s">
        <v>754</v>
      </c>
      <c r="G1" s="116" t="s">
        <v>753</v>
      </c>
      <c r="H1" s="116" t="s">
        <v>1103</v>
      </c>
      <c r="I1" s="116" t="s">
        <v>1102</v>
      </c>
      <c r="J1" s="116" t="s">
        <v>1101</v>
      </c>
      <c r="K1" s="116" t="s">
        <v>1100</v>
      </c>
      <c r="L1" s="116" t="s">
        <v>1099</v>
      </c>
    </row>
    <row r="2" spans="1:12" x14ac:dyDescent="0.25">
      <c r="A2" s="114">
        <v>1</v>
      </c>
      <c r="B2" s="115" t="s">
        <v>1098</v>
      </c>
      <c r="C2" s="114" t="s">
        <v>1097</v>
      </c>
      <c r="D2" s="114" t="s">
        <v>295</v>
      </c>
      <c r="E2" s="115" t="str" cm="1">
        <f t="array" ref="E2">_xlfn.XLOOKUP(1,(dimLocales_v2[IdUniversidad]=$A2)*(dimLocales_v2[SedePrincipal]=TRUE),dimLocales_v2[Departamento],"")</f>
        <v>Lima</v>
      </c>
      <c r="F2" s="115" t="str" cm="1">
        <f t="array" ref="F2">_xlfn.XLOOKUP(1,(dimLocales_v2[IdUniversidad]=$A2)*(dimLocales_v2[SedePrincipal]=TRUE),dimLocales_v2[Provincia],"")</f>
        <v>Lima</v>
      </c>
      <c r="G2" s="115" t="str" cm="1">
        <f t="array" ref="G2">_xlfn.XLOOKUP(1,(dimLocales_v2[IdUniversidad]=$A2)*(dimLocales_v2[SedePrincipal]=TRUE),dimLocales_v2[Distrito],"")</f>
        <v>Santiago de Surco</v>
      </c>
      <c r="H2" s="115" t="str" cm="1">
        <f t="array" ref="H2">_xlfn.XLOOKUP(1,(dimLocales_v2[IdUniversidad]=$A2)*(dimLocales_v2[SedePrincipal]=TRUE),dimLocales_v2[Direccion],"")</f>
        <v>Av. Javier Prado Este Cuadra 46 S/N</v>
      </c>
      <c r="I2" s="115" cm="1">
        <f t="array" ref="I2">_xlfn.XLOOKUP(1,(dimLocales_v2[IdUniversidad]=$A2)*(dimLocales_v2[SedePrincipal]=TRUE),dimLocales_v2[Latitud],"")</f>
        <v>-12.0839636959617</v>
      </c>
      <c r="J2" s="115" cm="1">
        <f t="array" ref="J2">_xlfn.XLOOKUP(1,(dimLocales_v2[IdUniversidad]=$A2)*(dimLocales_v2[SedePrincipal]=TRUE),dimLocales_v2[Longitud],"")</f>
        <v>-76.970644719573997</v>
      </c>
      <c r="K2" s="115" cm="1">
        <f t="array" ref="K2">_xlfn.XLOOKUP(1,(dimLocales_v2[IdUniversidad]=$A2)*(dimLocales_v2[SedePrincipal]=TRUE),dimLocales_v2[UbigeoRENIEC],"")</f>
        <v>140130</v>
      </c>
      <c r="L2" s="115" cm="1">
        <f t="array" ref="L2">_xlfn.XLOOKUP(1,(dimLocales_v2[IdUniversidad]=$A2)*(dimLocales_v2[SedePrincipal]=TRUE),dimLocales_v2[UbigeoINEI],"")</f>
        <v>150140</v>
      </c>
    </row>
    <row r="3" spans="1:12" x14ac:dyDescent="0.25">
      <c r="A3" s="114">
        <v>2</v>
      </c>
      <c r="B3" s="115" t="s">
        <v>1096</v>
      </c>
      <c r="C3" s="114" t="s">
        <v>645</v>
      </c>
      <c r="D3" s="114" t="s">
        <v>266</v>
      </c>
      <c r="E3" s="115" t="str" cm="1">
        <f t="array" ref="E3">_xlfn.XLOOKUP(1,(dimLocales_v2[IdUniversidad]=$A3)*(dimLocales_v2[SedePrincipal]=TRUE),dimLocales_v2[Departamento],"")</f>
        <v>Lima</v>
      </c>
      <c r="F3" s="115" t="str" cm="1">
        <f t="array" ref="F3">_xlfn.XLOOKUP(1,(dimLocales_v2[IdUniversidad]=$A3)*(dimLocales_v2[SedePrincipal]=TRUE),dimLocales_v2[Provincia],"")</f>
        <v>Lima</v>
      </c>
      <c r="G3" s="115" t="str" cm="1">
        <f t="array" ref="G3">_xlfn.XLOOKUP(1,(dimLocales_v2[IdUniversidad]=$A3)*(dimLocales_v2[SedePrincipal]=TRUE),dimLocales_v2[Distrito],"")</f>
        <v>Lima</v>
      </c>
      <c r="H3" s="115" t="str" cm="1">
        <f t="array" ref="H3">_xlfn.XLOOKUP(1,(dimLocales_v2[IdUniversidad]=$A3)*(dimLocales_v2[SedePrincipal]=TRUE),dimLocales_v2[Direccion],"")</f>
        <v>Av. Nicolas de Pierola N° 347-351-355 / Jr. Moquegua 651-653</v>
      </c>
      <c r="I3" s="115" cm="1">
        <f t="array" ref="I3">_xlfn.XLOOKUP(1,(dimLocales_v2[IdUniversidad]=$A3)*(dimLocales_v2[SedePrincipal]=TRUE),dimLocales_v2[Latitud],"")</f>
        <v>-12.047542399999999</v>
      </c>
      <c r="J3" s="115" cm="1">
        <f t="array" ref="J3">_xlfn.XLOOKUP(1,(dimLocales_v2[IdUniversidad]=$A3)*(dimLocales_v2[SedePrincipal]=TRUE),dimLocales_v2[Longitud],"")</f>
        <v>-77.040569399999995</v>
      </c>
      <c r="K3" s="115" cm="1">
        <f t="array" ref="K3">_xlfn.XLOOKUP(1,(dimLocales_v2[IdUniversidad]=$A3)*(dimLocales_v2[SedePrincipal]=TRUE),dimLocales_v2[UbigeoRENIEC],"")</f>
        <v>140101</v>
      </c>
      <c r="L3" s="115" cm="1">
        <f t="array" ref="L3">_xlfn.XLOOKUP(1,(dimLocales_v2[IdUniversidad]=$A3)*(dimLocales_v2[SedePrincipal]=TRUE),dimLocales_v2[UbigeoINEI],"")</f>
        <v>150101</v>
      </c>
    </row>
    <row r="4" spans="1:12" x14ac:dyDescent="0.25">
      <c r="A4" s="114">
        <v>3</v>
      </c>
      <c r="B4" s="115" t="s">
        <v>1095</v>
      </c>
      <c r="C4" s="114" t="s">
        <v>1094</v>
      </c>
      <c r="D4" s="114" t="s">
        <v>266</v>
      </c>
      <c r="E4" s="115" t="str" cm="1">
        <f t="array" ref="E4">_xlfn.XLOOKUP(1,(dimLocales_v2[IdUniversidad]=$A4)*(dimLocales_v2[SedePrincipal]=TRUE),dimLocales_v2[Departamento],"")</f>
        <v>La Libertad</v>
      </c>
      <c r="F4" s="115" t="str" cm="1">
        <f t="array" ref="F4">_xlfn.XLOOKUP(1,(dimLocales_v2[IdUniversidad]=$A4)*(dimLocales_v2[SedePrincipal]=TRUE),dimLocales_v2[Provincia],"")</f>
        <v>Trujillo</v>
      </c>
      <c r="G4" s="115" t="str" cm="1">
        <f t="array" ref="G4">_xlfn.XLOOKUP(1,(dimLocales_v2[IdUniversidad]=$A4)*(dimLocales_v2[SedePrincipal]=TRUE),dimLocales_v2[Distrito],"")</f>
        <v>Trujillo</v>
      </c>
      <c r="H4" s="115" t="str" cm="1">
        <f t="array" ref="H4">_xlfn.XLOOKUP(1,(dimLocales_v2[IdUniversidad]=$A4)*(dimLocales_v2[SedePrincipal]=TRUE),dimLocales_v2[Direccion],"")</f>
        <v>Fundo San Andrés-Av. Juan Pablo II S/N</v>
      </c>
      <c r="I4" s="115" cm="1">
        <f t="array" ref="I4">_xlfn.XLOOKUP(1,(dimLocales_v2[IdUniversidad]=$A4)*(dimLocales_v2[SedePrincipal]=TRUE),dimLocales_v2[Latitud],"")</f>
        <v>-8.1143778142324106</v>
      </c>
      <c r="J4" s="115" cm="1">
        <f t="array" ref="J4">_xlfn.XLOOKUP(1,(dimLocales_v2[IdUniversidad]=$A4)*(dimLocales_v2[SedePrincipal]=TRUE),dimLocales_v2[Longitud],"")</f>
        <v>-79.037901431213399</v>
      </c>
      <c r="K4" s="115" cm="1">
        <f t="array" ref="K4">_xlfn.XLOOKUP(1,(dimLocales_v2[IdUniversidad]=$A4)*(dimLocales_v2[SedePrincipal]=TRUE),dimLocales_v2[UbigeoRENIEC],"")</f>
        <v>120101</v>
      </c>
      <c r="L4" s="115" cm="1">
        <f t="array" ref="L4">_xlfn.XLOOKUP(1,(dimLocales_v2[IdUniversidad]=$A4)*(dimLocales_v2[SedePrincipal]=TRUE),dimLocales_v2[UbigeoINEI],"")</f>
        <v>130101</v>
      </c>
    </row>
    <row r="5" spans="1:12" x14ac:dyDescent="0.25">
      <c r="A5" s="114">
        <v>4</v>
      </c>
      <c r="B5" s="115" t="s">
        <v>1093</v>
      </c>
      <c r="C5" s="114" t="s">
        <v>1051</v>
      </c>
      <c r="D5" s="114" t="s">
        <v>266</v>
      </c>
      <c r="E5" s="115" t="str" cm="1">
        <f t="array" ref="E5">_xlfn.XLOOKUP(1,(dimLocales_v2[IdUniversidad]=$A5)*(dimLocales_v2[SedePrincipal]=TRUE),dimLocales_v2[Departamento],"")</f>
        <v>Puno</v>
      </c>
      <c r="F5" s="115" t="str" cm="1">
        <f t="array" ref="F5">_xlfn.XLOOKUP(1,(dimLocales_v2[IdUniversidad]=$A5)*(dimLocales_v2[SedePrincipal]=TRUE),dimLocales_v2[Provincia],"")</f>
        <v>Puno</v>
      </c>
      <c r="G5" s="115" t="str" cm="1">
        <f t="array" ref="G5">_xlfn.XLOOKUP(1,(dimLocales_v2[IdUniversidad]=$A5)*(dimLocales_v2[SedePrincipal]=TRUE),dimLocales_v2[Distrito],"")</f>
        <v>Puno</v>
      </c>
      <c r="H5" s="115" t="str" cm="1">
        <f t="array" ref="H5">_xlfn.XLOOKUP(1,(dimLocales_v2[IdUniversidad]=$A5)*(dimLocales_v2[SedePrincipal]=TRUE),dimLocales_v2[Direccion],"")</f>
        <v>Av. Floral N° 1153</v>
      </c>
      <c r="I5" s="115" cm="1">
        <f t="array" ref="I5">_xlfn.XLOOKUP(1,(dimLocales_v2[IdUniversidad]=$A5)*(dimLocales_v2[SedePrincipal]=TRUE),dimLocales_v2[Latitud],"")</f>
        <v>-15.8243805</v>
      </c>
      <c r="J5" s="115" cm="1">
        <f t="array" ref="J5">_xlfn.XLOOKUP(1,(dimLocales_v2[IdUniversidad]=$A5)*(dimLocales_v2[SedePrincipal]=TRUE),dimLocales_v2[Longitud],"")</f>
        <v>-70.016254399999994</v>
      </c>
      <c r="K5" s="115" cm="1">
        <f t="array" ref="K5">_xlfn.XLOOKUP(1,(dimLocales_v2[IdUniversidad]=$A5)*(dimLocales_v2[SedePrincipal]=TRUE),dimLocales_v2[UbigeoRENIEC],"")</f>
        <v>200101</v>
      </c>
      <c r="L5" s="115" cm="1">
        <f t="array" ref="L5">_xlfn.XLOOKUP(1,(dimLocales_v2[IdUniversidad]=$A5)*(dimLocales_v2[SedePrincipal]=TRUE),dimLocales_v2[UbigeoINEI],"")</f>
        <v>210101</v>
      </c>
    </row>
    <row r="6" spans="1:12" x14ac:dyDescent="0.25">
      <c r="A6" s="114">
        <v>5</v>
      </c>
      <c r="B6" s="115" t="s">
        <v>125</v>
      </c>
      <c r="C6" s="114" t="s">
        <v>296</v>
      </c>
      <c r="D6" s="114" t="s">
        <v>295</v>
      </c>
      <c r="E6" s="115" t="str" cm="1">
        <f t="array" ref="E6">_xlfn.XLOOKUP(1,(dimLocales_v2[IdUniversidad]=$A6)*(dimLocales_v2[SedePrincipal]=TRUE),dimLocales_v2[Departamento],"")</f>
        <v>Lima</v>
      </c>
      <c r="F6" s="115" t="str" cm="1">
        <f t="array" ref="F6">_xlfn.XLOOKUP(1,(dimLocales_v2[IdUniversidad]=$A6)*(dimLocales_v2[SedePrincipal]=TRUE),dimLocales_v2[Provincia],"")</f>
        <v>Lima</v>
      </c>
      <c r="G6" s="115" t="str" cm="1">
        <f t="array" ref="G6">_xlfn.XLOOKUP(1,(dimLocales_v2[IdUniversidad]=$A6)*(dimLocales_v2[SedePrincipal]=TRUE),dimLocales_v2[Distrito],"")</f>
        <v>Santiago de Surco</v>
      </c>
      <c r="H6" s="115" t="str" cm="1">
        <f t="array" ref="H6">_xlfn.XLOOKUP(1,(dimLocales_v2[IdUniversidad]=$A6)*(dimLocales_v2[SedePrincipal]=TRUE),dimLocales_v2[Direccion],"")</f>
        <v>Aveninda Alfredo Benavides Nº 5440</v>
      </c>
      <c r="I6" s="115" cm="1">
        <f t="array" ref="I6">_xlfn.XLOOKUP(1,(dimLocales_v2[IdUniversidad]=$A6)*(dimLocales_v2[SedePrincipal]=TRUE),dimLocales_v2[Latitud],"")</f>
        <v>-12.1313764067937</v>
      </c>
      <c r="J6" s="115" cm="1">
        <f t="array" ref="J6">_xlfn.XLOOKUP(1,(dimLocales_v2[IdUniversidad]=$A6)*(dimLocales_v2[SedePrincipal]=TRUE),dimLocales_v2[Longitud],"")</f>
        <v>-76.9795229183853</v>
      </c>
      <c r="K6" s="115" cm="1">
        <f t="array" ref="K6">_xlfn.XLOOKUP(1,(dimLocales_v2[IdUniversidad]=$A6)*(dimLocales_v2[SedePrincipal]=TRUE),dimLocales_v2[UbigeoRENIEC],"")</f>
        <v>140130</v>
      </c>
      <c r="L6" s="115" cm="1">
        <f t="array" ref="L6">_xlfn.XLOOKUP(1,(dimLocales_v2[IdUniversidad]=$A6)*(dimLocales_v2[SedePrincipal]=TRUE),dimLocales_v2[UbigeoINEI],"")</f>
        <v>150140</v>
      </c>
    </row>
    <row r="7" spans="1:12" x14ac:dyDescent="0.25">
      <c r="A7" s="114">
        <v>6</v>
      </c>
      <c r="B7" s="115" t="s">
        <v>1092</v>
      </c>
      <c r="C7" s="114" t="s">
        <v>1091</v>
      </c>
      <c r="D7" s="114" t="s">
        <v>295</v>
      </c>
      <c r="E7" s="115" t="str" cm="1">
        <f t="array" ref="E7">_xlfn.XLOOKUP(1,(dimLocales_v2[IdUniversidad]=$A7)*(dimLocales_v2[SedePrincipal]=TRUE),dimLocales_v2[Departamento],"")</f>
        <v>Piura</v>
      </c>
      <c r="F7" s="115" t="str" cm="1">
        <f t="array" ref="F7">_xlfn.XLOOKUP(1,(dimLocales_v2[IdUniversidad]=$A7)*(dimLocales_v2[SedePrincipal]=TRUE),dimLocales_v2[Provincia],"")</f>
        <v>Piura</v>
      </c>
      <c r="G7" s="115" t="str" cm="1">
        <f t="array" ref="G7">_xlfn.XLOOKUP(1,(dimLocales_v2[IdUniversidad]=$A7)*(dimLocales_v2[SedePrincipal]=TRUE),dimLocales_v2[Distrito],"")</f>
        <v>Piura</v>
      </c>
      <c r="H7" s="115" t="str" cm="1">
        <f t="array" ref="H7">_xlfn.XLOOKUP(1,(dimLocales_v2[IdUniversidad]=$A7)*(dimLocales_v2[SedePrincipal]=TRUE),dimLocales_v2[Direccion],"")</f>
        <v>Avenida Ramón Mugica Nº 131, Urb. San Eduardo</v>
      </c>
      <c r="I7" s="115" cm="1">
        <f t="array" ref="I7">_xlfn.XLOOKUP(1,(dimLocales_v2[IdUniversidad]=$A7)*(dimLocales_v2[SedePrincipal]=TRUE),dimLocales_v2[Latitud],"")</f>
        <v>-5.1766923</v>
      </c>
      <c r="J7" s="115" cm="1">
        <f t="array" ref="J7">_xlfn.XLOOKUP(1,(dimLocales_v2[IdUniversidad]=$A7)*(dimLocales_v2[SedePrincipal]=TRUE),dimLocales_v2[Longitud],"")</f>
        <v>-80.634643400000002</v>
      </c>
      <c r="K7" s="115" cm="1">
        <f t="array" ref="K7">_xlfn.XLOOKUP(1,(dimLocales_v2[IdUniversidad]=$A7)*(dimLocales_v2[SedePrincipal]=TRUE),dimLocales_v2[UbigeoRENIEC],"")</f>
        <v>190101</v>
      </c>
      <c r="L7" s="115" cm="1">
        <f t="array" ref="L7">_xlfn.XLOOKUP(1,(dimLocales_v2[IdUniversidad]=$A7)*(dimLocales_v2[SedePrincipal]=TRUE),dimLocales_v2[UbigeoINEI],"")</f>
        <v>200101</v>
      </c>
    </row>
    <row r="8" spans="1:12" x14ac:dyDescent="0.25">
      <c r="A8" s="114">
        <v>7</v>
      </c>
      <c r="B8" s="115" t="s">
        <v>1090</v>
      </c>
      <c r="C8" s="114" t="s">
        <v>1089</v>
      </c>
      <c r="D8" s="114" t="s">
        <v>295</v>
      </c>
      <c r="E8" s="115" t="str" cm="1">
        <f t="array" ref="E8">_xlfn.XLOOKUP(1,(dimLocales_v2[IdUniversidad]=$A8)*(dimLocales_v2[SedePrincipal]=TRUE),dimLocales_v2[Departamento],"")</f>
        <v>Lima</v>
      </c>
      <c r="F8" s="115" t="str" cm="1">
        <f t="array" ref="F8">_xlfn.XLOOKUP(1,(dimLocales_v2[IdUniversidad]=$A8)*(dimLocales_v2[SedePrincipal]=TRUE),dimLocales_v2[Provincia],"")</f>
        <v>Lima</v>
      </c>
      <c r="G8" s="115" t="str" cm="1">
        <f t="array" ref="G8">_xlfn.XLOOKUP(1,(dimLocales_v2[IdUniversidad]=$A8)*(dimLocales_v2[SedePrincipal]=TRUE),dimLocales_v2[Distrito],"")</f>
        <v>Chorrillos</v>
      </c>
      <c r="H8" s="115" t="str" cm="1">
        <f t="array" ref="H8">_xlfn.XLOOKUP(1,(dimLocales_v2[IdUniversidad]=$A8)*(dimLocales_v2[SedePrincipal]=TRUE),dimLocales_v2[Direccion],"")</f>
        <v>Avenida José Antonio Lavalle N° 302-304-320-322-386-390-412 y Jirón Los Keros N° 280</v>
      </c>
      <c r="I8" s="115" cm="1">
        <f t="array" ref="I8">_xlfn.XLOOKUP(1,(dimLocales_v2[IdUniversidad]=$A8)*(dimLocales_v2[SedePrincipal]=TRUE),dimLocales_v2[Latitud],"")</f>
        <v>-12.196473978746999</v>
      </c>
      <c r="J8" s="115" cm="1">
        <f t="array" ref="J8">_xlfn.XLOOKUP(1,(dimLocales_v2[IdUniversidad]=$A8)*(dimLocales_v2[SedePrincipal]=TRUE),dimLocales_v2[Longitud],"")</f>
        <v>-77.005582497373297</v>
      </c>
      <c r="K8" s="115" cm="1">
        <f t="array" ref="K8">_xlfn.XLOOKUP(1,(dimLocales_v2[IdUniversidad]=$A8)*(dimLocales_v2[SedePrincipal]=TRUE),dimLocales_v2[UbigeoRENIEC],"")</f>
        <v>140108</v>
      </c>
      <c r="L8" s="115" cm="1">
        <f t="array" ref="L8">_xlfn.XLOOKUP(1,(dimLocales_v2[IdUniversidad]=$A8)*(dimLocales_v2[SedePrincipal]=TRUE),dimLocales_v2[UbigeoINEI],"")</f>
        <v>150108</v>
      </c>
    </row>
    <row r="9" spans="1:12" x14ac:dyDescent="0.25">
      <c r="A9" s="114">
        <v>8</v>
      </c>
      <c r="B9" s="115" t="s">
        <v>1088</v>
      </c>
      <c r="C9" s="114" t="s">
        <v>312</v>
      </c>
      <c r="D9" s="114" t="s">
        <v>266</v>
      </c>
      <c r="E9" s="115" t="str" cm="1">
        <f t="array" ref="E9">_xlfn.XLOOKUP(1,(dimLocales_v2[IdUniversidad]=$A9)*(dimLocales_v2[SedePrincipal]=TRUE),dimLocales_v2[Departamento],"")</f>
        <v>Arequipa</v>
      </c>
      <c r="F9" s="115" t="str" cm="1">
        <f t="array" ref="F9">_xlfn.XLOOKUP(1,(dimLocales_v2[IdUniversidad]=$A9)*(dimLocales_v2[SedePrincipal]=TRUE),dimLocales_v2[Provincia],"")</f>
        <v>Arequipa</v>
      </c>
      <c r="G9" s="115" t="str" cm="1">
        <f t="array" ref="G9">_xlfn.XLOOKUP(1,(dimLocales_v2[IdUniversidad]=$A9)*(dimLocales_v2[SedePrincipal]=TRUE),dimLocales_v2[Distrito],"")</f>
        <v>Arequipa</v>
      </c>
      <c r="H9" s="115" t="str" cm="1">
        <f t="array" ref="H9">_xlfn.XLOOKUP(1,(dimLocales_v2[IdUniversidad]=$A9)*(dimLocales_v2[SedePrincipal]=TRUE),dimLocales_v2[Direccion],"")</f>
        <v>Avenida Independencia- Avenida Venezuela S/N</v>
      </c>
      <c r="I9" s="115" cm="1">
        <f t="array" ref="I9">_xlfn.XLOOKUP(1,(dimLocales_v2[IdUniversidad]=$A9)*(dimLocales_v2[SedePrincipal]=TRUE),dimLocales_v2[Latitud],"")</f>
        <v>-16.403293000268299</v>
      </c>
      <c r="J9" s="115" cm="1">
        <f t="array" ref="J9">_xlfn.XLOOKUP(1,(dimLocales_v2[IdUniversidad]=$A9)*(dimLocales_v2[SedePrincipal]=TRUE),dimLocales_v2[Longitud],"")</f>
        <v>-71.524888556344607</v>
      </c>
      <c r="K9" s="115" cm="1">
        <f t="array" ref="K9">_xlfn.XLOOKUP(1,(dimLocales_v2[IdUniversidad]=$A9)*(dimLocales_v2[SedePrincipal]=TRUE),dimLocales_v2[UbigeoRENIEC],"")</f>
        <v>40101</v>
      </c>
      <c r="L9" s="115" cm="1">
        <f t="array" ref="L9">_xlfn.XLOOKUP(1,(dimLocales_v2[IdUniversidad]=$A9)*(dimLocales_v2[SedePrincipal]=TRUE),dimLocales_v2[UbigeoINEI],"")</f>
        <v>40101</v>
      </c>
    </row>
    <row r="10" spans="1:12" x14ac:dyDescent="0.25">
      <c r="A10" s="114">
        <v>9</v>
      </c>
      <c r="B10" s="115" t="s">
        <v>1087</v>
      </c>
      <c r="C10" s="114" t="s">
        <v>1086</v>
      </c>
      <c r="D10" s="114" t="s">
        <v>266</v>
      </c>
      <c r="E10" s="115" t="str" cm="1">
        <f t="array" ref="E10">_xlfn.XLOOKUP(1,(dimLocales_v2[IdUniversidad]=$A10)*(dimLocales_v2[SedePrincipal]=TRUE),dimLocales_v2[Departamento],"")</f>
        <v>Huánuco</v>
      </c>
      <c r="F10" s="115" t="str" cm="1">
        <f t="array" ref="F10">_xlfn.XLOOKUP(1,(dimLocales_v2[IdUniversidad]=$A10)*(dimLocales_v2[SedePrincipal]=TRUE),dimLocales_v2[Provincia],"")</f>
        <v>Leoncio Prado</v>
      </c>
      <c r="G10" s="115" t="str" cm="1">
        <f t="array" ref="G10">_xlfn.XLOOKUP(1,(dimLocales_v2[IdUniversidad]=$A10)*(dimLocales_v2[SedePrincipal]=TRUE),dimLocales_v2[Distrito],"")</f>
        <v>Rupa-Rupa</v>
      </c>
      <c r="H10" s="115" t="str" cm="1">
        <f t="array" ref="H10">_xlfn.XLOOKUP(1,(dimLocales_v2[IdUniversidad]=$A10)*(dimLocales_v2[SedePrincipal]=TRUE),dimLocales_v2[Direccion],"")</f>
        <v>Carretera Central Km. 1.21</v>
      </c>
      <c r="I10" s="115" cm="1">
        <f t="array" ref="I10">_xlfn.XLOOKUP(1,(dimLocales_v2[IdUniversidad]=$A10)*(dimLocales_v2[SedePrincipal]=TRUE),dimLocales_v2[Latitud],"")</f>
        <v>-9.3140102126392907</v>
      </c>
      <c r="J10" s="115" cm="1">
        <f t="array" ref="J10">_xlfn.XLOOKUP(1,(dimLocales_v2[IdUniversidad]=$A10)*(dimLocales_v2[SedePrincipal]=TRUE),dimLocales_v2[Longitud],"")</f>
        <v>-75.996625984344206</v>
      </c>
      <c r="K10" s="115" cm="1">
        <f t="array" ref="K10">_xlfn.XLOOKUP(1,(dimLocales_v2[IdUniversidad]=$A10)*(dimLocales_v2[SedePrincipal]=TRUE),dimLocales_v2[UbigeoRENIEC],"")</f>
        <v>90601</v>
      </c>
      <c r="L10" s="115" cm="1">
        <f t="array" ref="L10">_xlfn.XLOOKUP(1,(dimLocales_v2[IdUniversidad]=$A10)*(dimLocales_v2[SedePrincipal]=TRUE),dimLocales_v2[UbigeoINEI],"")</f>
        <v>100601</v>
      </c>
    </row>
    <row r="11" spans="1:12" x14ac:dyDescent="0.25">
      <c r="A11" s="114">
        <v>10</v>
      </c>
      <c r="B11" s="115" t="s">
        <v>1085</v>
      </c>
      <c r="C11" s="114" t="s">
        <v>1084</v>
      </c>
      <c r="D11" s="114" t="s">
        <v>295</v>
      </c>
      <c r="E11" s="115" t="str" cm="1">
        <f t="array" ref="E11">_xlfn.XLOOKUP(1,(dimLocales_v2[IdUniversidad]=$A11)*(dimLocales_v2[SedePrincipal]=TRUE),dimLocales_v2[Departamento],"")</f>
        <v>Lima</v>
      </c>
      <c r="F11" s="115" t="str" cm="1">
        <f t="array" ref="F11">_xlfn.XLOOKUP(1,(dimLocales_v2[IdUniversidad]=$A11)*(dimLocales_v2[SedePrincipal]=TRUE),dimLocales_v2[Provincia],"")</f>
        <v>Lima</v>
      </c>
      <c r="G11" s="115" t="str" cm="1">
        <f t="array" ref="G11">_xlfn.XLOOKUP(1,(dimLocales_v2[IdUniversidad]=$A11)*(dimLocales_v2[SedePrincipal]=TRUE),dimLocales_v2[Distrito],"")</f>
        <v>Chorrillos</v>
      </c>
      <c r="H11" s="115" t="str" cm="1">
        <f t="array" ref="H11">_xlfn.XLOOKUP(1,(dimLocales_v2[IdUniversidad]=$A11)*(dimLocales_v2[SedePrincipal]=TRUE),dimLocales_v2[Direccion],"")</f>
        <v>Av. Alejandro Iglesias N° 296</v>
      </c>
      <c r="I11" s="115" cm="1">
        <f t="array" ref="I11">_xlfn.XLOOKUP(1,(dimLocales_v2[IdUniversidad]=$A11)*(dimLocales_v2[SedePrincipal]=TRUE),dimLocales_v2[Latitud],"")</f>
        <v>-12.166198157559901</v>
      </c>
      <c r="J11" s="115" cm="1">
        <f t="array" ref="J11">_xlfn.XLOOKUP(1,(dimLocales_v2[IdUniversidad]=$A11)*(dimLocales_v2[SedePrincipal]=TRUE),dimLocales_v2[Longitud],"")</f>
        <v>-77.023668185995703</v>
      </c>
      <c r="K11" s="115" cm="1">
        <f t="array" ref="K11">_xlfn.XLOOKUP(1,(dimLocales_v2[IdUniversidad]=$A11)*(dimLocales_v2[SedePrincipal]=TRUE),dimLocales_v2[UbigeoRENIEC],"")</f>
        <v>140108</v>
      </c>
      <c r="L11" s="115" cm="1">
        <f t="array" ref="L11">_xlfn.XLOOKUP(1,(dimLocales_v2[IdUniversidad]=$A11)*(dimLocales_v2[SedePrincipal]=TRUE),dimLocales_v2[UbigeoINEI],"")</f>
        <v>150108</v>
      </c>
    </row>
    <row r="12" spans="1:12" x14ac:dyDescent="0.25">
      <c r="A12" s="114">
        <v>11</v>
      </c>
      <c r="B12" s="115" t="s">
        <v>1083</v>
      </c>
      <c r="C12" s="114" t="s">
        <v>581</v>
      </c>
      <c r="D12" s="114" t="s">
        <v>295</v>
      </c>
      <c r="E12" s="115" t="str" cm="1">
        <f t="array" ref="E12">_xlfn.XLOOKUP(1,(dimLocales_v2[IdUniversidad]=$A12)*(dimLocales_v2[SedePrincipal]=TRUE),dimLocales_v2[Departamento],"")</f>
        <v>Cusco</v>
      </c>
      <c r="F12" s="115" t="str" cm="1">
        <f t="array" ref="F12">_xlfn.XLOOKUP(1,(dimLocales_v2[IdUniversidad]=$A12)*(dimLocales_v2[SedePrincipal]=TRUE),dimLocales_v2[Provincia],"")</f>
        <v>Cusco</v>
      </c>
      <c r="G12" s="115" t="str" cm="1">
        <f t="array" ref="G12">_xlfn.XLOOKUP(1,(dimLocales_v2[IdUniversidad]=$A12)*(dimLocales_v2[SedePrincipal]=TRUE),dimLocales_v2[Distrito],"")</f>
        <v>San Jerónimo</v>
      </c>
      <c r="H12" s="115" t="str" cm="1">
        <f t="array" ref="H12">_xlfn.XLOOKUP(1,(dimLocales_v2[IdUniversidad]=$A12)*(dimLocales_v2[SedePrincipal]=TRUE),dimLocales_v2[Direccion],"")</f>
        <v>Urbanización Ingeniería Larapa Grande A-5</v>
      </c>
      <c r="I12" s="115" cm="1">
        <f t="array" ref="I12">_xlfn.XLOOKUP(1,(dimLocales_v2[IdUniversidad]=$A12)*(dimLocales_v2[SedePrincipal]=TRUE),dimLocales_v2[Latitud],"")</f>
        <v>-13.5372279810642</v>
      </c>
      <c r="J12" s="115" cm="1">
        <f t="array" ref="J12">_xlfn.XLOOKUP(1,(dimLocales_v2[IdUniversidad]=$A12)*(dimLocales_v2[SedePrincipal]=TRUE),dimLocales_v2[Longitud],"")</f>
        <v>-71.903917678538903</v>
      </c>
      <c r="K12" s="115" cm="1">
        <f t="array" ref="K12">_xlfn.XLOOKUP(1,(dimLocales_v2[IdUniversidad]=$A12)*(dimLocales_v2[SedePrincipal]=TRUE),dimLocales_v2[UbigeoRENIEC],"")</f>
        <v>70104</v>
      </c>
      <c r="L12" s="115" cm="1">
        <f t="array" ref="L12">_xlfn.XLOOKUP(1,(dimLocales_v2[IdUniversidad]=$A12)*(dimLocales_v2[SedePrincipal]=TRUE),dimLocales_v2[UbigeoINEI],"")</f>
        <v>80104</v>
      </c>
    </row>
    <row r="13" spans="1:12" x14ac:dyDescent="0.25">
      <c r="A13" s="114">
        <v>12</v>
      </c>
      <c r="B13" s="115" t="s">
        <v>1082</v>
      </c>
      <c r="C13" s="114" t="s">
        <v>459</v>
      </c>
      <c r="D13" s="114" t="s">
        <v>295</v>
      </c>
      <c r="E13" s="115" t="str" cm="1">
        <f t="array" ref="E13">_xlfn.XLOOKUP(1,(dimLocales_v2[IdUniversidad]=$A13)*(dimLocales_v2[SedePrincipal]=TRUE),dimLocales_v2[Departamento],"")</f>
        <v>Arequipa</v>
      </c>
      <c r="F13" s="115" t="str" cm="1">
        <f t="array" ref="F13">_xlfn.XLOOKUP(1,(dimLocales_v2[IdUniversidad]=$A13)*(dimLocales_v2[SedePrincipal]=TRUE),dimLocales_v2[Provincia],"")</f>
        <v>Arequipa</v>
      </c>
      <c r="G13" s="115" t="str" cm="1">
        <f t="array" ref="G13">_xlfn.XLOOKUP(1,(dimLocales_v2[IdUniversidad]=$A13)*(dimLocales_v2[SedePrincipal]=TRUE),dimLocales_v2[Distrito],"")</f>
        <v>Arequipa</v>
      </c>
      <c r="H13" s="115" t="str" cm="1">
        <f t="array" ref="H13">_xlfn.XLOOKUP(1,(dimLocales_v2[IdUniversidad]=$A13)*(dimLocales_v2[SedePrincipal]=TRUE),dimLocales_v2[Direccion],"")</f>
        <v>Urbanización San José S/N</v>
      </c>
      <c r="I13" s="115" cm="1">
        <f t="array" ref="I13">_xlfn.XLOOKUP(1,(dimLocales_v2[IdUniversidad]=$A13)*(dimLocales_v2[SedePrincipal]=TRUE),dimLocales_v2[Latitud],"")</f>
        <v>-16.406178600000001</v>
      </c>
      <c r="J13" s="115" cm="1">
        <f t="array" ref="J13">_xlfn.XLOOKUP(1,(dimLocales_v2[IdUniversidad]=$A13)*(dimLocales_v2[SedePrincipal]=TRUE),dimLocales_v2[Longitud],"")</f>
        <v>-71.547629799999996</v>
      </c>
      <c r="K13" s="115" cm="1">
        <f t="array" ref="K13">_xlfn.XLOOKUP(1,(dimLocales_v2[IdUniversidad]=$A13)*(dimLocales_v2[SedePrincipal]=TRUE),dimLocales_v2[UbigeoRENIEC],"")</f>
        <v>40101</v>
      </c>
      <c r="L13" s="115" cm="1">
        <f t="array" ref="L13">_xlfn.XLOOKUP(1,(dimLocales_v2[IdUniversidad]=$A13)*(dimLocales_v2[SedePrincipal]=TRUE),dimLocales_v2[UbigeoINEI],"")</f>
        <v>40101</v>
      </c>
    </row>
    <row r="14" spans="1:12" x14ac:dyDescent="0.25">
      <c r="A14" s="114">
        <v>13</v>
      </c>
      <c r="B14" s="115" t="s">
        <v>1081</v>
      </c>
      <c r="C14" s="114" t="s">
        <v>303</v>
      </c>
      <c r="D14" s="114" t="s">
        <v>295</v>
      </c>
      <c r="E14" s="115" t="str" cm="1">
        <f t="array" ref="E14">_xlfn.XLOOKUP(1,(dimLocales_v2[IdUniversidad]=$A14)*(dimLocales_v2[SedePrincipal]=TRUE),dimLocales_v2[Departamento],"")</f>
        <v>La Libertad</v>
      </c>
      <c r="F14" s="115" t="str" cm="1">
        <f t="array" ref="F14">_xlfn.XLOOKUP(1,(dimLocales_v2[IdUniversidad]=$A14)*(dimLocales_v2[SedePrincipal]=TRUE),dimLocales_v2[Provincia],"")</f>
        <v>Trujillo</v>
      </c>
      <c r="G14" s="115" t="str" cm="1">
        <f t="array" ref="G14">_xlfn.XLOOKUP(1,(dimLocales_v2[IdUniversidad]=$A14)*(dimLocales_v2[SedePrincipal]=TRUE),dimLocales_v2[Distrito],"")</f>
        <v>Victor Larco Herrera</v>
      </c>
      <c r="H14" s="115" t="str" cm="1">
        <f t="array" ref="H14">_xlfn.XLOOKUP(1,(dimLocales_v2[IdUniversidad]=$A14)*(dimLocales_v2[SedePrincipal]=TRUE),dimLocales_v2[Direccion],"")</f>
        <v>Av. Larco Núm. 1770, Urb. 5ta Etapa San Andrés</v>
      </c>
      <c r="I14" s="115" cm="1">
        <f t="array" ref="I14">_xlfn.XLOOKUP(1,(dimLocales_v2[IdUniversidad]=$A14)*(dimLocales_v2[SedePrincipal]=TRUE),dimLocales_v2[Latitud],"")</f>
        <v>-8.1293904000000001</v>
      </c>
      <c r="J14" s="115" cm="1">
        <f t="array" ref="J14">_xlfn.XLOOKUP(1,(dimLocales_v2[IdUniversidad]=$A14)*(dimLocales_v2[SedePrincipal]=TRUE),dimLocales_v2[Longitud],"")</f>
        <v>-79.043321300000002</v>
      </c>
      <c r="K14" s="115" cm="1">
        <f t="array" ref="K14">_xlfn.XLOOKUP(1,(dimLocales_v2[IdUniversidad]=$A14)*(dimLocales_v2[SedePrincipal]=TRUE),dimLocales_v2[UbigeoRENIEC],"")</f>
        <v>120107</v>
      </c>
      <c r="L14" s="115" cm="1">
        <f t="array" ref="L14">_xlfn.XLOOKUP(1,(dimLocales_v2[IdUniversidad]=$A14)*(dimLocales_v2[SedePrincipal]=TRUE),dimLocales_v2[UbigeoINEI],"")</f>
        <v>130111</v>
      </c>
    </row>
    <row r="15" spans="1:12" x14ac:dyDescent="0.25">
      <c r="A15" s="114">
        <v>14</v>
      </c>
      <c r="B15" s="115" t="s">
        <v>1080</v>
      </c>
      <c r="C15" s="114" t="s">
        <v>1079</v>
      </c>
      <c r="D15" s="114" t="s">
        <v>295</v>
      </c>
      <c r="E15" s="115" t="str" cm="1">
        <f t="array" ref="E15">_xlfn.XLOOKUP(1,(dimLocales_v2[IdUniversidad]=$A15)*(dimLocales_v2[SedePrincipal]=TRUE),dimLocales_v2[Departamento],"")</f>
        <v>Junín</v>
      </c>
      <c r="F15" s="115" t="str" cm="1">
        <f t="array" ref="F15">_xlfn.XLOOKUP(1,(dimLocales_v2[IdUniversidad]=$A15)*(dimLocales_v2[SedePrincipal]=TRUE),dimLocales_v2[Provincia],"")</f>
        <v>Huancayo</v>
      </c>
      <c r="G15" s="115" t="str" cm="1">
        <f t="array" ref="G15">_xlfn.XLOOKUP(1,(dimLocales_v2[IdUniversidad]=$A15)*(dimLocales_v2[SedePrincipal]=TRUE),dimLocales_v2[Distrito],"")</f>
        <v>Huancayo</v>
      </c>
      <c r="H15" s="115" t="str" cm="1">
        <f t="array" ref="H15">_xlfn.XLOOKUP(1,(dimLocales_v2[IdUniversidad]=$A15)*(dimLocales_v2[SedePrincipal]=TRUE),dimLocales_v2[Direccion],"")</f>
        <v>Av. San Carlos N° 1980</v>
      </c>
      <c r="I15" s="115" cm="1">
        <f t="array" ref="I15">_xlfn.XLOOKUP(1,(dimLocales_v2[IdUniversidad]=$A15)*(dimLocales_v2[SedePrincipal]=TRUE),dimLocales_v2[Latitud],"")</f>
        <v>-12.0477307206784</v>
      </c>
      <c r="J15" s="115" cm="1">
        <f t="array" ref="J15">_xlfn.XLOOKUP(1,(dimLocales_v2[IdUniversidad]=$A15)*(dimLocales_v2[SedePrincipal]=TRUE),dimLocales_v2[Longitud],"")</f>
        <v>-75.198744514680499</v>
      </c>
      <c r="K15" s="115" cm="1">
        <f t="array" ref="K15">_xlfn.XLOOKUP(1,(dimLocales_v2[IdUniversidad]=$A15)*(dimLocales_v2[SedePrincipal]=TRUE),dimLocales_v2[UbigeoRENIEC],"")</f>
        <v>110101</v>
      </c>
      <c r="L15" s="115" cm="1">
        <f t="array" ref="L15">_xlfn.XLOOKUP(1,(dimLocales_v2[IdUniversidad]=$A15)*(dimLocales_v2[SedePrincipal]=TRUE),dimLocales_v2[UbigeoINEI],"")</f>
        <v>120101</v>
      </c>
    </row>
    <row r="16" spans="1:12" x14ac:dyDescent="0.25">
      <c r="A16" s="114">
        <v>15</v>
      </c>
      <c r="B16" s="115" t="s">
        <v>1078</v>
      </c>
      <c r="C16" s="114" t="s">
        <v>1077</v>
      </c>
      <c r="D16" s="114" t="s">
        <v>295</v>
      </c>
      <c r="E16" s="115" t="str" cm="1">
        <f t="array" ref="E16">_xlfn.XLOOKUP(1,(dimLocales_v2[IdUniversidad]=$A16)*(dimLocales_v2[SedePrincipal]=TRUE),dimLocales_v2[Departamento],"")</f>
        <v>Huánuco</v>
      </c>
      <c r="F16" s="115" t="str" cm="1">
        <f t="array" ref="F16">_xlfn.XLOOKUP(1,(dimLocales_v2[IdUniversidad]=$A16)*(dimLocales_v2[SedePrincipal]=TRUE),dimLocales_v2[Provincia],"")</f>
        <v>Huánuco</v>
      </c>
      <c r="G16" s="115" t="str" cm="1">
        <f t="array" ref="G16">_xlfn.XLOOKUP(1,(dimLocales_v2[IdUniversidad]=$A16)*(dimLocales_v2[SedePrincipal]=TRUE),dimLocales_v2[Distrito],"")</f>
        <v>Huanuco</v>
      </c>
      <c r="H16" s="115" t="str" cm="1">
        <f t="array" ref="H16">_xlfn.XLOOKUP(1,(dimLocales_v2[IdUniversidad]=$A16)*(dimLocales_v2[SedePrincipal]=TRUE),dimLocales_v2[Direccion],"")</f>
        <v>Jr. Hermilio Valdizán N° 871</v>
      </c>
      <c r="I16" s="115" cm="1">
        <f t="array" ref="I16">_xlfn.XLOOKUP(1,(dimLocales_v2[IdUniversidad]=$A16)*(dimLocales_v2[SedePrincipal]=TRUE),dimLocales_v2[Latitud],"")</f>
        <v>-9.9283905637000007</v>
      </c>
      <c r="J16" s="115" cm="1">
        <f t="array" ref="J16">_xlfn.XLOOKUP(1,(dimLocales_v2[IdUniversidad]=$A16)*(dimLocales_v2[SedePrincipal]=TRUE),dimLocales_v2[Longitud],"")</f>
        <v>-76.237019599999996</v>
      </c>
      <c r="K16" s="115" cm="1">
        <f t="array" ref="K16">_xlfn.XLOOKUP(1,(dimLocales_v2[IdUniversidad]=$A16)*(dimLocales_v2[SedePrincipal]=TRUE),dimLocales_v2[UbigeoRENIEC],"")</f>
        <v>90101</v>
      </c>
      <c r="L16" s="115" cm="1">
        <f t="array" ref="L16">_xlfn.XLOOKUP(1,(dimLocales_v2[IdUniversidad]=$A16)*(dimLocales_v2[SedePrincipal]=TRUE),dimLocales_v2[UbigeoINEI],"")</f>
        <v>100101</v>
      </c>
    </row>
    <row r="17" spans="1:12" x14ac:dyDescent="0.25">
      <c r="A17" s="114">
        <v>16</v>
      </c>
      <c r="B17" s="115" t="s">
        <v>122</v>
      </c>
      <c r="C17" s="114" t="s">
        <v>293</v>
      </c>
      <c r="D17" s="114" t="s">
        <v>266</v>
      </c>
      <c r="E17" s="115" t="str" cm="1">
        <f t="array" ref="E17">_xlfn.XLOOKUP(1,(dimLocales_v2[IdUniversidad]=$A17)*(dimLocales_v2[SedePrincipal]=TRUE),dimLocales_v2[Departamento],"")</f>
        <v>Junín</v>
      </c>
      <c r="F17" s="115" t="str" cm="1">
        <f t="array" ref="F17">_xlfn.XLOOKUP(1,(dimLocales_v2[IdUniversidad]=$A17)*(dimLocales_v2[SedePrincipal]=TRUE),dimLocales_v2[Provincia],"")</f>
        <v>Tarma</v>
      </c>
      <c r="G17" s="115" t="str" cm="1">
        <f t="array" ref="G17">_xlfn.XLOOKUP(1,(dimLocales_v2[IdUniversidad]=$A17)*(dimLocales_v2[SedePrincipal]=TRUE),dimLocales_v2[Distrito],"")</f>
        <v>Tarma</v>
      </c>
      <c r="H17" s="115" t="str" cm="1">
        <f t="array" ref="H17">_xlfn.XLOOKUP(1,(dimLocales_v2[IdUniversidad]=$A17)*(dimLocales_v2[SedePrincipal]=TRUE),dimLocales_v2[Direccion],"")</f>
        <v>Jr. Huaraz N° 431</v>
      </c>
      <c r="I17" s="115" cm="1">
        <f t="array" ref="I17">_xlfn.XLOOKUP(1,(dimLocales_v2[IdUniversidad]=$A17)*(dimLocales_v2[SedePrincipal]=TRUE),dimLocales_v2[Latitud],"")</f>
        <v>-11.420016564291799</v>
      </c>
      <c r="J17" s="115" cm="1">
        <f t="array" ref="J17">_xlfn.XLOOKUP(1,(dimLocales_v2[IdUniversidad]=$A17)*(dimLocales_v2[SedePrincipal]=TRUE),dimLocales_v2[Longitud],"")</f>
        <v>-75.689252440475499</v>
      </c>
      <c r="K17" s="115" cm="1">
        <f t="array" ref="K17">_xlfn.XLOOKUP(1,(dimLocales_v2[IdUniversidad]=$A17)*(dimLocales_v2[SedePrincipal]=TRUE),dimLocales_v2[UbigeoRENIEC],"")</f>
        <v>110501</v>
      </c>
      <c r="L17" s="115" cm="1">
        <f t="array" ref="L17">_xlfn.XLOOKUP(1,(dimLocales_v2[IdUniversidad]=$A17)*(dimLocales_v2[SedePrincipal]=TRUE),dimLocales_v2[UbigeoINEI],"")</f>
        <v>120701</v>
      </c>
    </row>
    <row r="18" spans="1:12" x14ac:dyDescent="0.25">
      <c r="A18" s="114">
        <v>17</v>
      </c>
      <c r="B18" s="115" t="s">
        <v>1076</v>
      </c>
      <c r="C18" s="114" t="s">
        <v>267</v>
      </c>
      <c r="D18" s="114" t="s">
        <v>266</v>
      </c>
      <c r="E18" s="115" t="str" cm="1">
        <f t="array" ref="E18">_xlfn.XLOOKUP(1,(dimLocales_v2[IdUniversidad]=$A18)*(dimLocales_v2[SedePrincipal]=TRUE),dimLocales_v2[Departamento],"")</f>
        <v>Lima</v>
      </c>
      <c r="F18" s="115" t="str" cm="1">
        <f t="array" ref="F18">_xlfn.XLOOKUP(1,(dimLocales_v2[IdUniversidad]=$A18)*(dimLocales_v2[SedePrincipal]=TRUE),dimLocales_v2[Provincia],"")</f>
        <v>Lima</v>
      </c>
      <c r="G18" s="115" t="str" cm="1">
        <f t="array" ref="G18">_xlfn.XLOOKUP(1,(dimLocales_v2[IdUniversidad]=$A18)*(dimLocales_v2[SedePrincipal]=TRUE),dimLocales_v2[Distrito],"")</f>
        <v>Lurigancho</v>
      </c>
      <c r="H18" s="115" t="str" cm="1">
        <f t="array" ref="H18">_xlfn.XLOOKUP(1,(dimLocales_v2[IdUniversidad]=$A18)*(dimLocales_v2[SedePrincipal]=TRUE),dimLocales_v2[Direccion],"")</f>
        <v>Avenida Enrique Guzmán y Valle N° 951</v>
      </c>
      <c r="I18" s="115" cm="1">
        <f t="array" ref="I18">_xlfn.XLOOKUP(1,(dimLocales_v2[IdUniversidad]=$A18)*(dimLocales_v2[SedePrincipal]=TRUE),dimLocales_v2[Latitud],"")</f>
        <v>-11.946488418155599</v>
      </c>
      <c r="J18" s="115" cm="1">
        <f t="array" ref="J18">_xlfn.XLOOKUP(1,(dimLocales_v2[IdUniversidad]=$A18)*(dimLocales_v2[SedePrincipal]=TRUE),dimLocales_v2[Longitud],"")</f>
        <v>-76.701316310450693</v>
      </c>
      <c r="K18" s="115" cm="1">
        <f t="array" ref="K18">_xlfn.XLOOKUP(1,(dimLocales_v2[IdUniversidad]=$A18)*(dimLocales_v2[SedePrincipal]=TRUE),dimLocales_v2[UbigeoRENIEC],"")</f>
        <v>140112</v>
      </c>
      <c r="L18" s="115" cm="1">
        <f t="array" ref="L18">_xlfn.XLOOKUP(1,(dimLocales_v2[IdUniversidad]=$A18)*(dimLocales_v2[SedePrincipal]=TRUE),dimLocales_v2[UbigeoINEI],"")</f>
        <v>150118</v>
      </c>
    </row>
    <row r="19" spans="1:12" x14ac:dyDescent="0.25">
      <c r="A19" s="114">
        <v>18</v>
      </c>
      <c r="B19" s="115" t="s">
        <v>1075</v>
      </c>
      <c r="C19" s="114" t="s">
        <v>1074</v>
      </c>
      <c r="D19" s="114" t="s">
        <v>266</v>
      </c>
      <c r="E19" s="115" t="str" cm="1">
        <f t="array" ref="E19">_xlfn.XLOOKUP(1,(dimLocales_v2[IdUniversidad]=$A19)*(dimLocales_v2[SedePrincipal]=TRUE),dimLocales_v2[Departamento],"")</f>
        <v>Piura</v>
      </c>
      <c r="F19" s="115" t="str" cm="1">
        <f t="array" ref="F19">_xlfn.XLOOKUP(1,(dimLocales_v2[IdUniversidad]=$A19)*(dimLocales_v2[SedePrincipal]=TRUE),dimLocales_v2[Provincia],"")</f>
        <v>Piura</v>
      </c>
      <c r="G19" s="115" t="str" cm="1">
        <f t="array" ref="G19">_xlfn.XLOOKUP(1,(dimLocales_v2[IdUniversidad]=$A19)*(dimLocales_v2[SedePrincipal]=TRUE),dimLocales_v2[Distrito],"")</f>
        <v>Castilla</v>
      </c>
      <c r="H19" s="115" t="str" cm="1">
        <f t="array" ref="H19">_xlfn.XLOOKUP(1,(dimLocales_v2[IdUniversidad]=$A19)*(dimLocales_v2[SedePrincipal]=TRUE),dimLocales_v2[Direccion],"")</f>
        <v>Carretera Caserío Miraflores S/N</v>
      </c>
      <c r="I19" s="115" cm="1">
        <f t="array" ref="I19">_xlfn.XLOOKUP(1,(dimLocales_v2[IdUniversidad]=$A19)*(dimLocales_v2[SedePrincipal]=TRUE),dimLocales_v2[Latitud],"")</f>
        <v>-5.1793110000000002</v>
      </c>
      <c r="J19" s="115" cm="1">
        <f t="array" ref="J19">_xlfn.XLOOKUP(1,(dimLocales_v2[IdUniversidad]=$A19)*(dimLocales_v2[SedePrincipal]=TRUE),dimLocales_v2[Longitud],"")</f>
        <v>-80.618832499999996</v>
      </c>
      <c r="K19" s="115" cm="1">
        <f t="array" ref="K19">_xlfn.XLOOKUP(1,(dimLocales_v2[IdUniversidad]=$A19)*(dimLocales_v2[SedePrincipal]=TRUE),dimLocales_v2[UbigeoRENIEC],"")</f>
        <v>190103</v>
      </c>
      <c r="L19" s="115" cm="1">
        <f t="array" ref="L19">_xlfn.XLOOKUP(1,(dimLocales_v2[IdUniversidad]=$A19)*(dimLocales_v2[SedePrincipal]=TRUE),dimLocales_v2[UbigeoINEI],"")</f>
        <v>200104</v>
      </c>
    </row>
    <row r="20" spans="1:12" x14ac:dyDescent="0.25">
      <c r="A20" s="114">
        <v>19</v>
      </c>
      <c r="B20" s="115" t="s">
        <v>128</v>
      </c>
      <c r="C20" s="114" t="s">
        <v>341</v>
      </c>
      <c r="D20" s="114" t="s">
        <v>266</v>
      </c>
      <c r="E20" s="115" t="str" cm="1">
        <f t="array" ref="E20">_xlfn.XLOOKUP(1,(dimLocales_v2[IdUniversidad]=$A20)*(dimLocales_v2[SedePrincipal]=TRUE),dimLocales_v2[Departamento],"")</f>
        <v>Junín</v>
      </c>
      <c r="F20" s="115" t="str" cm="1">
        <f t="array" ref="F20">_xlfn.XLOOKUP(1,(dimLocales_v2[IdUniversidad]=$A20)*(dimLocales_v2[SedePrincipal]=TRUE),dimLocales_v2[Provincia],"")</f>
        <v>Huancayo</v>
      </c>
      <c r="G20" s="115" t="str" cm="1">
        <f t="array" ref="G20">_xlfn.XLOOKUP(1,(dimLocales_v2[IdUniversidad]=$A20)*(dimLocales_v2[SedePrincipal]=TRUE),dimLocales_v2[Distrito],"")</f>
        <v>El Tambo</v>
      </c>
      <c r="H20" s="115" t="str" cm="1">
        <f t="array" ref="H20">_xlfn.XLOOKUP(1,(dimLocales_v2[IdUniversidad]=$A20)*(dimLocales_v2[SedePrincipal]=TRUE),dimLocales_v2[Direccion],"")</f>
        <v>Av. Mariscal Castilla N° 3909 - 4089</v>
      </c>
      <c r="I20" s="115" cm="1">
        <f t="array" ref="I20">_xlfn.XLOOKUP(1,(dimLocales_v2[IdUniversidad]=$A20)*(dimLocales_v2[SedePrincipal]=TRUE),dimLocales_v2[Latitud],"")</f>
        <v>-12.0325112515236</v>
      </c>
      <c r="J20" s="115" cm="1">
        <f t="array" ref="J20">_xlfn.XLOOKUP(1,(dimLocales_v2[IdUniversidad]=$A20)*(dimLocales_v2[SedePrincipal]=TRUE),dimLocales_v2[Longitud],"")</f>
        <v>-75.235883607131996</v>
      </c>
      <c r="K20" s="115" cm="1">
        <f t="array" ref="K20">_xlfn.XLOOKUP(1,(dimLocales_v2[IdUniversidad]=$A20)*(dimLocales_v2[SedePrincipal]=TRUE),dimLocales_v2[UbigeoRENIEC],"")</f>
        <v>110113</v>
      </c>
      <c r="L20" s="115" cm="1">
        <f t="array" ref="L20">_xlfn.XLOOKUP(1,(dimLocales_v2[IdUniversidad]=$A20)*(dimLocales_v2[SedePrincipal]=TRUE),dimLocales_v2[UbigeoINEI],"")</f>
        <v>120114</v>
      </c>
    </row>
    <row r="21" spans="1:12" x14ac:dyDescent="0.25">
      <c r="A21" s="114">
        <v>20</v>
      </c>
      <c r="B21" s="115" t="s">
        <v>1073</v>
      </c>
      <c r="C21" s="114" t="s">
        <v>1072</v>
      </c>
      <c r="D21" s="114" t="s">
        <v>266</v>
      </c>
      <c r="E21" s="115" t="str" cm="1">
        <f t="array" ref="E21">_xlfn.XLOOKUP(1,(dimLocales_v2[IdUniversidad]=$A21)*(dimLocales_v2[SedePrincipal]=TRUE),dimLocales_v2[Departamento],"")</f>
        <v>Huánuco</v>
      </c>
      <c r="F21" s="115" t="str" cm="1">
        <f t="array" ref="F21">_xlfn.XLOOKUP(1,(dimLocales_v2[IdUniversidad]=$A21)*(dimLocales_v2[SedePrincipal]=TRUE),dimLocales_v2[Provincia],"")</f>
        <v>Huánuco</v>
      </c>
      <c r="G21" s="115" t="str" cm="1">
        <f t="array" ref="G21">_xlfn.XLOOKUP(1,(dimLocales_v2[IdUniversidad]=$A21)*(dimLocales_v2[SedePrincipal]=TRUE),dimLocales_v2[Distrito],"")</f>
        <v>Pillco Marca</v>
      </c>
      <c r="H21" s="115" t="str" cm="1">
        <f t="array" ref="H21">_xlfn.XLOOKUP(1,(dimLocales_v2[IdUniversidad]=$A21)*(dimLocales_v2[SedePrincipal]=TRUE),dimLocales_v2[Direccion],"")</f>
        <v>Av. Universitaria 601-607- Cayhuayna</v>
      </c>
      <c r="I21" s="115" cm="1">
        <f t="array" ref="I21">_xlfn.XLOOKUP(1,(dimLocales_v2[IdUniversidad]=$A21)*(dimLocales_v2[SedePrincipal]=TRUE),dimLocales_v2[Latitud],"")</f>
        <v>-9.9496381558839193</v>
      </c>
      <c r="J21" s="115" cm="1">
        <f t="array" ref="J21">_xlfn.XLOOKUP(1,(dimLocales_v2[IdUniversidad]=$A21)*(dimLocales_v2[SedePrincipal]=TRUE),dimLocales_v2[Longitud],"")</f>
        <v>-76.250118212268504</v>
      </c>
      <c r="K21" s="115" cm="1">
        <f t="array" ref="K21">_xlfn.XLOOKUP(1,(dimLocales_v2[IdUniversidad]=$A21)*(dimLocales_v2[SedePrincipal]=TRUE),dimLocales_v2[UbigeoRENIEC],"")</f>
        <v>90111</v>
      </c>
      <c r="L21" s="115" cm="1">
        <f t="array" ref="L21">_xlfn.XLOOKUP(1,(dimLocales_v2[IdUniversidad]=$A21)*(dimLocales_v2[SedePrincipal]=TRUE),dimLocales_v2[UbigeoINEI],"")</f>
        <v>100111</v>
      </c>
    </row>
    <row r="22" spans="1:12" x14ac:dyDescent="0.25">
      <c r="A22" s="114">
        <v>21</v>
      </c>
      <c r="B22" s="115" t="s">
        <v>1071</v>
      </c>
      <c r="C22" s="114" t="s">
        <v>271</v>
      </c>
      <c r="D22" s="114" t="s">
        <v>266</v>
      </c>
      <c r="E22" s="115" t="str" cm="1">
        <f t="array" ref="E22">_xlfn.XLOOKUP(1,(dimLocales_v2[IdUniversidad]=$A22)*(dimLocales_v2[SedePrincipal]=TRUE),dimLocales_v2[Departamento],"")</f>
        <v>Cusco</v>
      </c>
      <c r="F22" s="115" t="str" cm="1">
        <f t="array" ref="F22">_xlfn.XLOOKUP(1,(dimLocales_v2[IdUniversidad]=$A22)*(dimLocales_v2[SedePrincipal]=TRUE),dimLocales_v2[Provincia],"")</f>
        <v>La Convención</v>
      </c>
      <c r="G22" s="115" t="str" cm="1">
        <f t="array" ref="G22">_xlfn.XLOOKUP(1,(dimLocales_v2[IdUniversidad]=$A22)*(dimLocales_v2[SedePrincipal]=TRUE),dimLocales_v2[Distrito],"")</f>
        <v>Santa Ana</v>
      </c>
      <c r="H22" s="115" t="str" cm="1">
        <f t="array" ref="H22">_xlfn.XLOOKUP(1,(dimLocales_v2[IdUniversidad]=$A22)*(dimLocales_v2[SedePrincipal]=TRUE),dimLocales_v2[Direccion],"")</f>
        <v>El Arenal S/N</v>
      </c>
      <c r="I22" s="115" cm="1">
        <f t="array" ref="I22">_xlfn.XLOOKUP(1,(dimLocales_v2[IdUniversidad]=$A22)*(dimLocales_v2[SedePrincipal]=TRUE),dimLocales_v2[Latitud],"")</f>
        <v>-12.8568720025993</v>
      </c>
      <c r="J22" s="115" cm="1">
        <f t="array" ref="J22">_xlfn.XLOOKUP(1,(dimLocales_v2[IdUniversidad]=$A22)*(dimLocales_v2[SedePrincipal]=TRUE),dimLocales_v2[Longitud],"")</f>
        <v>-72.691723687696793</v>
      </c>
      <c r="K22" s="115" cm="1">
        <f t="array" ref="K22">_xlfn.XLOOKUP(1,(dimLocales_v2[IdUniversidad]=$A22)*(dimLocales_v2[SedePrincipal]=TRUE),dimLocales_v2[UbigeoRENIEC],"")</f>
        <v>70901</v>
      </c>
      <c r="L22" s="115" cm="1">
        <f t="array" ref="L22">_xlfn.XLOOKUP(1,(dimLocales_v2[IdUniversidad]=$A22)*(dimLocales_v2[SedePrincipal]=TRUE),dimLocales_v2[UbigeoINEI],"")</f>
        <v>80901</v>
      </c>
    </row>
    <row r="23" spans="1:12" x14ac:dyDescent="0.25">
      <c r="A23" s="114">
        <v>22</v>
      </c>
      <c r="B23" s="115" t="s">
        <v>1070</v>
      </c>
      <c r="C23" s="114" t="s">
        <v>300</v>
      </c>
      <c r="D23" s="114" t="s">
        <v>295</v>
      </c>
      <c r="E23" s="115" t="str" cm="1">
        <f t="array" ref="E23">_xlfn.XLOOKUP(1,(dimLocales_v2[IdUniversidad]=$A23)*(dimLocales_v2[SedePrincipal]=TRUE),dimLocales_v2[Departamento],"")</f>
        <v>La Libertad</v>
      </c>
      <c r="F23" s="115" t="str" cm="1">
        <f t="array" ref="F23">_xlfn.XLOOKUP(1,(dimLocales_v2[IdUniversidad]=$A23)*(dimLocales_v2[SedePrincipal]=TRUE),dimLocales_v2[Provincia],"")</f>
        <v>Trujillo</v>
      </c>
      <c r="G23" s="115" t="str" cm="1">
        <f t="array" ref="G23">_xlfn.XLOOKUP(1,(dimLocales_v2[IdUniversidad]=$A23)*(dimLocales_v2[SedePrincipal]=TRUE),dimLocales_v2[Distrito],"")</f>
        <v>Trujillo</v>
      </c>
      <c r="H23" s="115" t="str" cm="1">
        <f t="array" ref="H23">_xlfn.XLOOKUP(1,(dimLocales_v2[IdUniversidad]=$A23)*(dimLocales_v2[SedePrincipal]=TRUE),dimLocales_v2[Direccion],"")</f>
        <v>Avenida América Sur 3145 Monserrate</v>
      </c>
      <c r="I23" s="115" cm="1">
        <f t="array" ref="I23">_xlfn.XLOOKUP(1,(dimLocales_v2[IdUniversidad]=$A23)*(dimLocales_v2[SedePrincipal]=TRUE),dimLocales_v2[Latitud],"")</f>
        <v>-8.1279063518323404</v>
      </c>
      <c r="J23" s="115" cm="1">
        <f t="array" ref="J23">_xlfn.XLOOKUP(1,(dimLocales_v2[IdUniversidad]=$A23)*(dimLocales_v2[SedePrincipal]=TRUE),dimLocales_v2[Longitud],"")</f>
        <v>-79.032360728974894</v>
      </c>
      <c r="K23" s="115" cm="1">
        <f t="array" ref="K23">_xlfn.XLOOKUP(1,(dimLocales_v2[IdUniversidad]=$A23)*(dimLocales_v2[SedePrincipal]=TRUE),dimLocales_v2[UbigeoRENIEC],"")</f>
        <v>120101</v>
      </c>
      <c r="L23" s="115" cm="1">
        <f t="array" ref="L23">_xlfn.XLOOKUP(1,(dimLocales_v2[IdUniversidad]=$A23)*(dimLocales_v2[SedePrincipal]=TRUE),dimLocales_v2[UbigeoINEI],"")</f>
        <v>130101</v>
      </c>
    </row>
    <row r="24" spans="1:12" x14ac:dyDescent="0.25">
      <c r="A24" s="114">
        <v>23</v>
      </c>
      <c r="B24" s="115" t="s">
        <v>1069</v>
      </c>
      <c r="C24" s="114" t="s">
        <v>387</v>
      </c>
      <c r="D24" s="114" t="s">
        <v>295</v>
      </c>
      <c r="E24" s="115" t="str" cm="1">
        <f t="array" ref="E24">_xlfn.XLOOKUP(1,(dimLocales_v2[IdUniversidad]=$A24)*(dimLocales_v2[SedePrincipal]=TRUE),dimLocales_v2[Departamento],"")</f>
        <v>La Libertad</v>
      </c>
      <c r="F24" s="115" t="str" cm="1">
        <f t="array" ref="F24">_xlfn.XLOOKUP(1,(dimLocales_v2[IdUniversidad]=$A24)*(dimLocales_v2[SedePrincipal]=TRUE),dimLocales_v2[Provincia],"")</f>
        <v>Trujillo</v>
      </c>
      <c r="G24" s="115" t="str" cm="1">
        <f t="array" ref="G24">_xlfn.XLOOKUP(1,(dimLocales_v2[IdUniversidad]=$A24)*(dimLocales_v2[SedePrincipal]=TRUE),dimLocales_v2[Distrito],"")</f>
        <v>Trujillo</v>
      </c>
      <c r="H24" s="115" t="str" cm="1">
        <f t="array" ref="H24">_xlfn.XLOOKUP(1,(dimLocales_v2[IdUniversidad]=$A24)*(dimLocales_v2[SedePrincipal]=TRUE),dimLocales_v2[Direccion],"")</f>
        <v>Av. Ejercito 920 - 940 Urbanización El Molino</v>
      </c>
      <c r="I24" s="115" cm="1">
        <f t="array" ref="I24">_xlfn.XLOOKUP(1,(dimLocales_v2[IdUniversidad]=$A24)*(dimLocales_v2[SedePrincipal]=TRUE),dimLocales_v2[Latitud],"")</f>
        <v>-8.0998676841160897</v>
      </c>
      <c r="J24" s="115" cm="1">
        <f t="array" ref="J24">_xlfn.XLOOKUP(1,(dimLocales_v2[IdUniversidad]=$A24)*(dimLocales_v2[SedePrincipal]=TRUE),dimLocales_v2[Longitud],"")</f>
        <v>-79.0190814987766</v>
      </c>
      <c r="K24" s="115" cm="1">
        <f t="array" ref="K24">_xlfn.XLOOKUP(1,(dimLocales_v2[IdUniversidad]=$A24)*(dimLocales_v2[SedePrincipal]=TRUE),dimLocales_v2[UbigeoRENIEC],"")</f>
        <v>120101</v>
      </c>
      <c r="L24" s="115" cm="1">
        <f t="array" ref="L24">_xlfn.XLOOKUP(1,(dimLocales_v2[IdUniversidad]=$A24)*(dimLocales_v2[SedePrincipal]=TRUE),dimLocales_v2[UbigeoINEI],"")</f>
        <v>130101</v>
      </c>
    </row>
    <row r="25" spans="1:12" x14ac:dyDescent="0.25">
      <c r="A25" s="114">
        <v>24</v>
      </c>
      <c r="B25" s="115" t="s">
        <v>1068</v>
      </c>
      <c r="C25" s="114" t="s">
        <v>1067</v>
      </c>
      <c r="D25" s="114" t="s">
        <v>295</v>
      </c>
      <c r="E25" s="115" t="str" cm="1">
        <f t="array" ref="E25">_xlfn.XLOOKUP(1,(dimLocales_v2[IdUniversidad]=$A25)*(dimLocales_v2[SedePrincipal]=TRUE),dimLocales_v2[Departamento],"")</f>
        <v>Lambayeque</v>
      </c>
      <c r="F25" s="115" t="str" cm="1">
        <f t="array" ref="F25">_xlfn.XLOOKUP(1,(dimLocales_v2[IdUniversidad]=$A25)*(dimLocales_v2[SedePrincipal]=TRUE),dimLocales_v2[Provincia],"")</f>
        <v>Chiclayo</v>
      </c>
      <c r="G25" s="115" t="str" cm="1">
        <f t="array" ref="G25">_xlfn.XLOOKUP(1,(dimLocales_v2[IdUniversidad]=$A25)*(dimLocales_v2[SedePrincipal]=TRUE),dimLocales_v2[Distrito],"")</f>
        <v>Pimentel</v>
      </c>
      <c r="H25" s="115" t="str" cm="1">
        <f t="array" ref="H25">_xlfn.XLOOKUP(1,(dimLocales_v2[IdUniversidad]=$A25)*(dimLocales_v2[SedePrincipal]=TRUE),dimLocales_v2[Direccion],"")</f>
        <v>Predio Ubicado en el Sector la Garita con U.c.10465 del Distrito de Pimentel - Ubic. Rur. Predio Ubicado en el Sector la Garita de Pimentel Sector la Garita Pimentel Km. 5 Carretera Pimentel.</v>
      </c>
      <c r="I25" s="115" cm="1">
        <f t="array" ref="I25">_xlfn.XLOOKUP(1,(dimLocales_v2[IdUniversidad]=$A25)*(dimLocales_v2[SedePrincipal]=TRUE),dimLocales_v2[Latitud],"")</f>
        <v>-6.7950046959970702</v>
      </c>
      <c r="J25" s="115" cm="1">
        <f t="array" ref="J25">_xlfn.XLOOKUP(1,(dimLocales_v2[IdUniversidad]=$A25)*(dimLocales_v2[SedePrincipal]=TRUE),dimLocales_v2[Longitud],"")</f>
        <v>-79.885231211045095</v>
      </c>
      <c r="K25" s="115" cm="1">
        <f t="array" ref="K25">_xlfn.XLOOKUP(1,(dimLocales_v2[IdUniversidad]=$A25)*(dimLocales_v2[SedePrincipal]=TRUE),dimLocales_v2[UbigeoRENIEC],"")</f>
        <v>130110</v>
      </c>
      <c r="L25" s="115" cm="1">
        <f t="array" ref="L25">_xlfn.XLOOKUP(1,(dimLocales_v2[IdUniversidad]=$A25)*(dimLocales_v2[SedePrincipal]=TRUE),dimLocales_v2[UbigeoINEI],"")</f>
        <v>140112</v>
      </c>
    </row>
    <row r="26" spans="1:12" x14ac:dyDescent="0.25">
      <c r="A26" s="114">
        <v>25</v>
      </c>
      <c r="B26" s="115" t="s">
        <v>1066</v>
      </c>
      <c r="C26" s="114" t="s">
        <v>586</v>
      </c>
      <c r="D26" s="114" t="s">
        <v>295</v>
      </c>
      <c r="E26" s="115" t="str" cm="1">
        <f t="array" ref="E26">_xlfn.XLOOKUP(1,(dimLocales_v2[IdUniversidad]=$A26)*(dimLocales_v2[SedePrincipal]=TRUE),dimLocales_v2[Departamento],"")</f>
        <v>Lima</v>
      </c>
      <c r="F26" s="115" t="str" cm="1">
        <f t="array" ref="F26">_xlfn.XLOOKUP(1,(dimLocales_v2[IdUniversidad]=$A26)*(dimLocales_v2[SedePrincipal]=TRUE),dimLocales_v2[Provincia],"")</f>
        <v>Lima</v>
      </c>
      <c r="G26" s="115" t="str" cm="1">
        <f t="array" ref="G26">_xlfn.XLOOKUP(1,(dimLocales_v2[IdUniversidad]=$A26)*(dimLocales_v2[SedePrincipal]=TRUE),dimLocales_v2[Distrito],"")</f>
        <v>Lima</v>
      </c>
      <c r="H26" s="115" t="str" cm="1">
        <f t="array" ref="H26">_xlfn.XLOOKUP(1,(dimLocales_v2[IdUniversidad]=$A26)*(dimLocales_v2[SedePrincipal]=TRUE),dimLocales_v2[Direccion],"")</f>
        <v>Av.Abel Bergasse Du Petit Thouars 114 y 116 Urb. Santa Beatriz</v>
      </c>
      <c r="I26" s="115" cm="1">
        <f t="array" ref="I26">_xlfn.XLOOKUP(1,(dimLocales_v2[IdUniversidad]=$A26)*(dimLocales_v2[SedePrincipal]=TRUE),dimLocales_v2[Latitud],"")</f>
        <v>-12.0648091</v>
      </c>
      <c r="J26" s="115" cm="1">
        <f t="array" ref="J26">_xlfn.XLOOKUP(1,(dimLocales_v2[IdUniversidad]=$A26)*(dimLocales_v2[SedePrincipal]=TRUE),dimLocales_v2[Longitud],"")</f>
        <v>-77.036395099999993</v>
      </c>
      <c r="K26" s="115" cm="1">
        <f t="array" ref="K26">_xlfn.XLOOKUP(1,(dimLocales_v2[IdUniversidad]=$A26)*(dimLocales_v2[SedePrincipal]=TRUE),dimLocales_v2[UbigeoRENIEC],"")</f>
        <v>140101</v>
      </c>
      <c r="L26" s="115" cm="1">
        <f t="array" ref="L26">_xlfn.XLOOKUP(1,(dimLocales_v2[IdUniversidad]=$A26)*(dimLocales_v2[SedePrincipal]=TRUE),dimLocales_v2[UbigeoINEI],"")</f>
        <v>150101</v>
      </c>
    </row>
    <row r="27" spans="1:12" x14ac:dyDescent="0.25">
      <c r="A27" s="114">
        <v>26</v>
      </c>
      <c r="B27" s="115" t="s">
        <v>36</v>
      </c>
      <c r="C27" s="114" t="s">
        <v>352</v>
      </c>
      <c r="D27" s="114" t="s">
        <v>266</v>
      </c>
      <c r="E27" s="115" t="str" cm="1">
        <f t="array" ref="E27">_xlfn.XLOOKUP(1,(dimLocales_v2[IdUniversidad]=$A27)*(dimLocales_v2[SedePrincipal]=TRUE),dimLocales_v2[Departamento],"")</f>
        <v>Puno</v>
      </c>
      <c r="F27" s="115" t="str" cm="1">
        <f t="array" ref="F27">_xlfn.XLOOKUP(1,(dimLocales_v2[IdUniversidad]=$A27)*(dimLocales_v2[SedePrincipal]=TRUE),dimLocales_v2[Provincia],"")</f>
        <v>San Román</v>
      </c>
      <c r="G27" s="115" t="str" cm="1">
        <f t="array" ref="G27">_xlfn.XLOOKUP(1,(dimLocales_v2[IdUniversidad]=$A27)*(dimLocales_v2[SedePrincipal]=TRUE),dimLocales_v2[Distrito],"")</f>
        <v>Juliaca</v>
      </c>
      <c r="H27" s="115" t="str" cm="1">
        <f t="array" ref="H27">_xlfn.XLOOKUP(1,(dimLocales_v2[IdUniversidad]=$A27)*(dimLocales_v2[SedePrincipal]=TRUE),dimLocales_v2[Direccion],"")</f>
        <v>Jirón Manco Inca S/N</v>
      </c>
      <c r="I27" s="115" cm="1">
        <f t="array" ref="I27">_xlfn.XLOOKUP(1,(dimLocales_v2[IdUniversidad]=$A27)*(dimLocales_v2[SedePrincipal]=TRUE),dimLocales_v2[Latitud],"")</f>
        <v>-15.4881180531761</v>
      </c>
      <c r="J27" s="115" cm="1">
        <f t="array" ref="J27">_xlfn.XLOOKUP(1,(dimLocales_v2[IdUniversidad]=$A27)*(dimLocales_v2[SedePrincipal]=TRUE),dimLocales_v2[Longitud],"")</f>
        <v>-70.149776087731595</v>
      </c>
      <c r="K27" s="115" cm="1">
        <f t="array" ref="K27">_xlfn.XLOOKUP(1,(dimLocales_v2[IdUniversidad]=$A27)*(dimLocales_v2[SedePrincipal]=TRUE),dimLocales_v2[UbigeoRENIEC],"")</f>
        <v>200901</v>
      </c>
      <c r="L27" s="115" cm="1">
        <f t="array" ref="L27">_xlfn.XLOOKUP(1,(dimLocales_v2[IdUniversidad]=$A27)*(dimLocales_v2[SedePrincipal]=TRUE),dimLocales_v2[UbigeoINEI],"")</f>
        <v>211101</v>
      </c>
    </row>
    <row r="28" spans="1:12" x14ac:dyDescent="0.25">
      <c r="A28" s="114">
        <v>27</v>
      </c>
      <c r="B28" s="115" t="s">
        <v>1065</v>
      </c>
      <c r="C28" s="114" t="s">
        <v>1064</v>
      </c>
      <c r="D28" s="114" t="s">
        <v>295</v>
      </c>
      <c r="E28" s="115" t="str" cm="1">
        <f t="array" ref="E28">_xlfn.XLOOKUP(1,(dimLocales_v2[IdUniversidad]=$A28)*(dimLocales_v2[SedePrincipal]=TRUE),dimLocales_v2[Departamento],"")</f>
        <v>Lima</v>
      </c>
      <c r="F28" s="115" t="str" cm="1">
        <f t="array" ref="F28">_xlfn.XLOOKUP(1,(dimLocales_v2[IdUniversidad]=$A28)*(dimLocales_v2[SedePrincipal]=TRUE),dimLocales_v2[Provincia],"")</f>
        <v>Lima</v>
      </c>
      <c r="G28" s="115" t="str" cm="1">
        <f t="array" ref="G28">_xlfn.XLOOKUP(1,(dimLocales_v2[IdUniversidad]=$A28)*(dimLocales_v2[SedePrincipal]=TRUE),dimLocales_v2[Distrito],"")</f>
        <v>Villa El Salvador</v>
      </c>
      <c r="H28" s="115" t="str" cm="1">
        <f t="array" ref="H28">_xlfn.XLOOKUP(1,(dimLocales_v2[IdUniversidad]=$A28)*(dimLocales_v2[SedePrincipal]=TRUE),dimLocales_v2[Direccion],"")</f>
        <v>Carretera Panamericana Sur Km. 19 Lote B</v>
      </c>
      <c r="I28" s="115" cm="1">
        <f t="array" ref="I28">_xlfn.XLOOKUP(1,(dimLocales_v2[IdUniversidad]=$A28)*(dimLocales_v2[SedePrincipal]=TRUE),dimLocales_v2[Latitud],"")</f>
        <v>-12.2215281</v>
      </c>
      <c r="J28" s="115" cm="1">
        <f t="array" ref="J28">_xlfn.XLOOKUP(1,(dimLocales_v2[IdUniversidad]=$A28)*(dimLocales_v2[SedePrincipal]=TRUE),dimLocales_v2[Longitud],"")</f>
        <v>-76.976699800000006</v>
      </c>
      <c r="K28" s="115" cm="1">
        <f t="array" ref="K28">_xlfn.XLOOKUP(1,(dimLocales_v2[IdUniversidad]=$A28)*(dimLocales_v2[SedePrincipal]=TRUE),dimLocales_v2[UbigeoRENIEC],"")</f>
        <v>140141</v>
      </c>
      <c r="L28" s="115" cm="1">
        <f t="array" ref="L28">_xlfn.XLOOKUP(1,(dimLocales_v2[IdUniversidad]=$A28)*(dimLocales_v2[SedePrincipal]=TRUE),dimLocales_v2[UbigeoINEI],"")</f>
        <v>150142</v>
      </c>
    </row>
    <row r="29" spans="1:12" x14ac:dyDescent="0.25">
      <c r="A29" s="114">
        <v>28</v>
      </c>
      <c r="B29" s="115" t="s">
        <v>1063</v>
      </c>
      <c r="C29" s="114" t="s">
        <v>738</v>
      </c>
      <c r="D29" s="114" t="s">
        <v>266</v>
      </c>
      <c r="E29" s="115" t="str" cm="1">
        <f t="array" ref="E29">_xlfn.XLOOKUP(1,(dimLocales_v2[IdUniversidad]=$A29)*(dimLocales_v2[SedePrincipal]=TRUE),dimLocales_v2[Departamento],"")</f>
        <v>Huancavelica</v>
      </c>
      <c r="F29" s="115" t="str" cm="1">
        <f t="array" ref="F29">_xlfn.XLOOKUP(1,(dimLocales_v2[IdUniversidad]=$A29)*(dimLocales_v2[SedePrincipal]=TRUE),dimLocales_v2[Provincia],"")</f>
        <v>Tayacaja</v>
      </c>
      <c r="G29" s="115" t="str" cm="1">
        <f t="array" ref="G29">_xlfn.XLOOKUP(1,(dimLocales_v2[IdUniversidad]=$A29)*(dimLocales_v2[SedePrincipal]=TRUE),dimLocales_v2[Distrito],"")</f>
        <v>Daniel Hernández</v>
      </c>
      <c r="H29" s="115" t="str" cm="1">
        <f t="array" ref="H29">_xlfn.XLOOKUP(1,(dimLocales_v2[IdUniversidad]=$A29)*(dimLocales_v2[SedePrincipal]=TRUE),dimLocales_v2[Direccion],"")</f>
        <v>Via A Rundo S/N</v>
      </c>
      <c r="I29" s="115" cm="1">
        <f t="array" ref="I29">_xlfn.XLOOKUP(1,(dimLocales_v2[IdUniversidad]=$A29)*(dimLocales_v2[SedePrincipal]=TRUE),dimLocales_v2[Latitud],"")</f>
        <v>-12.360819242185</v>
      </c>
      <c r="J29" s="115" cm="1">
        <f t="array" ref="J29">_xlfn.XLOOKUP(1,(dimLocales_v2[IdUniversidad]=$A29)*(dimLocales_v2[SedePrincipal]=TRUE),dimLocales_v2[Longitud],"")</f>
        <v>-74.837975569067396</v>
      </c>
      <c r="K29" s="115" cm="1">
        <f t="array" ref="K29">_xlfn.XLOOKUP(1,(dimLocales_v2[IdUniversidad]=$A29)*(dimLocales_v2[SedePrincipal]=TRUE),dimLocales_v2[UbigeoRENIEC],"")</f>
        <v>80509</v>
      </c>
      <c r="L29" s="115" cm="1">
        <f t="array" ref="L29">_xlfn.XLOOKUP(1,(dimLocales_v2[IdUniversidad]=$A29)*(dimLocales_v2[SedePrincipal]=TRUE),dimLocales_v2[UbigeoINEI],"")</f>
        <v>90706</v>
      </c>
    </row>
    <row r="30" spans="1:12" x14ac:dyDescent="0.25">
      <c r="A30" s="114">
        <v>29</v>
      </c>
      <c r="B30" s="115" t="s">
        <v>1062</v>
      </c>
      <c r="C30" s="114" t="s">
        <v>721</v>
      </c>
      <c r="D30" s="114" t="s">
        <v>266</v>
      </c>
      <c r="E30" s="115" t="str" cm="1">
        <f t="array" ref="E30">_xlfn.XLOOKUP(1,(dimLocales_v2[IdUniversidad]=$A30)*(dimLocales_v2[SedePrincipal]=TRUE),dimLocales_v2[Departamento],"")</f>
        <v>Apurímac</v>
      </c>
      <c r="F30" s="115" t="str" cm="1">
        <f t="array" ref="F30">_xlfn.XLOOKUP(1,(dimLocales_v2[IdUniversidad]=$A30)*(dimLocales_v2[SedePrincipal]=TRUE),dimLocales_v2[Provincia],"")</f>
        <v>Andahuaylas</v>
      </c>
      <c r="G30" s="115" t="str" cm="1">
        <f t="array" ref="G30">_xlfn.XLOOKUP(1,(dimLocales_v2[IdUniversidad]=$A30)*(dimLocales_v2[SedePrincipal]=TRUE),dimLocales_v2[Distrito],"")</f>
        <v>San Jerónimo</v>
      </c>
      <c r="H30" s="115" t="str" cm="1">
        <f t="array" ref="H30">_xlfn.XLOOKUP(1,(dimLocales_v2[IdUniversidad]=$A30)*(dimLocales_v2[SedePrincipal]=TRUE),dimLocales_v2[Direccion],"")</f>
        <v>Av. José María Arguedas S/N</v>
      </c>
      <c r="I30" s="115" cm="1">
        <f t="array" ref="I30">_xlfn.XLOOKUP(1,(dimLocales_v2[IdUniversidad]=$A30)*(dimLocales_v2[SedePrincipal]=TRUE),dimLocales_v2[Latitud],"")</f>
        <v>-13.657189799999999</v>
      </c>
      <c r="J30" s="115" cm="1">
        <f t="array" ref="J30">_xlfn.XLOOKUP(1,(dimLocales_v2[IdUniversidad]=$A30)*(dimLocales_v2[SedePrincipal]=TRUE),dimLocales_v2[Longitud],"")</f>
        <v>-73.387930999999995</v>
      </c>
      <c r="K30" s="115" cm="1">
        <f t="array" ref="K30">_xlfn.XLOOKUP(1,(dimLocales_v2[IdUniversidad]=$A30)*(dimLocales_v2[SedePrincipal]=TRUE),dimLocales_v2[UbigeoRENIEC],"")</f>
        <v>30310</v>
      </c>
      <c r="L30" s="115" cm="1">
        <f t="array" ref="L30">_xlfn.XLOOKUP(1,(dimLocales_v2[IdUniversidad]=$A30)*(dimLocales_v2[SedePrincipal]=TRUE),dimLocales_v2[UbigeoINEI],"")</f>
        <v>30213</v>
      </c>
    </row>
    <row r="31" spans="1:12" x14ac:dyDescent="0.25">
      <c r="A31" s="114">
        <v>30</v>
      </c>
      <c r="B31" s="115" t="s">
        <v>1061</v>
      </c>
      <c r="C31" s="114" t="s">
        <v>713</v>
      </c>
      <c r="D31" s="114" t="s">
        <v>266</v>
      </c>
      <c r="E31" s="115" t="str" cm="1">
        <f t="array" ref="E31">_xlfn.XLOOKUP(1,(dimLocales_v2[IdUniversidad]=$A31)*(dimLocales_v2[SedePrincipal]=TRUE),dimLocales_v2[Departamento],"")</f>
        <v>Ayacucho</v>
      </c>
      <c r="F31" s="115" t="str" cm="1">
        <f t="array" ref="F31">_xlfn.XLOOKUP(1,(dimLocales_v2[IdUniversidad]=$A31)*(dimLocales_v2[SedePrincipal]=TRUE),dimLocales_v2[Provincia],"")</f>
        <v>Huamanga</v>
      </c>
      <c r="G31" s="115" t="str" cm="1">
        <f t="array" ref="G31">_xlfn.XLOOKUP(1,(dimLocales_v2[IdUniversidad]=$A31)*(dimLocales_v2[SedePrincipal]=TRUE),dimLocales_v2[Distrito],"")</f>
        <v>Ayacucho</v>
      </c>
      <c r="H31" s="115" t="str" cm="1">
        <f t="array" ref="H31">_xlfn.XLOOKUP(1,(dimLocales_v2[IdUniversidad]=$A31)*(dimLocales_v2[SedePrincipal]=TRUE),dimLocales_v2[Direccion],"")</f>
        <v>Av. Independencia N° 8 (Ciudad Universitaria)</v>
      </c>
      <c r="I31" s="115" cm="1">
        <f t="array" ref="I31">_xlfn.XLOOKUP(1,(dimLocales_v2[IdUniversidad]=$A31)*(dimLocales_v2[SedePrincipal]=TRUE),dimLocales_v2[Latitud],"")</f>
        <v>-13.1612654</v>
      </c>
      <c r="J31" s="115" cm="1">
        <f t="array" ref="J31">_xlfn.XLOOKUP(1,(dimLocales_v2[IdUniversidad]=$A31)*(dimLocales_v2[SedePrincipal]=TRUE),dimLocales_v2[Longitud],"")</f>
        <v>-74.225733899999994</v>
      </c>
      <c r="K31" s="115" cm="1">
        <f t="array" ref="K31">_xlfn.XLOOKUP(1,(dimLocales_v2[IdUniversidad]=$A31)*(dimLocales_v2[SedePrincipal]=TRUE),dimLocales_v2[UbigeoRENIEC],"")</f>
        <v>50101</v>
      </c>
      <c r="L31" s="115" cm="1">
        <f t="array" ref="L31">_xlfn.XLOOKUP(1,(dimLocales_v2[IdUniversidad]=$A31)*(dimLocales_v2[SedePrincipal]=TRUE),dimLocales_v2[UbigeoINEI],"")</f>
        <v>50101</v>
      </c>
    </row>
    <row r="32" spans="1:12" x14ac:dyDescent="0.25">
      <c r="A32" s="114">
        <v>31</v>
      </c>
      <c r="B32" s="115" t="s">
        <v>1060</v>
      </c>
      <c r="C32" s="114" t="s">
        <v>508</v>
      </c>
      <c r="D32" s="114" t="s">
        <v>266</v>
      </c>
      <c r="E32" s="115" t="str" cm="1">
        <f t="array" ref="E32">_xlfn.XLOOKUP(1,(dimLocales_v2[IdUniversidad]=$A32)*(dimLocales_v2[SedePrincipal]=TRUE),dimLocales_v2[Departamento],"")</f>
        <v>Pasco</v>
      </c>
      <c r="F32" s="115" t="str" cm="1">
        <f t="array" ref="F32">_xlfn.XLOOKUP(1,(dimLocales_v2[IdUniversidad]=$A32)*(dimLocales_v2[SedePrincipal]=TRUE),dimLocales_v2[Provincia],"")</f>
        <v>Pasco</v>
      </c>
      <c r="G32" s="115" t="str" cm="1">
        <f t="array" ref="G32">_xlfn.XLOOKUP(1,(dimLocales_v2[IdUniversidad]=$A32)*(dimLocales_v2[SedePrincipal]=TRUE),dimLocales_v2[Distrito],"")</f>
        <v>Yanacancha</v>
      </c>
      <c r="H32" s="115" t="str" cm="1">
        <f t="array" ref="H32">_xlfn.XLOOKUP(1,(dimLocales_v2[IdUniversidad]=$A32)*(dimLocales_v2[SedePrincipal]=TRUE),dimLocales_v2[Direccion],"")</f>
        <v>Programa de Vivienda Urbanización San Juan Pampa Mz. Q Lote 1 Sector Centro Comercial</v>
      </c>
      <c r="I32" s="115" cm="1">
        <f t="array" ref="I32">_xlfn.XLOOKUP(1,(dimLocales_v2[IdUniversidad]=$A32)*(dimLocales_v2[SedePrincipal]=TRUE),dimLocales_v2[Latitud],"")</f>
        <v>-10.668481292487099</v>
      </c>
      <c r="J32" s="115" cm="1">
        <f t="array" ref="J32">_xlfn.XLOOKUP(1,(dimLocales_v2[IdUniversidad]=$A32)*(dimLocales_v2[SedePrincipal]=TRUE),dimLocales_v2[Longitud],"")</f>
        <v>-76.252723182208996</v>
      </c>
      <c r="K32" s="115" cm="1">
        <f t="array" ref="K32">_xlfn.XLOOKUP(1,(dimLocales_v2[IdUniversidad]=$A32)*(dimLocales_v2[SedePrincipal]=TRUE),dimLocales_v2[UbigeoRENIEC],"")</f>
        <v>180114</v>
      </c>
      <c r="L32" s="115" cm="1">
        <f t="array" ref="L32">_xlfn.XLOOKUP(1,(dimLocales_v2[IdUniversidad]=$A32)*(dimLocales_v2[SedePrincipal]=TRUE),dimLocales_v2[UbigeoINEI],"")</f>
        <v>190113</v>
      </c>
    </row>
    <row r="33" spans="1:12" x14ac:dyDescent="0.25">
      <c r="A33" s="114">
        <v>32</v>
      </c>
      <c r="B33" s="115" t="s">
        <v>1059</v>
      </c>
      <c r="C33" s="114" t="s">
        <v>335</v>
      </c>
      <c r="D33" s="114" t="s">
        <v>266</v>
      </c>
      <c r="E33" s="115" t="str" cm="1">
        <f t="array" ref="E33">_xlfn.XLOOKUP(1,(dimLocales_v2[IdUniversidad]=$A33)*(dimLocales_v2[SedePrincipal]=TRUE),dimLocales_v2[Departamento],"")</f>
        <v>Lima</v>
      </c>
      <c r="F33" s="115" t="str" cm="1">
        <f t="array" ref="F33">_xlfn.XLOOKUP(1,(dimLocales_v2[IdUniversidad]=$A33)*(dimLocales_v2[SedePrincipal]=TRUE),dimLocales_v2[Provincia],"")</f>
        <v>Lima</v>
      </c>
      <c r="G33" s="115" t="str" cm="1">
        <f t="array" ref="G33">_xlfn.XLOOKUP(1,(dimLocales_v2[IdUniversidad]=$A33)*(dimLocales_v2[SedePrincipal]=TRUE),dimLocales_v2[Distrito],"")</f>
        <v>Lima</v>
      </c>
      <c r="H33" s="115" t="str" cm="1">
        <f t="array" ref="H33">_xlfn.XLOOKUP(1,(dimLocales_v2[IdUniversidad]=$A33)*(dimLocales_v2[SedePrincipal]=TRUE),dimLocales_v2[Direccion],"")</f>
        <v>Calle Germán Amezaga N° 375</v>
      </c>
      <c r="I33" s="115" cm="1">
        <f t="array" ref="I33">_xlfn.XLOOKUP(1,(dimLocales_v2[IdUniversidad]=$A33)*(dimLocales_v2[SedePrincipal]=TRUE),dimLocales_v2[Latitud],"")</f>
        <v>-12.056025699999999</v>
      </c>
      <c r="J33" s="115" cm="1">
        <f t="array" ref="J33">_xlfn.XLOOKUP(1,(dimLocales_v2[IdUniversidad]=$A33)*(dimLocales_v2[SedePrincipal]=TRUE),dimLocales_v2[Longitud],"")</f>
        <v>-77.084422599999996</v>
      </c>
      <c r="K33" s="115" cm="1">
        <f t="array" ref="K33">_xlfn.XLOOKUP(1,(dimLocales_v2[IdUniversidad]=$A33)*(dimLocales_v2[SedePrincipal]=TRUE),dimLocales_v2[UbigeoRENIEC],"")</f>
        <v>140101</v>
      </c>
      <c r="L33" s="115" cm="1">
        <f t="array" ref="L33">_xlfn.XLOOKUP(1,(dimLocales_v2[IdUniversidad]=$A33)*(dimLocales_v2[SedePrincipal]=TRUE),dimLocales_v2[UbigeoINEI],"")</f>
        <v>150101</v>
      </c>
    </row>
    <row r="34" spans="1:12" x14ac:dyDescent="0.25">
      <c r="A34" s="114">
        <v>33</v>
      </c>
      <c r="B34" s="115" t="s">
        <v>1058</v>
      </c>
      <c r="C34" s="114" t="s">
        <v>1057</v>
      </c>
      <c r="D34" s="114" t="s">
        <v>295</v>
      </c>
      <c r="E34" s="115" t="str" cm="1">
        <f t="array" ref="E34">_xlfn.XLOOKUP(1,(dimLocales_v2[IdUniversidad]=$A34)*(dimLocales_v2[SedePrincipal]=TRUE),dimLocales_v2[Departamento],"")</f>
        <v>Lima</v>
      </c>
      <c r="F34" s="115" t="str" cm="1">
        <f t="array" ref="F34">_xlfn.XLOOKUP(1,(dimLocales_v2[IdUniversidad]=$A34)*(dimLocales_v2[SedePrincipal]=TRUE),dimLocales_v2[Provincia],"")</f>
        <v>Lima</v>
      </c>
      <c r="G34" s="115" t="str" cm="1">
        <f t="array" ref="G34">_xlfn.XLOOKUP(1,(dimLocales_v2[IdUniversidad]=$A34)*(dimLocales_v2[SedePrincipal]=TRUE),dimLocales_v2[Distrito],"")</f>
        <v>San Martín de Porres</v>
      </c>
      <c r="H34" s="115" t="str" cm="1">
        <f t="array" ref="H34">_xlfn.XLOOKUP(1,(dimLocales_v2[IdUniversidad]=$A34)*(dimLocales_v2[SedePrincipal]=TRUE),dimLocales_v2[Direccion],"")</f>
        <v>Av. Honorio Delgado N° 430, Urb. Ingenieria S.M.P</v>
      </c>
      <c r="I34" s="115" cm="1">
        <f t="array" ref="I34">_xlfn.XLOOKUP(1,(dimLocales_v2[IdUniversidad]=$A34)*(dimLocales_v2[SedePrincipal]=TRUE),dimLocales_v2[Latitud],"")</f>
        <v>-12.023884139280501</v>
      </c>
      <c r="J34" s="115" cm="1">
        <f t="array" ref="J34">_xlfn.XLOOKUP(1,(dimLocales_v2[IdUniversidad]=$A34)*(dimLocales_v2[SedePrincipal]=TRUE),dimLocales_v2[Longitud],"")</f>
        <v>-77.056352919608699</v>
      </c>
      <c r="K34" s="115" cm="1">
        <f t="array" ref="K34">_xlfn.XLOOKUP(1,(dimLocales_v2[IdUniversidad]=$A34)*(dimLocales_v2[SedePrincipal]=TRUE),dimLocales_v2[UbigeoRENIEC],"")</f>
        <v>140126</v>
      </c>
      <c r="L34" s="115" cm="1">
        <f t="array" ref="L34">_xlfn.XLOOKUP(1,(dimLocales_v2[IdUniversidad]=$A34)*(dimLocales_v2[SedePrincipal]=TRUE),dimLocales_v2[UbigeoINEI],"")</f>
        <v>150135</v>
      </c>
    </row>
    <row r="35" spans="1:12" x14ac:dyDescent="0.25">
      <c r="A35" s="114">
        <v>34</v>
      </c>
      <c r="B35" s="115" t="s">
        <v>1056</v>
      </c>
      <c r="C35" s="114" t="s">
        <v>1055</v>
      </c>
      <c r="D35" s="114" t="s">
        <v>266</v>
      </c>
      <c r="E35" s="115" t="str" cm="1">
        <f t="array" ref="E35">_xlfn.XLOOKUP(1,(dimLocales_v2[IdUniversidad]=$A35)*(dimLocales_v2[SedePrincipal]=TRUE),dimLocales_v2[Departamento],"")</f>
        <v>Moquegua</v>
      </c>
      <c r="F35" s="115" t="str" cm="1">
        <f t="array" ref="F35">_xlfn.XLOOKUP(1,(dimLocales_v2[IdUniversidad]=$A35)*(dimLocales_v2[SedePrincipal]=TRUE),dimLocales_v2[Provincia],"")</f>
        <v>Mariscal Nieto</v>
      </c>
      <c r="G35" s="115" t="str" cm="1">
        <f t="array" ref="G35">_xlfn.XLOOKUP(1,(dimLocales_v2[IdUniversidad]=$A35)*(dimLocales_v2[SedePrincipal]=TRUE),dimLocales_v2[Distrito],"")</f>
        <v>Moquegua</v>
      </c>
      <c r="H35" s="115" t="str" cm="1">
        <f t="array" ref="H35">_xlfn.XLOOKUP(1,(dimLocales_v2[IdUniversidad]=$A35)*(dimLocales_v2[SedePrincipal]=TRUE),dimLocales_v2[Direccion],"")</f>
        <v>Av. Circunvalación, Lote 1B, Sub Lote 3, Fundo El Gramadal</v>
      </c>
      <c r="I35" s="115" cm="1">
        <f t="array" ref="I35">_xlfn.XLOOKUP(1,(dimLocales_v2[IdUniversidad]=$A35)*(dimLocales_v2[SedePrincipal]=TRUE),dimLocales_v2[Latitud],"")</f>
        <v>-17.189858327624499</v>
      </c>
      <c r="J35" s="115" cm="1">
        <f t="array" ref="J35">_xlfn.XLOOKUP(1,(dimLocales_v2[IdUniversidad]=$A35)*(dimLocales_v2[SedePrincipal]=TRUE),dimLocales_v2[Longitud],"")</f>
        <v>-70.9365788756607</v>
      </c>
      <c r="K35" s="115" cm="1">
        <f t="array" ref="K35">_xlfn.XLOOKUP(1,(dimLocales_v2[IdUniversidad]=$A35)*(dimLocales_v2[SedePrincipal]=TRUE),dimLocales_v2[UbigeoRENIEC],"")</f>
        <v>170101</v>
      </c>
      <c r="L35" s="115" cm="1">
        <f t="array" ref="L35">_xlfn.XLOOKUP(1,(dimLocales_v2[IdUniversidad]=$A35)*(dimLocales_v2[SedePrincipal]=TRUE),dimLocales_v2[UbigeoINEI],"")</f>
        <v>180101</v>
      </c>
    </row>
    <row r="36" spans="1:12" x14ac:dyDescent="0.25">
      <c r="A36" s="114">
        <v>35</v>
      </c>
      <c r="B36" s="115" t="s">
        <v>1054</v>
      </c>
      <c r="C36" s="114" t="s">
        <v>331</v>
      </c>
      <c r="D36" s="114" t="s">
        <v>295</v>
      </c>
      <c r="E36" s="115" t="str" cm="1">
        <f t="array" ref="E36">_xlfn.XLOOKUP(1,(dimLocales_v2[IdUniversidad]=$A36)*(dimLocales_v2[SedePrincipal]=TRUE),dimLocales_v2[Departamento],"")</f>
        <v>Lima</v>
      </c>
      <c r="F36" s="115" t="str" cm="1">
        <f t="array" ref="F36">_xlfn.XLOOKUP(1,(dimLocales_v2[IdUniversidad]=$A36)*(dimLocales_v2[SedePrincipal]=TRUE),dimLocales_v2[Provincia],"")</f>
        <v>Lima</v>
      </c>
      <c r="G36" s="115" t="str" cm="1">
        <f t="array" ref="G36">_xlfn.XLOOKUP(1,(dimLocales_v2[IdUniversidad]=$A36)*(dimLocales_v2[SedePrincipal]=TRUE),dimLocales_v2[Distrito],"")</f>
        <v>Santa Anita</v>
      </c>
      <c r="H36" s="115" t="str" cm="1">
        <f t="array" ref="H36">_xlfn.XLOOKUP(1,(dimLocales_v2[IdUniversidad]=$A36)*(dimLocales_v2[SedePrincipal]=TRUE),dimLocales_v2[Direccion],"")</f>
        <v>Jr. Las Calandrias Nº 151–291</v>
      </c>
      <c r="I36" s="115" cm="1">
        <f t="array" ref="I36">_xlfn.XLOOKUP(1,(dimLocales_v2[IdUniversidad]=$A36)*(dimLocales_v2[SedePrincipal]=TRUE),dimLocales_v2[Latitud],"")</f>
        <v>-12.0454981296974</v>
      </c>
      <c r="J36" s="115" cm="1">
        <f t="array" ref="J36">_xlfn.XLOOKUP(1,(dimLocales_v2[IdUniversidad]=$A36)*(dimLocales_v2[SedePrincipal]=TRUE),dimLocales_v2[Longitud],"")</f>
        <v>-76.967658981510596</v>
      </c>
      <c r="K36" s="115" cm="1">
        <f t="array" ref="K36">_xlfn.XLOOKUP(1,(dimLocales_v2[IdUniversidad]=$A36)*(dimLocales_v2[SedePrincipal]=TRUE),dimLocales_v2[UbigeoRENIEC],"")</f>
        <v>140143</v>
      </c>
      <c r="L36" s="115" cm="1">
        <f t="array" ref="L36">_xlfn.XLOOKUP(1,(dimLocales_v2[IdUniversidad]=$A36)*(dimLocales_v2[SedePrincipal]=TRUE),dimLocales_v2[UbigeoINEI],"")</f>
        <v>150137</v>
      </c>
    </row>
    <row r="37" spans="1:12" x14ac:dyDescent="0.25">
      <c r="A37" s="114">
        <v>36</v>
      </c>
      <c r="B37" s="115" t="s">
        <v>1053</v>
      </c>
      <c r="C37" s="114" t="s">
        <v>423</v>
      </c>
      <c r="D37" s="114" t="s">
        <v>266</v>
      </c>
      <c r="E37" s="115" t="str" cm="1">
        <f t="array" ref="E37">_xlfn.XLOOKUP(1,(dimLocales_v2[IdUniversidad]=$A37)*(dimLocales_v2[SedePrincipal]=TRUE),dimLocales_v2[Departamento],"")</f>
        <v>Cajamarca</v>
      </c>
      <c r="F37" s="115" t="str" cm="1">
        <f t="array" ref="F37">_xlfn.XLOOKUP(1,(dimLocales_v2[IdUniversidad]=$A37)*(dimLocales_v2[SedePrincipal]=TRUE),dimLocales_v2[Provincia],"")</f>
        <v>Cajamarca</v>
      </c>
      <c r="G37" s="115" t="str" cm="1">
        <f t="array" ref="G37">_xlfn.XLOOKUP(1,(dimLocales_v2[IdUniversidad]=$A37)*(dimLocales_v2[SedePrincipal]=TRUE),dimLocales_v2[Distrito],"")</f>
        <v>Cajamarca</v>
      </c>
      <c r="H37" s="115" t="str" cm="1">
        <f t="array" ref="H37">_xlfn.XLOOKUP(1,(dimLocales_v2[IdUniversidad]=$A37)*(dimLocales_v2[SedePrincipal]=TRUE),dimLocales_v2[Direccion],"")</f>
        <v>Av. Atahualpa 1050</v>
      </c>
      <c r="I37" s="115" cm="1">
        <f t="array" ref="I37">_xlfn.XLOOKUP(1,(dimLocales_v2[IdUniversidad]=$A37)*(dimLocales_v2[SedePrincipal]=TRUE),dimLocales_v2[Latitud],"")</f>
        <v>-7.1671935962648501</v>
      </c>
      <c r="J37" s="115" cm="1">
        <f t="array" ref="J37">_xlfn.XLOOKUP(1,(dimLocales_v2[IdUniversidad]=$A37)*(dimLocales_v2[SedePrincipal]=TRUE),dimLocales_v2[Longitud],"")</f>
        <v>-78.496523075463102</v>
      </c>
      <c r="K37" s="115" cm="1">
        <f t="array" ref="K37">_xlfn.XLOOKUP(1,(dimLocales_v2[IdUniversidad]=$A37)*(dimLocales_v2[SedePrincipal]=TRUE),dimLocales_v2[UbigeoRENIEC],"")</f>
        <v>60101</v>
      </c>
      <c r="L37" s="115" cm="1">
        <f t="array" ref="L37">_xlfn.XLOOKUP(1,(dimLocales_v2[IdUniversidad]=$A37)*(dimLocales_v2[SedePrincipal]=TRUE),dimLocales_v2[UbigeoINEI],"")</f>
        <v>60101</v>
      </c>
    </row>
    <row r="38" spans="1:12" x14ac:dyDescent="0.25">
      <c r="A38" s="114">
        <v>37</v>
      </c>
      <c r="B38" s="115" t="s">
        <v>1052</v>
      </c>
      <c r="C38" s="114" t="s">
        <v>1051</v>
      </c>
      <c r="D38" s="114" t="s">
        <v>266</v>
      </c>
      <c r="E38" s="115" t="str" cm="1">
        <f t="array" ref="E38">_xlfn.XLOOKUP(1,(dimLocales_v2[IdUniversidad]=$A38)*(dimLocales_v2[SedePrincipal]=TRUE),dimLocales_v2[Departamento],"")</f>
        <v>Loreto</v>
      </c>
      <c r="F38" s="115" t="str" cm="1">
        <f t="array" ref="F38">_xlfn.XLOOKUP(1,(dimLocales_v2[IdUniversidad]=$A38)*(dimLocales_v2[SedePrincipal]=TRUE),dimLocales_v2[Provincia],"")</f>
        <v>Maynas</v>
      </c>
      <c r="G38" s="115" t="str" cm="1">
        <f t="array" ref="G38">_xlfn.XLOOKUP(1,(dimLocales_v2[IdUniversidad]=$A38)*(dimLocales_v2[SedePrincipal]=TRUE),dimLocales_v2[Distrito],"")</f>
        <v>San Juan Bautista</v>
      </c>
      <c r="H38" s="115" t="str" cm="1">
        <f t="array" ref="H38">_xlfn.XLOOKUP(1,(dimLocales_v2[IdUniversidad]=$A38)*(dimLocales_v2[SedePrincipal]=TRUE),dimLocales_v2[Direccion],"")</f>
        <v>Nuevo San Lorenzo - San Lorenzo S/N</v>
      </c>
      <c r="I38" s="115" cm="1">
        <f t="array" ref="I38">_xlfn.XLOOKUP(1,(dimLocales_v2[IdUniversidad]=$A38)*(dimLocales_v2[SedePrincipal]=TRUE),dimLocales_v2[Latitud],"")</f>
        <v>-3.7646214803471398</v>
      </c>
      <c r="J38" s="115" cm="1">
        <f t="array" ref="J38">_xlfn.XLOOKUP(1,(dimLocales_v2[IdUniversidad]=$A38)*(dimLocales_v2[SedePrincipal]=TRUE),dimLocales_v2[Longitud],"")</f>
        <v>-73.270880663254104</v>
      </c>
      <c r="K38" s="115" cm="1">
        <f t="array" ref="K38">_xlfn.XLOOKUP(1,(dimLocales_v2[IdUniversidad]=$A38)*(dimLocales_v2[SedePrincipal]=TRUE),dimLocales_v2[UbigeoRENIEC],"")</f>
        <v>150113</v>
      </c>
      <c r="L38" s="115" cm="1">
        <f t="array" ref="L38">_xlfn.XLOOKUP(1,(dimLocales_v2[IdUniversidad]=$A38)*(dimLocales_v2[SedePrincipal]=TRUE),dimLocales_v2[UbigeoINEI],"")</f>
        <v>160113</v>
      </c>
    </row>
    <row r="39" spans="1:12" x14ac:dyDescent="0.25">
      <c r="A39" s="114">
        <v>38</v>
      </c>
      <c r="B39" s="115" t="s">
        <v>1050</v>
      </c>
      <c r="C39" s="114" t="s">
        <v>1049</v>
      </c>
      <c r="D39" s="114" t="s">
        <v>295</v>
      </c>
      <c r="E39" s="115" t="str" cm="1">
        <f t="array" ref="E39">_xlfn.XLOOKUP(1,(dimLocales_v2[IdUniversidad]=$A39)*(dimLocales_v2[SedePrincipal]=TRUE),dimLocales_v2[Departamento],"")</f>
        <v>Lima</v>
      </c>
      <c r="F39" s="115" t="str" cm="1">
        <f t="array" ref="F39">_xlfn.XLOOKUP(1,(dimLocales_v2[IdUniversidad]=$A39)*(dimLocales_v2[SedePrincipal]=TRUE),dimLocales_v2[Provincia],"")</f>
        <v>Lima</v>
      </c>
      <c r="G39" s="115" t="str" cm="1">
        <f t="array" ref="G39">_xlfn.XLOOKUP(1,(dimLocales_v2[IdUniversidad]=$A39)*(dimLocales_v2[SedePrincipal]=TRUE),dimLocales_v2[Distrito],"")</f>
        <v>Lima</v>
      </c>
      <c r="H39" s="115" t="str" cm="1">
        <f t="array" ref="H39">_xlfn.XLOOKUP(1,(dimLocales_v2[IdUniversidad]=$A39)*(dimLocales_v2[SedePrincipal]=TRUE),dimLocales_v2[Direccion],"")</f>
        <v>Jirón Eugenio Larrabure y Unanue N° 110, Urbanización Santa Beatriz</v>
      </c>
      <c r="I39" s="115" cm="1">
        <f t="array" ref="I39">_xlfn.XLOOKUP(1,(dimLocales_v2[IdUniversidad]=$A39)*(dimLocales_v2[SedePrincipal]=TRUE),dimLocales_v2[Latitud],"")</f>
        <v>-12.069603325030799</v>
      </c>
      <c r="J39" s="115" cm="1">
        <f t="array" ref="J39">_xlfn.XLOOKUP(1,(dimLocales_v2[IdUniversidad]=$A39)*(dimLocales_v2[SedePrincipal]=TRUE),dimLocales_v2[Longitud],"")</f>
        <v>-77.036980355750302</v>
      </c>
      <c r="K39" s="115" cm="1">
        <f t="array" ref="K39">_xlfn.XLOOKUP(1,(dimLocales_v2[IdUniversidad]=$A39)*(dimLocales_v2[SedePrincipal]=TRUE),dimLocales_v2[UbigeoRENIEC],"")</f>
        <v>140101</v>
      </c>
      <c r="L39" s="115" cm="1">
        <f t="array" ref="L39">_xlfn.XLOOKUP(1,(dimLocales_v2[IdUniversidad]=$A39)*(dimLocales_v2[SedePrincipal]=TRUE),dimLocales_v2[UbigeoINEI],"")</f>
        <v>150101</v>
      </c>
    </row>
    <row r="40" spans="1:12" x14ac:dyDescent="0.25">
      <c r="A40" s="114">
        <v>39</v>
      </c>
      <c r="B40" s="115" t="s">
        <v>1048</v>
      </c>
      <c r="C40" s="114" t="s">
        <v>1047</v>
      </c>
      <c r="D40" s="114" t="s">
        <v>266</v>
      </c>
      <c r="E40" s="115" t="str" cm="1">
        <f t="array" ref="E40">_xlfn.XLOOKUP(1,(dimLocales_v2[IdUniversidad]=$A40)*(dimLocales_v2[SedePrincipal]=TRUE),dimLocales_v2[Departamento],"")</f>
        <v>Madre de Dios</v>
      </c>
      <c r="F40" s="115" t="str" cm="1">
        <f t="array" ref="F40">_xlfn.XLOOKUP(1,(dimLocales_v2[IdUniversidad]=$A40)*(dimLocales_v2[SedePrincipal]=TRUE),dimLocales_v2[Provincia],"")</f>
        <v>Tambopata</v>
      </c>
      <c r="G40" s="115" t="str" cm="1">
        <f t="array" ref="G40">_xlfn.XLOOKUP(1,(dimLocales_v2[IdUniversidad]=$A40)*(dimLocales_v2[SedePrincipal]=TRUE),dimLocales_v2[Distrito],"")</f>
        <v>Tambopata</v>
      </c>
      <c r="H40" s="115" t="str" cm="1">
        <f t="array" ref="H40">_xlfn.XLOOKUP(1,(dimLocales_v2[IdUniversidad]=$A40)*(dimLocales_v2[SedePrincipal]=TRUE),dimLocales_v2[Direccion],"")</f>
        <v>Avenida Jorge Chávez N° 1160</v>
      </c>
      <c r="I40" s="115" cm="1">
        <f t="array" ref="I40">_xlfn.XLOOKUP(1,(dimLocales_v2[IdUniversidad]=$A40)*(dimLocales_v2[SedePrincipal]=TRUE),dimLocales_v2[Latitud],"")</f>
        <v>-12.5885658</v>
      </c>
      <c r="J40" s="115" cm="1">
        <f t="array" ref="J40">_xlfn.XLOOKUP(1,(dimLocales_v2[IdUniversidad]=$A40)*(dimLocales_v2[SedePrincipal]=TRUE),dimLocales_v2[Longitud],"")</f>
        <v>-69.209527399999999</v>
      </c>
      <c r="K40" s="115" cm="1">
        <f t="array" ref="K40">_xlfn.XLOOKUP(1,(dimLocales_v2[IdUniversidad]=$A40)*(dimLocales_v2[SedePrincipal]=TRUE),dimLocales_v2[UbigeoRENIEC],"")</f>
        <v>160101</v>
      </c>
      <c r="L40" s="115" cm="1">
        <f t="array" ref="L40">_xlfn.XLOOKUP(1,(dimLocales_v2[IdUniversidad]=$A40)*(dimLocales_v2[SedePrincipal]=TRUE),dimLocales_v2[UbigeoINEI],"")</f>
        <v>170101</v>
      </c>
    </row>
    <row r="41" spans="1:12" x14ac:dyDescent="0.25">
      <c r="A41" s="114">
        <v>40</v>
      </c>
      <c r="B41" s="115" t="s">
        <v>1046</v>
      </c>
      <c r="C41" s="114" t="s">
        <v>567</v>
      </c>
      <c r="D41" s="114" t="s">
        <v>266</v>
      </c>
      <c r="E41" s="115" t="str" cm="1">
        <f t="array" ref="E41">_xlfn.XLOOKUP(1,(dimLocales_v2[IdUniversidad]=$A41)*(dimLocales_v2[SedePrincipal]=TRUE),dimLocales_v2[Departamento],"")</f>
        <v>Huancavelica</v>
      </c>
      <c r="F41" s="115" t="str" cm="1">
        <f t="array" ref="F41">_xlfn.XLOOKUP(1,(dimLocales_v2[IdUniversidad]=$A41)*(dimLocales_v2[SedePrincipal]=TRUE),dimLocales_v2[Provincia],"")</f>
        <v>Huancavelica</v>
      </c>
      <c r="G41" s="115" t="str" cm="1">
        <f t="array" ref="G41">_xlfn.XLOOKUP(1,(dimLocales_v2[IdUniversidad]=$A41)*(dimLocales_v2[SedePrincipal]=TRUE),dimLocales_v2[Distrito],"")</f>
        <v>Huancavelica</v>
      </c>
      <c r="H41" s="115" t="str" cm="1">
        <f t="array" ref="H41">_xlfn.XLOOKUP(1,(dimLocales_v2[IdUniversidad]=$A41)*(dimLocales_v2[SedePrincipal]=TRUE),dimLocales_v2[Direccion],"")</f>
        <v>Avenida Agricultura Nº 319 y 321, del Sector Denominado Paturpampa</v>
      </c>
      <c r="I41" s="115" cm="1">
        <f t="array" ref="I41">_xlfn.XLOOKUP(1,(dimLocales_v2[IdUniversidad]=$A41)*(dimLocales_v2[SedePrincipal]=TRUE),dimLocales_v2[Latitud],"")</f>
        <v>-12.778136699999999</v>
      </c>
      <c r="J41" s="115" cm="1">
        <f t="array" ref="J41">_xlfn.XLOOKUP(1,(dimLocales_v2[IdUniversidad]=$A41)*(dimLocales_v2[SedePrincipal]=TRUE),dimLocales_v2[Longitud],"")</f>
        <v>-74.961439200000001</v>
      </c>
      <c r="K41" s="115" cm="1">
        <f t="array" ref="K41">_xlfn.XLOOKUP(1,(dimLocales_v2[IdUniversidad]=$A41)*(dimLocales_v2[SedePrincipal]=TRUE),dimLocales_v2[UbigeoRENIEC],"")</f>
        <v>80101</v>
      </c>
      <c r="L41" s="115" cm="1">
        <f t="array" ref="L41">_xlfn.XLOOKUP(1,(dimLocales_v2[IdUniversidad]=$A41)*(dimLocales_v2[SedePrincipal]=TRUE),dimLocales_v2[UbigeoINEI],"")</f>
        <v>90101</v>
      </c>
    </row>
    <row r="42" spans="1:12" x14ac:dyDescent="0.25">
      <c r="A42" s="114">
        <v>41</v>
      </c>
      <c r="B42" s="115" t="s">
        <v>1045</v>
      </c>
      <c r="C42" s="114" t="s">
        <v>497</v>
      </c>
      <c r="D42" s="114" t="s">
        <v>266</v>
      </c>
      <c r="E42" s="115" t="str" cm="1">
        <f t="array" ref="E42">_xlfn.XLOOKUP(1,(dimLocales_v2[IdUniversidad]=$A42)*(dimLocales_v2[SedePrincipal]=TRUE),dimLocales_v2[Departamento],"")</f>
        <v>La Libertad</v>
      </c>
      <c r="F42" s="115" t="str" cm="1">
        <f t="array" ref="F42">_xlfn.XLOOKUP(1,(dimLocales_v2[IdUniversidad]=$A42)*(dimLocales_v2[SedePrincipal]=TRUE),dimLocales_v2[Provincia],"")</f>
        <v>Sánchez Carrión</v>
      </c>
      <c r="G42" s="115" t="str" cm="1">
        <f t="array" ref="G42">_xlfn.XLOOKUP(1,(dimLocales_v2[IdUniversidad]=$A42)*(dimLocales_v2[SedePrincipal]=TRUE),dimLocales_v2[Distrito],"")</f>
        <v>Huamachuco</v>
      </c>
      <c r="H42" s="115" t="str" cm="1">
        <f t="array" ref="H42">_xlfn.XLOOKUP(1,(dimLocales_v2[IdUniversidad]=$A42)*(dimLocales_v2[SedePrincipal]=TRUE),dimLocales_v2[Direccion],"")</f>
        <v>Jr. Ramiro Prialé N° 570</v>
      </c>
      <c r="I42" s="115" cm="1">
        <f t="array" ref="I42">_xlfn.XLOOKUP(1,(dimLocales_v2[IdUniversidad]=$A42)*(dimLocales_v2[SedePrincipal]=TRUE),dimLocales_v2[Latitud],"")</f>
        <v>-7.8125129938000004</v>
      </c>
      <c r="J42" s="115" cm="1">
        <f t="array" ref="J42">_xlfn.XLOOKUP(1,(dimLocales_v2[IdUniversidad]=$A42)*(dimLocales_v2[SedePrincipal]=TRUE),dimLocales_v2[Longitud],"")</f>
        <v>-78.045370788</v>
      </c>
      <c r="K42" s="115" cm="1">
        <f t="array" ref="K42">_xlfn.XLOOKUP(1,(dimLocales_v2[IdUniversidad]=$A42)*(dimLocales_v2[SedePrincipal]=TRUE),dimLocales_v2[UbigeoRENIEC],"")</f>
        <v>120301</v>
      </c>
      <c r="L42" s="115" cm="1">
        <f t="array" ref="L42">_xlfn.XLOOKUP(1,(dimLocales_v2[IdUniversidad]=$A42)*(dimLocales_v2[SedePrincipal]=TRUE),dimLocales_v2[UbigeoINEI],"")</f>
        <v>130901</v>
      </c>
    </row>
    <row r="43" spans="1:12" x14ac:dyDescent="0.25">
      <c r="A43" s="114">
        <v>42</v>
      </c>
      <c r="B43" s="115" t="s">
        <v>257</v>
      </c>
      <c r="C43" s="114" t="s">
        <v>660</v>
      </c>
      <c r="D43" s="114" t="s">
        <v>295</v>
      </c>
      <c r="E43" s="115" t="str" cm="1">
        <f t="array" ref="E43">_xlfn.XLOOKUP(1,(dimLocales_v2[IdUniversidad]=$A43)*(dimLocales_v2[SedePrincipal]=TRUE),dimLocales_v2[Departamento],"")</f>
        <v>Lima</v>
      </c>
      <c r="F43" s="115" t="str" cm="1">
        <f t="array" ref="F43">_xlfn.XLOOKUP(1,(dimLocales_v2[IdUniversidad]=$A43)*(dimLocales_v2[SedePrincipal]=TRUE),dimLocales_v2[Provincia],"")</f>
        <v>Lima</v>
      </c>
      <c r="G43" s="115" t="str" cm="1">
        <f t="array" ref="G43">_xlfn.XLOOKUP(1,(dimLocales_v2[IdUniversidad]=$A43)*(dimLocales_v2[SedePrincipal]=TRUE),dimLocales_v2[Distrito],"")</f>
        <v>La Molina</v>
      </c>
      <c r="H43" s="115" t="str" cm="1">
        <f t="array" ref="H43">_xlfn.XLOOKUP(1,(dimLocales_v2[IdUniversidad]=$A43)*(dimLocales_v2[SedePrincipal]=TRUE),dimLocales_v2[Direccion],"")</f>
        <v>Avenida La Molina Nº 3755, Sol de La Molina</v>
      </c>
      <c r="I43" s="115" cm="1">
        <f t="array" ref="I43">_xlfn.XLOOKUP(1,(dimLocales_v2[IdUniversidad]=$A43)*(dimLocales_v2[SedePrincipal]=TRUE),dimLocales_v2[Latitud],"")</f>
        <v>-12.0857224</v>
      </c>
      <c r="J43" s="115" cm="1">
        <f t="array" ref="J43">_xlfn.XLOOKUP(1,(dimLocales_v2[IdUniversidad]=$A43)*(dimLocales_v2[SedePrincipal]=TRUE),dimLocales_v2[Longitud],"")</f>
        <v>-76.908668800000001</v>
      </c>
      <c r="K43" s="115" cm="1">
        <f t="array" ref="K43">_xlfn.XLOOKUP(1,(dimLocales_v2[IdUniversidad]=$A43)*(dimLocales_v2[SedePrincipal]=TRUE),dimLocales_v2[UbigeoRENIEC],"")</f>
        <v>140110</v>
      </c>
      <c r="L43" s="115" cm="1">
        <f t="array" ref="L43">_xlfn.XLOOKUP(1,(dimLocales_v2[IdUniversidad]=$A43)*(dimLocales_v2[SedePrincipal]=TRUE),dimLocales_v2[UbigeoINEI],"")</f>
        <v>150114</v>
      </c>
    </row>
    <row r="44" spans="1:12" x14ac:dyDescent="0.25">
      <c r="A44" s="114">
        <v>43</v>
      </c>
      <c r="B44" s="115" t="s">
        <v>1044</v>
      </c>
      <c r="C44" s="114" t="s">
        <v>306</v>
      </c>
      <c r="D44" s="114" t="s">
        <v>266</v>
      </c>
      <c r="E44" s="115" t="str" cm="1">
        <f t="array" ref="E44">_xlfn.XLOOKUP(1,(dimLocales_v2[IdUniversidad]=$A44)*(dimLocales_v2[SedePrincipal]=TRUE),dimLocales_v2[Departamento],"")</f>
        <v>Lima</v>
      </c>
      <c r="F44" s="115" t="str" cm="1">
        <f t="array" ref="F44">_xlfn.XLOOKUP(1,(dimLocales_v2[IdUniversidad]=$A44)*(dimLocales_v2[SedePrincipal]=TRUE),dimLocales_v2[Provincia],"")</f>
        <v>Lima</v>
      </c>
      <c r="G44" s="115" t="str" cm="1">
        <f t="array" ref="G44">_xlfn.XLOOKUP(1,(dimLocales_v2[IdUniversidad]=$A44)*(dimLocales_v2[SedePrincipal]=TRUE),dimLocales_v2[Distrito],"")</f>
        <v>La Molina</v>
      </c>
      <c r="H44" s="115" t="str" cm="1">
        <f t="array" ref="H44">_xlfn.XLOOKUP(1,(dimLocales_v2[IdUniversidad]=$A44)*(dimLocales_v2[SedePrincipal]=TRUE),dimLocales_v2[Direccion],"")</f>
        <v>Avenida La Molina S/N</v>
      </c>
      <c r="I44" s="115" cm="1">
        <f t="array" ref="I44">_xlfn.XLOOKUP(1,(dimLocales_v2[IdUniversidad]=$A44)*(dimLocales_v2[SedePrincipal]=TRUE),dimLocales_v2[Latitud],"")</f>
        <v>-12.078428817173901</v>
      </c>
      <c r="J44" s="115" cm="1">
        <f t="array" ref="J44">_xlfn.XLOOKUP(1,(dimLocales_v2[IdUniversidad]=$A44)*(dimLocales_v2[SedePrincipal]=TRUE),dimLocales_v2[Longitud],"")</f>
        <v>-76.946594564344394</v>
      </c>
      <c r="K44" s="115" cm="1">
        <f t="array" ref="K44">_xlfn.XLOOKUP(1,(dimLocales_v2[IdUniversidad]=$A44)*(dimLocales_v2[SedePrincipal]=TRUE),dimLocales_v2[UbigeoRENIEC],"")</f>
        <v>140110</v>
      </c>
      <c r="L44" s="115" cm="1">
        <f t="array" ref="L44">_xlfn.XLOOKUP(1,(dimLocales_v2[IdUniversidad]=$A44)*(dimLocales_v2[SedePrincipal]=TRUE),dimLocales_v2[UbigeoINEI],"")</f>
        <v>150114</v>
      </c>
    </row>
    <row r="45" spans="1:12" x14ac:dyDescent="0.25">
      <c r="A45" s="114">
        <v>44</v>
      </c>
      <c r="B45" s="115" t="s">
        <v>1043</v>
      </c>
      <c r="C45" s="114" t="s">
        <v>488</v>
      </c>
      <c r="D45" s="114" t="s">
        <v>266</v>
      </c>
      <c r="E45" s="115" t="str" cm="1">
        <f t="array" ref="E45">_xlfn.XLOOKUP(1,(dimLocales_v2[IdUniversidad]=$A45)*(dimLocales_v2[SedePrincipal]=TRUE),dimLocales_v2[Departamento],"")</f>
        <v>Lima</v>
      </c>
      <c r="F45" s="115" t="str" cm="1">
        <f t="array" ref="F45">_xlfn.XLOOKUP(1,(dimLocales_v2[IdUniversidad]=$A45)*(dimLocales_v2[SedePrincipal]=TRUE),dimLocales_v2[Provincia],"")</f>
        <v>Barranca</v>
      </c>
      <c r="G45" s="115" t="str" cm="1">
        <f t="array" ref="G45">_xlfn.XLOOKUP(1,(dimLocales_v2[IdUniversidad]=$A45)*(dimLocales_v2[SedePrincipal]=TRUE),dimLocales_v2[Distrito],"")</f>
        <v>Barranca</v>
      </c>
      <c r="H45" s="115" t="str" cm="1">
        <f t="array" ref="H45">_xlfn.XLOOKUP(1,(dimLocales_v2[IdUniversidad]=$A45)*(dimLocales_v2[SedePrincipal]=TRUE),dimLocales_v2[Direccion],"")</f>
        <v>Avenida Toribio Luzuriaga N° 376, Mz. J - Urbanización La Florida</v>
      </c>
      <c r="I45" s="115" cm="1">
        <f t="array" ref="I45">_xlfn.XLOOKUP(1,(dimLocales_v2[IdUniversidad]=$A45)*(dimLocales_v2[SedePrincipal]=TRUE),dimLocales_v2[Latitud],"")</f>
        <v>-10.754300199999999</v>
      </c>
      <c r="J45" s="115" cm="1">
        <f t="array" ref="J45">_xlfn.XLOOKUP(1,(dimLocales_v2[IdUniversidad]=$A45)*(dimLocales_v2[SedePrincipal]=TRUE),dimLocales_v2[Longitud],"")</f>
        <v>-77.758257200000003</v>
      </c>
      <c r="K45" s="115" cm="1">
        <f t="array" ref="K45">_xlfn.XLOOKUP(1,(dimLocales_v2[IdUniversidad]=$A45)*(dimLocales_v2[SedePrincipal]=TRUE),dimLocales_v2[UbigeoRENIEC],"")</f>
        <v>140901</v>
      </c>
      <c r="L45" s="115" cm="1">
        <f t="array" ref="L45">_xlfn.XLOOKUP(1,(dimLocales_v2[IdUniversidad]=$A45)*(dimLocales_v2[SedePrincipal]=TRUE),dimLocales_v2[UbigeoINEI],"")</f>
        <v>150201</v>
      </c>
    </row>
    <row r="46" spans="1:12" x14ac:dyDescent="0.25">
      <c r="A46" s="114">
        <v>45</v>
      </c>
      <c r="B46" s="115" t="s">
        <v>1042</v>
      </c>
      <c r="C46" s="114" t="s">
        <v>635</v>
      </c>
      <c r="D46" s="114" t="s">
        <v>295</v>
      </c>
      <c r="E46" s="115" t="str" cm="1">
        <f t="array" ref="E46">_xlfn.XLOOKUP(1,(dimLocales_v2[IdUniversidad]=$A46)*(dimLocales_v2[SedePrincipal]=TRUE),dimLocales_v2[Departamento],"")</f>
        <v>Junín</v>
      </c>
      <c r="F46" s="115" t="str" cm="1">
        <f t="array" ref="F46">_xlfn.XLOOKUP(1,(dimLocales_v2[IdUniversidad]=$A46)*(dimLocales_v2[SedePrincipal]=TRUE),dimLocales_v2[Provincia],"")</f>
        <v>Huancayo</v>
      </c>
      <c r="G46" s="115" t="str" cm="1">
        <f t="array" ref="G46">_xlfn.XLOOKUP(1,(dimLocales_v2[IdUniversidad]=$A46)*(dimLocales_v2[SedePrincipal]=TRUE),dimLocales_v2[Distrito],"")</f>
        <v>Huancayo</v>
      </c>
      <c r="H46" s="115" t="str" cm="1">
        <f t="array" ref="H46">_xlfn.XLOOKUP(1,(dimLocales_v2[IdUniversidad]=$A46)*(dimLocales_v2[SedePrincipal]=TRUE),dimLocales_v2[Direccion],"")</f>
        <v>Av. Mártires del Periodismo N° 2008-2040-2060-2080, Jr. Ciro Alegria N°215, Calle Las Estrellas N° 105-115, Calle Neptuno N°100-150 y Calle Los Andes N°125</v>
      </c>
      <c r="I46" s="115" cm="1">
        <f t="array" ref="I46">_xlfn.XLOOKUP(1,(dimLocales_v2[IdUniversidad]=$A46)*(dimLocales_v2[SedePrincipal]=TRUE),dimLocales_v2[Latitud],"")</f>
        <v>-12.040038300000001</v>
      </c>
      <c r="J46" s="115" cm="1">
        <f t="array" ref="J46">_xlfn.XLOOKUP(1,(dimLocales_v2[IdUniversidad]=$A46)*(dimLocales_v2[SedePrincipal]=TRUE),dimLocales_v2[Longitud],"")</f>
        <v>-75.192443400000002</v>
      </c>
      <c r="K46" s="115" cm="1">
        <f t="array" ref="K46">_xlfn.XLOOKUP(1,(dimLocales_v2[IdUniversidad]=$A46)*(dimLocales_v2[SedePrincipal]=TRUE),dimLocales_v2[UbigeoRENIEC],"")</f>
        <v>110101</v>
      </c>
      <c r="L46" s="115" cm="1">
        <f t="array" ref="L46">_xlfn.XLOOKUP(1,(dimLocales_v2[IdUniversidad]=$A46)*(dimLocales_v2[SedePrincipal]=TRUE),dimLocales_v2[UbigeoINEI],"")</f>
        <v>120101</v>
      </c>
    </row>
    <row r="47" spans="1:12" x14ac:dyDescent="0.25">
      <c r="A47" s="114">
        <v>46</v>
      </c>
      <c r="B47" s="115" t="s">
        <v>1041</v>
      </c>
      <c r="C47" s="114" t="s">
        <v>609</v>
      </c>
      <c r="D47" s="114" t="s">
        <v>266</v>
      </c>
      <c r="E47" s="115" t="str" cm="1">
        <f t="array" ref="E47">_xlfn.XLOOKUP(1,(dimLocales_v2[IdUniversidad]=$A47)*(dimLocales_v2[SedePrincipal]=TRUE),dimLocales_v2[Departamento],"")</f>
        <v>Tumbes</v>
      </c>
      <c r="F47" s="115" t="str" cm="1">
        <f t="array" ref="F47">_xlfn.XLOOKUP(1,(dimLocales_v2[IdUniversidad]=$A47)*(dimLocales_v2[SedePrincipal]=TRUE),dimLocales_v2[Provincia],"")</f>
        <v>Tumbes</v>
      </c>
      <c r="G47" s="115" t="str" cm="1">
        <f t="array" ref="G47">_xlfn.XLOOKUP(1,(dimLocales_v2[IdUniversidad]=$A47)*(dimLocales_v2[SedePrincipal]=TRUE),dimLocales_v2[Distrito],"")</f>
        <v>Tumbes</v>
      </c>
      <c r="H47" s="115" t="str" cm="1">
        <f t="array" ref="H47">_xlfn.XLOOKUP(1,(dimLocales_v2[IdUniversidad]=$A47)*(dimLocales_v2[SedePrincipal]=TRUE),dimLocales_v2[Direccion],"")</f>
        <v>Avenida Universitaria S/N</v>
      </c>
      <c r="I47" s="115" cm="1">
        <f t="array" ref="I47">_xlfn.XLOOKUP(1,(dimLocales_v2[IdUniversidad]=$A47)*(dimLocales_v2[SedePrincipal]=TRUE),dimLocales_v2[Latitud],"")</f>
        <v>-3.585267</v>
      </c>
      <c r="J47" s="115" cm="1">
        <f t="array" ref="J47">_xlfn.XLOOKUP(1,(dimLocales_v2[IdUniversidad]=$A47)*(dimLocales_v2[SedePrincipal]=TRUE),dimLocales_v2[Longitud],"")</f>
        <v>-80.443304999999995</v>
      </c>
      <c r="K47" s="115" cm="1">
        <f t="array" ref="K47">_xlfn.XLOOKUP(1,(dimLocales_v2[IdUniversidad]=$A47)*(dimLocales_v2[SedePrincipal]=TRUE),dimLocales_v2[UbigeoRENIEC],"")</f>
        <v>230101</v>
      </c>
      <c r="L47" s="115" cm="1">
        <f t="array" ref="L47">_xlfn.XLOOKUP(1,(dimLocales_v2[IdUniversidad]=$A47)*(dimLocales_v2[SedePrincipal]=TRUE),dimLocales_v2[UbigeoINEI],"")</f>
        <v>240101</v>
      </c>
    </row>
    <row r="48" spans="1:12" x14ac:dyDescent="0.25">
      <c r="A48" s="114">
        <v>47</v>
      </c>
      <c r="B48" s="115" t="s">
        <v>1040</v>
      </c>
      <c r="C48" s="114" t="s">
        <v>592</v>
      </c>
      <c r="D48" s="114" t="s">
        <v>266</v>
      </c>
      <c r="E48" s="115" t="str" cm="1">
        <f t="array" ref="E48">_xlfn.XLOOKUP(1,(dimLocales_v2[IdUniversidad]=$A48)*(dimLocales_v2[SedePrincipal]=TRUE),dimLocales_v2[Departamento],"")</f>
        <v>Lambayeque</v>
      </c>
      <c r="F48" s="115" t="str" cm="1">
        <f t="array" ref="F48">_xlfn.XLOOKUP(1,(dimLocales_v2[IdUniversidad]=$A48)*(dimLocales_v2[SedePrincipal]=TRUE),dimLocales_v2[Provincia],"")</f>
        <v>Lambayeque</v>
      </c>
      <c r="G48" s="115" t="str" cm="1">
        <f t="array" ref="G48">_xlfn.XLOOKUP(1,(dimLocales_v2[IdUniversidad]=$A48)*(dimLocales_v2[SedePrincipal]=TRUE),dimLocales_v2[Distrito],"")</f>
        <v>Lambayeque</v>
      </c>
      <c r="H48" s="115" t="str" cm="1">
        <f t="array" ref="H48">_xlfn.XLOOKUP(1,(dimLocales_v2[IdUniversidad]=$A48)*(dimLocales_v2[SedePrincipal]=TRUE),dimLocales_v2[Direccion],"")</f>
        <v>Calle Juan XXIII 391</v>
      </c>
      <c r="I48" s="115" cm="1">
        <f t="array" ref="I48">_xlfn.XLOOKUP(1,(dimLocales_v2[IdUniversidad]=$A48)*(dimLocales_v2[SedePrincipal]=TRUE),dimLocales_v2[Latitud],"")</f>
        <v>-6.7070694143000003</v>
      </c>
      <c r="J48" s="115" cm="1">
        <f t="array" ref="J48">_xlfn.XLOOKUP(1,(dimLocales_v2[IdUniversidad]=$A48)*(dimLocales_v2[SedePrincipal]=TRUE),dimLocales_v2[Longitud],"")</f>
        <v>-79.906696624999995</v>
      </c>
      <c r="K48" s="115" cm="1">
        <f t="array" ref="K48">_xlfn.XLOOKUP(1,(dimLocales_v2[IdUniversidad]=$A48)*(dimLocales_v2[SedePrincipal]=TRUE),dimLocales_v2[UbigeoRENIEC],"")</f>
        <v>130301</v>
      </c>
      <c r="L48" s="115" cm="1">
        <f t="array" ref="L48">_xlfn.XLOOKUP(1,(dimLocales_v2[IdUniversidad]=$A48)*(dimLocales_v2[SedePrincipal]=TRUE),dimLocales_v2[UbigeoINEI],"")</f>
        <v>140301</v>
      </c>
    </row>
    <row r="49" spans="1:12" x14ac:dyDescent="0.25">
      <c r="A49" s="114">
        <v>48</v>
      </c>
      <c r="B49" s="115" t="s">
        <v>1039</v>
      </c>
      <c r="C49" s="114" t="s">
        <v>328</v>
      </c>
      <c r="D49" s="114" t="s">
        <v>266</v>
      </c>
      <c r="E49" s="115" t="str" cm="1">
        <f t="array" ref="E49">_xlfn.XLOOKUP(1,(dimLocales_v2[IdUniversidad]=$A49)*(dimLocales_v2[SedePrincipal]=TRUE),dimLocales_v2[Departamento],"")</f>
        <v>Junín</v>
      </c>
      <c r="F49" s="115" t="str" cm="1">
        <f t="array" ref="F49">_xlfn.XLOOKUP(1,(dimLocales_v2[IdUniversidad]=$A49)*(dimLocales_v2[SedePrincipal]=TRUE),dimLocales_v2[Provincia],"")</f>
        <v>Chanchamayo</v>
      </c>
      <c r="G49" s="115" t="str" cm="1">
        <f t="array" ref="G49">_xlfn.XLOOKUP(1,(dimLocales_v2[IdUniversidad]=$A49)*(dimLocales_v2[SedePrincipal]=TRUE),dimLocales_v2[Distrito],"")</f>
        <v>Chanchamayo</v>
      </c>
      <c r="H49" s="115" t="str" cm="1">
        <f t="array" ref="H49">_xlfn.XLOOKUP(1,(dimLocales_v2[IdUniversidad]=$A49)*(dimLocales_v2[SedePrincipal]=TRUE),dimLocales_v2[Direccion],"")</f>
        <v>Jr. Los Cedros N° 141</v>
      </c>
      <c r="I49" s="115" cm="1">
        <f t="array" ref="I49">_xlfn.XLOOKUP(1,(dimLocales_v2[IdUniversidad]=$A49)*(dimLocales_v2[SedePrincipal]=TRUE),dimLocales_v2[Latitud],"")</f>
        <v>-11.056553351191701</v>
      </c>
      <c r="J49" s="115" cm="1">
        <f t="array" ref="J49">_xlfn.XLOOKUP(1,(dimLocales_v2[IdUniversidad]=$A49)*(dimLocales_v2[SedePrincipal]=TRUE),dimLocales_v2[Longitud],"")</f>
        <v>-75.331951367459098</v>
      </c>
      <c r="K49" s="115" cm="1">
        <f t="array" ref="K49">_xlfn.XLOOKUP(1,(dimLocales_v2[IdUniversidad]=$A49)*(dimLocales_v2[SedePrincipal]=TRUE),dimLocales_v2[UbigeoRENIEC],"")</f>
        <v>110801</v>
      </c>
      <c r="L49" s="115" cm="1">
        <f t="array" ref="L49">_xlfn.XLOOKUP(1,(dimLocales_v2[IdUniversidad]=$A49)*(dimLocales_v2[SedePrincipal]=TRUE),dimLocales_v2[UbigeoINEI],"")</f>
        <v>120301</v>
      </c>
    </row>
    <row r="50" spans="1:12" x14ac:dyDescent="0.25">
      <c r="A50" s="114">
        <v>49</v>
      </c>
      <c r="B50" s="115" t="s">
        <v>1038</v>
      </c>
      <c r="C50" s="114" t="s">
        <v>378</v>
      </c>
      <c r="D50" s="114" t="s">
        <v>266</v>
      </c>
      <c r="E50" s="115" t="str" cm="1">
        <f t="array" ref="E50">_xlfn.XLOOKUP(1,(dimLocales_v2[IdUniversidad]=$A50)*(dimLocales_v2[SedePrincipal]=TRUE),dimLocales_v2[Departamento],"")</f>
        <v>Cusco</v>
      </c>
      <c r="F50" s="115" t="str" cm="1">
        <f t="array" ref="F50">_xlfn.XLOOKUP(1,(dimLocales_v2[IdUniversidad]=$A50)*(dimLocales_v2[SedePrincipal]=TRUE),dimLocales_v2[Provincia],"")</f>
        <v>Cusco</v>
      </c>
      <c r="G50" s="115" t="str" cm="1">
        <f t="array" ref="G50">_xlfn.XLOOKUP(1,(dimLocales_v2[IdUniversidad]=$A50)*(dimLocales_v2[SedePrincipal]=TRUE),dimLocales_v2[Distrito],"")</f>
        <v>Cusco</v>
      </c>
      <c r="H50" s="115" t="str" cm="1">
        <f t="array" ref="H50">_xlfn.XLOOKUP(1,(dimLocales_v2[IdUniversidad]=$A50)*(dimLocales_v2[SedePrincipal]=TRUE),dimLocales_v2[Direccion],"")</f>
        <v>Avenida de la Cultura Nº 733</v>
      </c>
      <c r="I50" s="115" cm="1">
        <f t="array" ref="I50">_xlfn.XLOOKUP(1,(dimLocales_v2[IdUniversidad]=$A50)*(dimLocales_v2[SedePrincipal]=TRUE),dimLocales_v2[Latitud],"")</f>
        <v>-13.521929999999999</v>
      </c>
      <c r="J50" s="115" cm="1">
        <f t="array" ref="J50">_xlfn.XLOOKUP(1,(dimLocales_v2[IdUniversidad]=$A50)*(dimLocales_v2[SedePrincipal]=TRUE),dimLocales_v2[Longitud],"")</f>
        <v>-71.958320799999996</v>
      </c>
      <c r="K50" s="115" cm="1">
        <f t="array" ref="K50">_xlfn.XLOOKUP(1,(dimLocales_v2[IdUniversidad]=$A50)*(dimLocales_v2[SedePrincipal]=TRUE),dimLocales_v2[UbigeoRENIEC],"")</f>
        <v>70101</v>
      </c>
      <c r="L50" s="115" cm="1">
        <f t="array" ref="L50">_xlfn.XLOOKUP(1,(dimLocales_v2[IdUniversidad]=$A50)*(dimLocales_v2[SedePrincipal]=TRUE),dimLocales_v2[UbigeoINEI],"")</f>
        <v>80101</v>
      </c>
    </row>
    <row r="51" spans="1:12" x14ac:dyDescent="0.25">
      <c r="A51" s="114">
        <v>50</v>
      </c>
      <c r="B51" s="115" t="s">
        <v>1037</v>
      </c>
      <c r="C51" s="114" t="s">
        <v>1036</v>
      </c>
      <c r="D51" s="114" t="s">
        <v>266</v>
      </c>
      <c r="E51" s="115" t="str" cm="1">
        <f t="array" ref="E51">_xlfn.XLOOKUP(1,(dimLocales_v2[IdUniversidad]=$A51)*(dimLocales_v2[SedePrincipal]=TRUE),dimLocales_v2[Departamento],"")</f>
        <v>Ucayali</v>
      </c>
      <c r="F51" s="115" t="str" cm="1">
        <f t="array" ref="F51">_xlfn.XLOOKUP(1,(dimLocales_v2[IdUniversidad]=$A51)*(dimLocales_v2[SedePrincipal]=TRUE),dimLocales_v2[Provincia],"")</f>
        <v>Coronel Portillo</v>
      </c>
      <c r="G51" s="115" t="str" cm="1">
        <f t="array" ref="G51">_xlfn.XLOOKUP(1,(dimLocales_v2[IdUniversidad]=$A51)*(dimLocales_v2[SedePrincipal]=TRUE),dimLocales_v2[Distrito],"")</f>
        <v>Yarinacocha</v>
      </c>
      <c r="H51" s="115" t="str" cm="1">
        <f t="array" ref="H51">_xlfn.XLOOKUP(1,(dimLocales_v2[IdUniversidad]=$A51)*(dimLocales_v2[SedePrincipal]=TRUE),dimLocales_v2[Direccion],"")</f>
        <v>Carretera San José Km. 0.5</v>
      </c>
      <c r="I51" s="115" cm="1">
        <f t="array" ref="I51">_xlfn.XLOOKUP(1,(dimLocales_v2[IdUniversidad]=$A51)*(dimLocales_v2[SedePrincipal]=TRUE),dimLocales_v2[Latitud],"")</f>
        <v>-8.3478338999999995</v>
      </c>
      <c r="J51" s="115" cm="1">
        <f t="array" ref="J51">_xlfn.XLOOKUP(1,(dimLocales_v2[IdUniversidad]=$A51)*(dimLocales_v2[SedePrincipal]=TRUE),dimLocales_v2[Longitud],"")</f>
        <v>-74.590666299999995</v>
      </c>
      <c r="K51" s="115" cm="1">
        <f t="array" ref="K51">_xlfn.XLOOKUP(1,(dimLocales_v2[IdUniversidad]=$A51)*(dimLocales_v2[SedePrincipal]=TRUE),dimLocales_v2[UbigeoRENIEC],"")</f>
        <v>250102</v>
      </c>
      <c r="L51" s="115" cm="1">
        <f t="array" ref="L51">_xlfn.XLOOKUP(1,(dimLocales_v2[IdUniversidad]=$A51)*(dimLocales_v2[SedePrincipal]=TRUE),dimLocales_v2[UbigeoINEI],"")</f>
        <v>250105</v>
      </c>
    </row>
    <row r="52" spans="1:12" x14ac:dyDescent="0.25">
      <c r="A52" s="114">
        <v>51</v>
      </c>
      <c r="B52" s="115" t="s">
        <v>1035</v>
      </c>
      <c r="C52" s="114" t="s">
        <v>1034</v>
      </c>
      <c r="D52" s="114" t="s">
        <v>266</v>
      </c>
      <c r="E52" s="115" t="str" cm="1">
        <f t="array" ref="E52">_xlfn.XLOOKUP(1,(dimLocales_v2[IdUniversidad]=$A52)*(dimLocales_v2[SedePrincipal]=TRUE),dimLocales_v2[Departamento],"")</f>
        <v>Lima</v>
      </c>
      <c r="F52" s="115" t="str" cm="1">
        <f t="array" ref="F52">_xlfn.XLOOKUP(1,(dimLocales_v2[IdUniversidad]=$A52)*(dimLocales_v2[SedePrincipal]=TRUE),dimLocales_v2[Provincia],"")</f>
        <v>Lima</v>
      </c>
      <c r="G52" s="115" t="str" cm="1">
        <f t="array" ref="G52">_xlfn.XLOOKUP(1,(dimLocales_v2[IdUniversidad]=$A52)*(dimLocales_v2[SedePrincipal]=TRUE),dimLocales_v2[Distrito],"")</f>
        <v>Rímac</v>
      </c>
      <c r="H52" s="115" t="str" cm="1">
        <f t="array" ref="H52">_xlfn.XLOOKUP(1,(dimLocales_v2[IdUniversidad]=$A52)*(dimLocales_v2[SedePrincipal]=TRUE),dimLocales_v2[Direccion],"")</f>
        <v>Av. Tupac Amaruc N° 210</v>
      </c>
      <c r="I52" s="115" cm="1">
        <f t="array" ref="I52">_xlfn.XLOOKUP(1,(dimLocales_v2[IdUniversidad]=$A52)*(dimLocales_v2[SedePrincipal]=TRUE),dimLocales_v2[Latitud],"")</f>
        <v>-12.0237388264957</v>
      </c>
      <c r="J52" s="115" cm="1">
        <f t="array" ref="J52">_xlfn.XLOOKUP(1,(dimLocales_v2[IdUniversidad]=$A52)*(dimLocales_v2[SedePrincipal]=TRUE),dimLocales_v2[Longitud],"")</f>
        <v>-77.048376205978002</v>
      </c>
      <c r="K52" s="115" cm="1">
        <f t="array" ref="K52">_xlfn.XLOOKUP(1,(dimLocales_v2[IdUniversidad]=$A52)*(dimLocales_v2[SedePrincipal]=TRUE),dimLocales_v2[UbigeoRENIEC],"")</f>
        <v>140122</v>
      </c>
      <c r="L52" s="115" cm="1">
        <f t="array" ref="L52">_xlfn.XLOOKUP(1,(dimLocales_v2[IdUniversidad]=$A52)*(dimLocales_v2[SedePrincipal]=TRUE),dimLocales_v2[UbigeoINEI],"")</f>
        <v>150128</v>
      </c>
    </row>
    <row r="53" spans="1:12" x14ac:dyDescent="0.25">
      <c r="A53" s="114">
        <v>52</v>
      </c>
      <c r="B53" s="115" t="s">
        <v>1033</v>
      </c>
      <c r="C53" s="114" t="s">
        <v>626</v>
      </c>
      <c r="D53" s="114" t="s">
        <v>266</v>
      </c>
      <c r="E53" s="115" t="str" cm="1">
        <f t="array" ref="E53">_xlfn.XLOOKUP(1,(dimLocales_v2[IdUniversidad]=$A53)*(dimLocales_v2[SedePrincipal]=TRUE),dimLocales_v2[Departamento],"")</f>
        <v>Piura</v>
      </c>
      <c r="F53" s="115" t="str" cm="1">
        <f t="array" ref="F53">_xlfn.XLOOKUP(1,(dimLocales_v2[IdUniversidad]=$A53)*(dimLocales_v2[SedePrincipal]=TRUE),dimLocales_v2[Provincia],"")</f>
        <v>Sullana</v>
      </c>
      <c r="G53" s="115" t="str" cm="1">
        <f t="array" ref="G53">_xlfn.XLOOKUP(1,(dimLocales_v2[IdUniversidad]=$A53)*(dimLocales_v2[SedePrincipal]=TRUE),dimLocales_v2[Distrito],"")</f>
        <v>Sullana</v>
      </c>
      <c r="H53" s="115" t="str" cm="1">
        <f t="array" ref="H53">_xlfn.XLOOKUP(1,(dimLocales_v2[IdUniversidad]=$A53)*(dimLocales_v2[SedePrincipal]=TRUE),dimLocales_v2[Direccion],"")</f>
        <v>Avenida San Hilarión N° 101</v>
      </c>
      <c r="I53" s="115" cm="1">
        <f t="array" ref="I53">_xlfn.XLOOKUP(1,(dimLocales_v2[IdUniversidad]=$A53)*(dimLocales_v2[SedePrincipal]=TRUE),dimLocales_v2[Latitud],"")</f>
        <v>-4.9099822236249198</v>
      </c>
      <c r="J53" s="115" cm="1">
        <f t="array" ref="J53">_xlfn.XLOOKUP(1,(dimLocales_v2[IdUniversidad]=$A53)*(dimLocales_v2[SedePrincipal]=TRUE),dimLocales_v2[Longitud],"")</f>
        <v>-80.728441104218305</v>
      </c>
      <c r="K53" s="115" cm="1">
        <f t="array" ref="K53">_xlfn.XLOOKUP(1,(dimLocales_v2[IdUniversidad]=$A53)*(dimLocales_v2[SedePrincipal]=TRUE),dimLocales_v2[UbigeoRENIEC],"")</f>
        <v>190601</v>
      </c>
      <c r="L53" s="115" cm="1">
        <f t="array" ref="L53">_xlfn.XLOOKUP(1,(dimLocales_v2[IdUniversidad]=$A53)*(dimLocales_v2[SedePrincipal]=TRUE),dimLocales_v2[UbigeoINEI],"")</f>
        <v>200601</v>
      </c>
    </row>
    <row r="54" spans="1:12" x14ac:dyDescent="0.25">
      <c r="A54" s="114">
        <v>53</v>
      </c>
      <c r="B54" s="115" t="s">
        <v>1032</v>
      </c>
      <c r="C54" s="114" t="s">
        <v>443</v>
      </c>
      <c r="D54" s="114" t="s">
        <v>266</v>
      </c>
      <c r="E54" s="115" t="str" cm="1">
        <f t="array" ref="E54">_xlfn.XLOOKUP(1,(dimLocales_v2[IdUniversidad]=$A54)*(dimLocales_v2[SedePrincipal]=TRUE),dimLocales_v2[Departamento],"")</f>
        <v>Apurímac</v>
      </c>
      <c r="F54" s="115" t="str" cm="1">
        <f t="array" ref="F54">_xlfn.XLOOKUP(1,(dimLocales_v2[IdUniversidad]=$A54)*(dimLocales_v2[SedePrincipal]=TRUE),dimLocales_v2[Provincia],"")</f>
        <v>Abancay</v>
      </c>
      <c r="G54" s="115" t="str" cm="1">
        <f t="array" ref="G54">_xlfn.XLOOKUP(1,(dimLocales_v2[IdUniversidad]=$A54)*(dimLocales_v2[SedePrincipal]=TRUE),dimLocales_v2[Distrito],"")</f>
        <v>Tamburco</v>
      </c>
      <c r="H54" s="115" t="str" cm="1">
        <f t="array" ref="H54">_xlfn.XLOOKUP(1,(dimLocales_v2[IdUniversidad]=$A54)*(dimLocales_v2[SedePrincipal]=TRUE),dimLocales_v2[Direccion],"")</f>
        <v>Avenida Inca Garcilaso de la Vega y la Panamericana Abancay - Cusco S/N</v>
      </c>
      <c r="I54" s="115" cm="1">
        <f t="array" ref="I54">_xlfn.XLOOKUP(1,(dimLocales_v2[IdUniversidad]=$A54)*(dimLocales_v2[SedePrincipal]=TRUE),dimLocales_v2[Latitud],"")</f>
        <v>-13.617555843686301</v>
      </c>
      <c r="J54" s="115" cm="1">
        <f t="array" ref="J54">_xlfn.XLOOKUP(1,(dimLocales_v2[IdUniversidad]=$A54)*(dimLocales_v2[SedePrincipal]=TRUE),dimLocales_v2[Longitud],"")</f>
        <v>-72.868156308208995</v>
      </c>
      <c r="K54" s="115" cm="1">
        <f t="array" ref="K54">_xlfn.XLOOKUP(1,(dimLocales_v2[IdUniversidad]=$A54)*(dimLocales_v2[SedePrincipal]=TRUE),dimLocales_v2[UbigeoRENIEC],"")</f>
        <v>30109</v>
      </c>
      <c r="L54" s="115" cm="1">
        <f t="array" ref="L54">_xlfn.XLOOKUP(1,(dimLocales_v2[IdUniversidad]=$A54)*(dimLocales_v2[SedePrincipal]=TRUE),dimLocales_v2[UbigeoINEI],"")</f>
        <v>30109</v>
      </c>
    </row>
    <row r="55" spans="1:12" x14ac:dyDescent="0.25">
      <c r="A55" s="114">
        <v>54</v>
      </c>
      <c r="B55" s="115" t="s">
        <v>1031</v>
      </c>
      <c r="C55" s="114" t="s">
        <v>1030</v>
      </c>
      <c r="D55" s="114" t="s">
        <v>295</v>
      </c>
      <c r="E55" s="115" t="str" cm="1">
        <f t="array" ref="E55">_xlfn.XLOOKUP(1,(dimLocales_v2[IdUniversidad]=$A55)*(dimLocales_v2[SedePrincipal]=TRUE),dimLocales_v2[Departamento],"")</f>
        <v>Lima</v>
      </c>
      <c r="F55" s="115" t="str" cm="1">
        <f t="array" ref="F55">_xlfn.XLOOKUP(1,(dimLocales_v2[IdUniversidad]=$A55)*(dimLocales_v2[SedePrincipal]=TRUE),dimLocales_v2[Provincia],"")</f>
        <v>Lima</v>
      </c>
      <c r="G55" s="115" t="str" cm="1">
        <f t="array" ref="G55">_xlfn.XLOOKUP(1,(dimLocales_v2[IdUniversidad]=$A55)*(dimLocales_v2[SedePrincipal]=TRUE),dimLocales_v2[Distrito],"")</f>
        <v>San Miguel</v>
      </c>
      <c r="H55" s="115" t="str" cm="1">
        <f t="array" ref="H55">_xlfn.XLOOKUP(1,(dimLocales_v2[IdUniversidad]=$A55)*(dimLocales_v2[SedePrincipal]=TRUE),dimLocales_v2[Direccion],"")</f>
        <v>Av. Universitaria N° 1801</v>
      </c>
      <c r="I55" s="115" cm="1">
        <f t="array" ref="I55">_xlfn.XLOOKUP(1,(dimLocales_v2[IdUniversidad]=$A55)*(dimLocales_v2[SedePrincipal]=TRUE),dimLocales_v2[Latitud],"")</f>
        <v>-12.0714985196764</v>
      </c>
      <c r="J55" s="115" cm="1">
        <f t="array" ref="J55">_xlfn.XLOOKUP(1,(dimLocales_v2[IdUniversidad]=$A55)*(dimLocales_v2[SedePrincipal]=TRUE),dimLocales_v2[Longitud],"")</f>
        <v>-77.078386610767296</v>
      </c>
      <c r="K55" s="115" cm="1">
        <f t="array" ref="K55">_xlfn.XLOOKUP(1,(dimLocales_v2[IdUniversidad]=$A55)*(dimLocales_v2[SedePrincipal]=TRUE),dimLocales_v2[UbigeoRENIEC],"")</f>
        <v>140127</v>
      </c>
      <c r="L55" s="115" cm="1">
        <f t="array" ref="L55">_xlfn.XLOOKUP(1,(dimLocales_v2[IdUniversidad]=$A55)*(dimLocales_v2[SedePrincipal]=TRUE),dimLocales_v2[UbigeoINEI],"")</f>
        <v>150136</v>
      </c>
    </row>
    <row r="56" spans="1:12" x14ac:dyDescent="0.25">
      <c r="A56" s="114">
        <v>55</v>
      </c>
      <c r="B56" s="115" t="s">
        <v>1029</v>
      </c>
      <c r="C56" s="114" t="s">
        <v>409</v>
      </c>
      <c r="D56" s="114" t="s">
        <v>266</v>
      </c>
      <c r="E56" s="115" t="str" cm="1">
        <f t="array" ref="E56">_xlfn.XLOOKUP(1,(dimLocales_v2[IdUniversidad]=$A56)*(dimLocales_v2[SedePrincipal]=TRUE),dimLocales_v2[Departamento],"")</f>
        <v>Lima</v>
      </c>
      <c r="F56" s="115" t="str" cm="1">
        <f t="array" ref="F56">_xlfn.XLOOKUP(1,(dimLocales_v2[IdUniversidad]=$A56)*(dimLocales_v2[SedePrincipal]=TRUE),dimLocales_v2[Provincia],"")</f>
        <v>Huaura</v>
      </c>
      <c r="G56" s="115" t="str" cm="1">
        <f t="array" ref="G56">_xlfn.XLOOKUP(1,(dimLocales_v2[IdUniversidad]=$A56)*(dimLocales_v2[SedePrincipal]=TRUE),dimLocales_v2[Distrito],"")</f>
        <v>Huacho</v>
      </c>
      <c r="H56" s="115" t="str" cm="1">
        <f t="array" ref="H56">_xlfn.XLOOKUP(1,(dimLocales_v2[IdUniversidad]=$A56)*(dimLocales_v2[SedePrincipal]=TRUE),dimLocales_v2[Direccion],"")</f>
        <v>Av. Mercedes Indacochea N° 609 - Puerta 01</v>
      </c>
      <c r="I56" s="115" cm="1">
        <f t="array" ref="I56">_xlfn.XLOOKUP(1,(dimLocales_v2[IdUniversidad]=$A56)*(dimLocales_v2[SedePrincipal]=TRUE),dimLocales_v2[Latitud],"")</f>
        <v>-11.1220683748111</v>
      </c>
      <c r="J56" s="115" cm="1">
        <f t="array" ref="J56">_xlfn.XLOOKUP(1,(dimLocales_v2[IdUniversidad]=$A56)*(dimLocales_v2[SedePrincipal]=TRUE),dimLocales_v2[Longitud],"")</f>
        <v>-77.606769106745901</v>
      </c>
      <c r="K56" s="115" cm="1">
        <f t="array" ref="K56">_xlfn.XLOOKUP(1,(dimLocales_v2[IdUniversidad]=$A56)*(dimLocales_v2[SedePrincipal]=TRUE),dimLocales_v2[UbigeoRENIEC],"")</f>
        <v>140501</v>
      </c>
      <c r="L56" s="115" cm="1">
        <f t="array" ref="L56">_xlfn.XLOOKUP(1,(dimLocales_v2[IdUniversidad]=$A56)*(dimLocales_v2[SedePrincipal]=TRUE),dimLocales_v2[UbigeoINEI],"")</f>
        <v>150801</v>
      </c>
    </row>
    <row r="57" spans="1:12" x14ac:dyDescent="0.25">
      <c r="A57" s="114">
        <v>56</v>
      </c>
      <c r="B57" s="115" t="s">
        <v>1028</v>
      </c>
      <c r="C57" s="114" t="s">
        <v>315</v>
      </c>
      <c r="D57" s="114" t="s">
        <v>295</v>
      </c>
      <c r="E57" s="115" t="str" cm="1">
        <f t="array" ref="E57">_xlfn.XLOOKUP(1,(dimLocales_v2[IdUniversidad]=$A57)*(dimLocales_v2[SedePrincipal]=TRUE),dimLocales_v2[Departamento],"")</f>
        <v>Lima</v>
      </c>
      <c r="F57" s="115" t="str" cm="1">
        <f t="array" ref="F57">_xlfn.XLOOKUP(1,(dimLocales_v2[IdUniversidad]=$A57)*(dimLocales_v2[SedePrincipal]=TRUE),dimLocales_v2[Provincia],"")</f>
        <v>Lima</v>
      </c>
      <c r="G57" s="115" t="str" cm="1">
        <f t="array" ref="G57">_xlfn.XLOOKUP(1,(dimLocales_v2[IdUniversidad]=$A57)*(dimLocales_v2[SedePrincipal]=TRUE),dimLocales_v2[Distrito],"")</f>
        <v>Lurigancho</v>
      </c>
      <c r="H57" s="115" t="str" cm="1">
        <f t="array" ref="H57">_xlfn.XLOOKUP(1,(dimLocales_v2[IdUniversidad]=$A57)*(dimLocales_v2[SedePrincipal]=TRUE),dimLocales_v2[Direccion],"")</f>
        <v>Acumulación de los Lotes N° 27, 27-A, 28, 28-A, 29, 29-A, 30, 31, 31-A, 32 y de la Ladera San Pascual, de la Lotización del Ex Fundo Ñaña</v>
      </c>
      <c r="I57" s="115" cm="1">
        <f t="array" ref="I57">_xlfn.XLOOKUP(1,(dimLocales_v2[IdUniversidad]=$A57)*(dimLocales_v2[SedePrincipal]=TRUE),dimLocales_v2[Latitud],"")</f>
        <v>-11.989087</v>
      </c>
      <c r="J57" s="115" cm="1">
        <f t="array" ref="J57">_xlfn.XLOOKUP(1,(dimLocales_v2[IdUniversidad]=$A57)*(dimLocales_v2[SedePrincipal]=TRUE),dimLocales_v2[Longitud],"")</f>
        <v>-76.839662000000004</v>
      </c>
      <c r="K57" s="115" cm="1">
        <f t="array" ref="K57">_xlfn.XLOOKUP(1,(dimLocales_v2[IdUniversidad]=$A57)*(dimLocales_v2[SedePrincipal]=TRUE),dimLocales_v2[UbigeoRENIEC],"")</f>
        <v>140112</v>
      </c>
      <c r="L57" s="115" cm="1">
        <f t="array" ref="L57">_xlfn.XLOOKUP(1,(dimLocales_v2[IdUniversidad]=$A57)*(dimLocales_v2[SedePrincipal]=TRUE),dimLocales_v2[UbigeoINEI],"")</f>
        <v>150118</v>
      </c>
    </row>
    <row r="58" spans="1:12" x14ac:dyDescent="0.25">
      <c r="A58" s="114">
        <v>57</v>
      </c>
      <c r="B58" s="115" t="s">
        <v>1027</v>
      </c>
      <c r="C58" s="114" t="s">
        <v>1026</v>
      </c>
      <c r="D58" s="114" t="s">
        <v>295</v>
      </c>
      <c r="E58" s="115" t="str" cm="1">
        <f t="array" ref="E58">_xlfn.XLOOKUP(1,(dimLocales_v2[IdUniversidad]=$A58)*(dimLocales_v2[SedePrincipal]=TRUE),dimLocales_v2[Departamento],"")</f>
        <v>Huancavelica</v>
      </c>
      <c r="F58" s="115" t="str" cm="1">
        <f t="array" ref="F58">_xlfn.XLOOKUP(1,(dimLocales_v2[IdUniversidad]=$A58)*(dimLocales_v2[SedePrincipal]=TRUE),dimLocales_v2[Provincia],"")</f>
        <v>Angaraes</v>
      </c>
      <c r="G58" s="115" t="str" cm="1">
        <f t="array" ref="G58">_xlfn.XLOOKUP(1,(dimLocales_v2[IdUniversidad]=$A58)*(dimLocales_v2[SedePrincipal]=TRUE),dimLocales_v2[Distrito],"")</f>
        <v>Lircay</v>
      </c>
      <c r="H58" s="115" t="str" cm="1">
        <f t="array" ref="H58">_xlfn.XLOOKUP(1,(dimLocales_v2[IdUniversidad]=$A58)*(dimLocales_v2[SedePrincipal]=TRUE),dimLocales_v2[Direccion],"")</f>
        <v>Avenida Ricardo Fernández Nº 103, Pueblo Nuevo</v>
      </c>
      <c r="I58" s="115" cm="1">
        <f t="array" ref="I58">_xlfn.XLOOKUP(1,(dimLocales_v2[IdUniversidad]=$A58)*(dimLocales_v2[SedePrincipal]=TRUE),dimLocales_v2[Latitud],"")</f>
        <v>-12.9875794412456</v>
      </c>
      <c r="J58" s="115" cm="1">
        <f t="array" ref="J58">_xlfn.XLOOKUP(1,(dimLocales_v2[IdUniversidad]=$A58)*(dimLocales_v2[SedePrincipal]=TRUE),dimLocales_v2[Longitud],"")</f>
        <v>-74.721308843061095</v>
      </c>
      <c r="K58" s="115" cm="1">
        <f t="array" ref="K58">_xlfn.XLOOKUP(1,(dimLocales_v2[IdUniversidad]=$A58)*(dimLocales_v2[SedePrincipal]=TRUE),dimLocales_v2[UbigeoRENIEC],"")</f>
        <v>80301</v>
      </c>
      <c r="L58" s="115" cm="1">
        <f t="array" ref="L58">_xlfn.XLOOKUP(1,(dimLocales_v2[IdUniversidad]=$A58)*(dimLocales_v2[SedePrincipal]=TRUE),dimLocales_v2[UbigeoINEI],"")</f>
        <v>90301</v>
      </c>
    </row>
    <row r="59" spans="1:12" x14ac:dyDescent="0.25">
      <c r="A59" s="114">
        <v>58</v>
      </c>
      <c r="B59" s="115" t="s">
        <v>1025</v>
      </c>
      <c r="C59" s="114" t="s">
        <v>1024</v>
      </c>
      <c r="D59" s="114" t="s">
        <v>295</v>
      </c>
      <c r="E59" s="115" t="str" cm="1">
        <f t="array" ref="E59">_xlfn.XLOOKUP(1,(dimLocales_v2[IdUniversidad]=$A59)*(dimLocales_v2[SedePrincipal]=TRUE),dimLocales_v2[Departamento],"")</f>
        <v>Lima</v>
      </c>
      <c r="F59" s="115" t="str" cm="1">
        <f t="array" ref="F59">_xlfn.XLOOKUP(1,(dimLocales_v2[IdUniversidad]=$A59)*(dimLocales_v2[SedePrincipal]=TRUE),dimLocales_v2[Provincia],"")</f>
        <v>Lima</v>
      </c>
      <c r="G59" s="115" t="str" cm="1">
        <f t="array" ref="G59">_xlfn.XLOOKUP(1,(dimLocales_v2[IdUniversidad]=$A59)*(dimLocales_v2[SedePrincipal]=TRUE),dimLocales_v2[Distrito],"")</f>
        <v>La Molina</v>
      </c>
      <c r="H59" s="115" t="str" cm="1">
        <f t="array" ref="H59">_xlfn.XLOOKUP(1,(dimLocales_v2[IdUniversidad]=$A59)*(dimLocales_v2[SedePrincipal]=TRUE),dimLocales_v2[Direccion],"")</f>
        <v>Avenida Los Frutales Nº 954</v>
      </c>
      <c r="I59" s="115" cm="1">
        <f t="array" ref="I59">_xlfn.XLOOKUP(1,(dimLocales_v2[IdUniversidad]=$A59)*(dimLocales_v2[SedePrincipal]=TRUE),dimLocales_v2[Latitud],"")</f>
        <v>-12.0716313</v>
      </c>
      <c r="J59" s="115" cm="1">
        <f t="array" ref="J59">_xlfn.XLOOKUP(1,(dimLocales_v2[IdUniversidad]=$A59)*(dimLocales_v2[SedePrincipal]=TRUE),dimLocales_v2[Longitud],"")</f>
        <v>-76.965052900000003</v>
      </c>
      <c r="K59" s="115" cm="1">
        <f t="array" ref="K59">_xlfn.XLOOKUP(1,(dimLocales_v2[IdUniversidad]=$A59)*(dimLocales_v2[SedePrincipal]=TRUE),dimLocales_v2[UbigeoRENIEC],"")</f>
        <v>140110</v>
      </c>
      <c r="L59" s="115" cm="1">
        <f t="array" ref="L59">_xlfn.XLOOKUP(1,(dimLocales_v2[IdUniversidad]=$A59)*(dimLocales_v2[SedePrincipal]=TRUE),dimLocales_v2[UbigeoINEI],"")</f>
        <v>150114</v>
      </c>
    </row>
    <row r="60" spans="1:12" x14ac:dyDescent="0.25">
      <c r="A60" s="114">
        <v>59</v>
      </c>
      <c r="B60" s="115" t="s">
        <v>1023</v>
      </c>
      <c r="C60" s="114" t="s">
        <v>1022</v>
      </c>
      <c r="D60" s="114" t="s">
        <v>266</v>
      </c>
      <c r="E60" s="115" t="str" cm="1">
        <f t="array" ref="E60">_xlfn.XLOOKUP(1,(dimLocales_v2[IdUniversidad]=$A60)*(dimLocales_v2[SedePrincipal]=TRUE),dimLocales_v2[Departamento],"")</f>
        <v>Ayacucho</v>
      </c>
      <c r="F60" s="115" t="str" cm="1">
        <f t="array" ref="F60">_xlfn.XLOOKUP(1,(dimLocales_v2[IdUniversidad]=$A60)*(dimLocales_v2[SedePrincipal]=TRUE),dimLocales_v2[Provincia],"")</f>
        <v>Huanta</v>
      </c>
      <c r="G60" s="115" t="str" cm="1">
        <f t="array" ref="G60">_xlfn.XLOOKUP(1,(dimLocales_v2[IdUniversidad]=$A60)*(dimLocales_v2[SedePrincipal]=TRUE),dimLocales_v2[Distrito],"")</f>
        <v>Huanta</v>
      </c>
      <c r="H60" s="115" t="str" cm="1">
        <f t="array" ref="H60">_xlfn.XLOOKUP(1,(dimLocales_v2[IdUniversidad]=$A60)*(dimLocales_v2[SedePrincipal]=TRUE),dimLocales_v2[Direccion],"")</f>
        <v>Jr. Razuhuillca Nº 624</v>
      </c>
      <c r="I60" s="115" cm="1">
        <f t="array" ref="I60">_xlfn.XLOOKUP(1,(dimLocales_v2[IdUniversidad]=$A60)*(dimLocales_v2[SedePrincipal]=TRUE),dimLocales_v2[Latitud],"")</f>
        <v>-12.9366062</v>
      </c>
      <c r="J60" s="115" cm="1">
        <f t="array" ref="J60">_xlfn.XLOOKUP(1,(dimLocales_v2[IdUniversidad]=$A60)*(dimLocales_v2[SedePrincipal]=TRUE),dimLocales_v2[Longitud],"")</f>
        <v>-74.243975000000006</v>
      </c>
      <c r="K60" s="115" cm="1">
        <f t="array" ref="K60">_xlfn.XLOOKUP(1,(dimLocales_v2[IdUniversidad]=$A60)*(dimLocales_v2[SedePrincipal]=TRUE),dimLocales_v2[UbigeoRENIEC],"")</f>
        <v>50301</v>
      </c>
      <c r="L60" s="115" cm="1">
        <f t="array" ref="L60">_xlfn.XLOOKUP(1,(dimLocales_v2[IdUniversidad]=$A60)*(dimLocales_v2[SedePrincipal]=TRUE),dimLocales_v2[UbigeoINEI],"")</f>
        <v>50401</v>
      </c>
    </row>
    <row r="61" spans="1:12" x14ac:dyDescent="0.25">
      <c r="A61" s="114">
        <v>60</v>
      </c>
      <c r="B61" s="115" t="s">
        <v>1021</v>
      </c>
      <c r="C61" s="114" t="s">
        <v>1020</v>
      </c>
      <c r="D61" s="114" t="s">
        <v>295</v>
      </c>
      <c r="E61" s="115" t="str" cm="1">
        <f t="array" ref="E61">_xlfn.XLOOKUP(1,(dimLocales_v2[IdUniversidad]=$A61)*(dimLocales_v2[SedePrincipal]=TRUE),dimLocales_v2[Departamento],"")</f>
        <v>Lima</v>
      </c>
      <c r="F61" s="115" t="str" cm="1">
        <f t="array" ref="F61">_xlfn.XLOOKUP(1,(dimLocales_v2[IdUniversidad]=$A61)*(dimLocales_v2[SedePrincipal]=TRUE),dimLocales_v2[Provincia],"")</f>
        <v>Lima</v>
      </c>
      <c r="G61" s="115" t="str" cm="1">
        <f t="array" ref="G61">_xlfn.XLOOKUP(1,(dimLocales_v2[IdUniversidad]=$A61)*(dimLocales_v2[SedePrincipal]=TRUE),dimLocales_v2[Distrito],"")</f>
        <v>Santiago de Surco</v>
      </c>
      <c r="H61" s="115" t="str" cm="1">
        <f t="array" ref="H61">_xlfn.XLOOKUP(1,(dimLocales_v2[IdUniversidad]=$A61)*(dimLocales_v2[SedePrincipal]=TRUE),dimLocales_v2[Direccion],"")</f>
        <v>Av. Alonso de Molina Nº 1611 URB. Lima Polo And Hunt Club / Av. Prolongación Primavera Nº 2390 / Jr. José Nicolás Rodrigo Nº 440-490 / Av. Primavera Nº 2482 / Calle Los Ficus Nº 136-191 / Jr. Alonso de Molina Nº 1721-1727. Urb. El Sausalito</v>
      </c>
      <c r="I61" s="115" cm="1">
        <f t="array" ref="I61">_xlfn.XLOOKUP(1,(dimLocales_v2[IdUniversidad]=$A61)*(dimLocales_v2[SedePrincipal]=TRUE),dimLocales_v2[Latitud],"")</f>
        <v>-12.104061</v>
      </c>
      <c r="J61" s="115" cm="1">
        <f t="array" ref="J61">_xlfn.XLOOKUP(1,(dimLocales_v2[IdUniversidad]=$A61)*(dimLocales_v2[SedePrincipal]=TRUE),dimLocales_v2[Longitud],"")</f>
        <v>-76.962902</v>
      </c>
      <c r="K61" s="115" cm="1">
        <f t="array" ref="K61">_xlfn.XLOOKUP(1,(dimLocales_v2[IdUniversidad]=$A61)*(dimLocales_v2[SedePrincipal]=TRUE),dimLocales_v2[UbigeoRENIEC],"")</f>
        <v>140130</v>
      </c>
      <c r="L61" s="115" cm="1">
        <f t="array" ref="L61">_xlfn.XLOOKUP(1,(dimLocales_v2[IdUniversidad]=$A61)*(dimLocales_v2[SedePrincipal]=TRUE),dimLocales_v2[UbigeoINEI],"")</f>
        <v>150140</v>
      </c>
    </row>
    <row r="62" spans="1:12" x14ac:dyDescent="0.25">
      <c r="A62" s="114">
        <v>61</v>
      </c>
      <c r="B62" s="115" t="s">
        <v>1019</v>
      </c>
      <c r="C62" s="114" t="s">
        <v>1018</v>
      </c>
      <c r="D62" s="114" t="s">
        <v>295</v>
      </c>
      <c r="E62" s="115" t="str" cm="1">
        <f t="array" ref="E62">_xlfn.XLOOKUP(1,(dimLocales_v2[IdUniversidad]=$A62)*(dimLocales_v2[SedePrincipal]=TRUE),dimLocales_v2[Departamento],"")</f>
        <v>Lima</v>
      </c>
      <c r="F62" s="115" t="str" cm="1">
        <f t="array" ref="F62">_xlfn.XLOOKUP(1,(dimLocales_v2[IdUniversidad]=$A62)*(dimLocales_v2[SedePrincipal]=TRUE),dimLocales_v2[Provincia],"")</f>
        <v>Lima</v>
      </c>
      <c r="G62" s="115" t="str" cm="1">
        <f t="array" ref="G62">_xlfn.XLOOKUP(1,(dimLocales_v2[IdUniversidad]=$A62)*(dimLocales_v2[SedePrincipal]=TRUE),dimLocales_v2[Distrito],"")</f>
        <v>Pueblo Libre</v>
      </c>
      <c r="H62" s="115" t="str" cm="1">
        <f t="array" ref="H62">_xlfn.XLOOKUP(1,(dimLocales_v2[IdUniversidad]=$A62)*(dimLocales_v2[SedePrincipal]=TRUE),dimLocales_v2[Direccion],"")</f>
        <v>Av. Paso De Los Andes 970</v>
      </c>
      <c r="I62" s="115" cm="1">
        <f t="array" ref="I62">_xlfn.XLOOKUP(1,(dimLocales_v2[IdUniversidad]=$A62)*(dimLocales_v2[SedePrincipal]=TRUE),dimLocales_v2[Latitud],"")</f>
        <v>-12.070156891646199</v>
      </c>
      <c r="J62" s="115" cm="1">
        <f t="array" ref="J62">_xlfn.XLOOKUP(1,(dimLocales_v2[IdUniversidad]=$A62)*(dimLocales_v2[SedePrincipal]=TRUE),dimLocales_v2[Longitud],"")</f>
        <v>-77.059032758335903</v>
      </c>
      <c r="K62" s="115" cm="1">
        <f t="array" ref="K62">_xlfn.XLOOKUP(1,(dimLocales_v2[IdUniversidad]=$A62)*(dimLocales_v2[SedePrincipal]=TRUE),dimLocales_v2[UbigeoRENIEC],"")</f>
        <v>140117</v>
      </c>
      <c r="L62" s="115" cm="1">
        <f t="array" ref="L62">_xlfn.XLOOKUP(1,(dimLocales_v2[IdUniversidad]=$A62)*(dimLocales_v2[SedePrincipal]=TRUE),dimLocales_v2[UbigeoINEI],"")</f>
        <v>150121</v>
      </c>
    </row>
    <row r="63" spans="1:12" x14ac:dyDescent="0.25">
      <c r="A63" s="114">
        <v>62</v>
      </c>
      <c r="B63" s="115" t="s">
        <v>1017</v>
      </c>
      <c r="C63" s="114" t="s">
        <v>1016</v>
      </c>
      <c r="D63" s="114" t="s">
        <v>295</v>
      </c>
      <c r="E63" s="115" t="str" cm="1">
        <f t="array" ref="E63">_xlfn.XLOOKUP(1,(dimLocales_v2[IdUniversidad]=$A63)*(dimLocales_v2[SedePrincipal]=TRUE),dimLocales_v2[Departamento],"")</f>
        <v>Tacna</v>
      </c>
      <c r="F63" s="115" t="str" cm="1">
        <f t="array" ref="F63">_xlfn.XLOOKUP(1,(dimLocales_v2[IdUniversidad]=$A63)*(dimLocales_v2[SedePrincipal]=TRUE),dimLocales_v2[Provincia],"")</f>
        <v>Tacna</v>
      </c>
      <c r="G63" s="115" t="str" cm="1">
        <f t="array" ref="G63">_xlfn.XLOOKUP(1,(dimLocales_v2[IdUniversidad]=$A63)*(dimLocales_v2[SedePrincipal]=TRUE),dimLocales_v2[Distrito],"")</f>
        <v>Pocollay</v>
      </c>
      <c r="H63" s="115" t="str" cm="1">
        <f t="array" ref="H63">_xlfn.XLOOKUP(1,(dimLocales_v2[IdUniversidad]=$A63)*(dimLocales_v2[SedePrincipal]=TRUE),dimLocales_v2[Direccion],"")</f>
        <v>Calle 28 De Agosto N° 275, Sub Lote A</v>
      </c>
      <c r="I63" s="115" cm="1">
        <f t="array" ref="I63">_xlfn.XLOOKUP(1,(dimLocales_v2[IdUniversidad]=$A63)*(dimLocales_v2[SedePrincipal]=TRUE),dimLocales_v2[Latitud],"")</f>
        <v>-18.005838900000001</v>
      </c>
      <c r="J63" s="115" cm="1">
        <f t="array" ref="J63">_xlfn.XLOOKUP(1,(dimLocales_v2[IdUniversidad]=$A63)*(dimLocales_v2[SedePrincipal]=TRUE),dimLocales_v2[Longitud],"")</f>
        <v>-70.225483800000006</v>
      </c>
      <c r="K63" s="115" cm="1">
        <f t="array" ref="K63">_xlfn.XLOOKUP(1,(dimLocales_v2[IdUniversidad]=$A63)*(dimLocales_v2[SedePrincipal]=TRUE),dimLocales_v2[UbigeoRENIEC],"")</f>
        <v>220109</v>
      </c>
      <c r="L63" s="115" cm="1">
        <f t="array" ref="L63">_xlfn.XLOOKUP(1,(dimLocales_v2[IdUniversidad]=$A63)*(dimLocales_v2[SedePrincipal]=TRUE),dimLocales_v2[UbigeoINEI],"")</f>
        <v>230108</v>
      </c>
    </row>
    <row r="64" spans="1:12" x14ac:dyDescent="0.25">
      <c r="A64" s="114">
        <v>63</v>
      </c>
      <c r="B64" s="115" t="s">
        <v>1015</v>
      </c>
      <c r="C64" s="114" t="s">
        <v>1014</v>
      </c>
      <c r="D64" s="114" t="s">
        <v>295</v>
      </c>
      <c r="E64" s="115" t="str" cm="1">
        <f t="array" ref="E64">_xlfn.XLOOKUP(1,(dimLocales_v2[IdUniversidad]=$A64)*(dimLocales_v2[SedePrincipal]=TRUE),dimLocales_v2[Departamento],"")</f>
        <v>Lima</v>
      </c>
      <c r="F64" s="115" t="str" cm="1">
        <f t="array" ref="F64">_xlfn.XLOOKUP(1,(dimLocales_v2[IdUniversidad]=$A64)*(dimLocales_v2[SedePrincipal]=TRUE),dimLocales_v2[Provincia],"")</f>
        <v>Lima</v>
      </c>
      <c r="G64" s="115" t="str" cm="1">
        <f t="array" ref="G64">_xlfn.XLOOKUP(1,(dimLocales_v2[IdUniversidad]=$A64)*(dimLocales_v2[SedePrincipal]=TRUE),dimLocales_v2[Distrito],"")</f>
        <v>Santiago de Surco</v>
      </c>
      <c r="H64" s="115" t="str" cm="1">
        <f t="array" ref="H64">_xlfn.XLOOKUP(1,(dimLocales_v2[IdUniversidad]=$A64)*(dimLocales_v2[SedePrincipal]=TRUE),dimLocales_v2[Direccion],"")</f>
        <v>Av. Mariscal Castilla 1270</v>
      </c>
      <c r="I64" s="115" cm="1">
        <f t="array" ref="I64">_xlfn.XLOOKUP(1,(dimLocales_v2[IdUniversidad]=$A64)*(dimLocales_v2[SedePrincipal]=TRUE),dimLocales_v2[Latitud],"")</f>
        <v>-12.136397199999999</v>
      </c>
      <c r="J64" s="115" cm="1">
        <f t="array" ref="J64">_xlfn.XLOOKUP(1,(dimLocales_v2[IdUniversidad]=$A64)*(dimLocales_v2[SedePrincipal]=TRUE),dimLocales_v2[Longitud],"")</f>
        <v>-77.005768500000002</v>
      </c>
      <c r="K64" s="115" cm="1">
        <f t="array" ref="K64">_xlfn.XLOOKUP(1,(dimLocales_v2[IdUniversidad]=$A64)*(dimLocales_v2[SedePrincipal]=TRUE),dimLocales_v2[UbigeoRENIEC],"")</f>
        <v>140130</v>
      </c>
      <c r="L64" s="115" cm="1">
        <f t="array" ref="L64">_xlfn.XLOOKUP(1,(dimLocales_v2[IdUniversidad]=$A64)*(dimLocales_v2[SedePrincipal]=TRUE),dimLocales_v2[UbigeoINEI],"")</f>
        <v>150140</v>
      </c>
    </row>
    <row r="65" spans="1:12" x14ac:dyDescent="0.25">
      <c r="A65" s="114">
        <v>64</v>
      </c>
      <c r="B65" s="115" t="s">
        <v>1013</v>
      </c>
      <c r="C65" s="114" t="s">
        <v>1012</v>
      </c>
      <c r="D65" s="114" t="s">
        <v>295</v>
      </c>
      <c r="E65" s="115" t="str" cm="1">
        <f t="array" ref="E65">_xlfn.XLOOKUP(1,(dimLocales_v2[IdUniversidad]=$A65)*(dimLocales_v2[SedePrincipal]=TRUE),dimLocales_v2[Departamento],"")</f>
        <v>Lima</v>
      </c>
      <c r="F65" s="115" t="str" cm="1">
        <f t="array" ref="F65">_xlfn.XLOOKUP(1,(dimLocales_v2[IdUniversidad]=$A65)*(dimLocales_v2[SedePrincipal]=TRUE),dimLocales_v2[Provincia],"")</f>
        <v>Lima</v>
      </c>
      <c r="G65" s="115" t="str" cm="1">
        <f t="array" ref="G65">_xlfn.XLOOKUP(1,(dimLocales_v2[IdUniversidad]=$A65)*(dimLocales_v2[SedePrincipal]=TRUE),dimLocales_v2[Distrito],"")</f>
        <v>Villa El Salvador</v>
      </c>
      <c r="H65" s="115" t="str" cm="1">
        <f t="array" ref="H65">_xlfn.XLOOKUP(1,(dimLocales_v2[IdUniversidad]=$A65)*(dimLocales_v2[SedePrincipal]=TRUE),dimLocales_v2[Direccion],"")</f>
        <v>Carretera Panamericana Sur Km. 16.3, Mz. A, Lote 6</v>
      </c>
      <c r="I65" s="115" cm="1">
        <f t="array" ref="I65">_xlfn.XLOOKUP(1,(dimLocales_v2[IdUniversidad]=$A65)*(dimLocales_v2[SedePrincipal]=TRUE),dimLocales_v2[Latitud],"")</f>
        <v>-12.195467954444201</v>
      </c>
      <c r="J65" s="115" cm="1">
        <f t="array" ref="J65">_xlfn.XLOOKUP(1,(dimLocales_v2[IdUniversidad]=$A65)*(dimLocales_v2[SedePrincipal]=TRUE),dimLocales_v2[Longitud],"")</f>
        <v>-76.971954545051602</v>
      </c>
      <c r="K65" s="115" cm="1">
        <f t="array" ref="K65">_xlfn.XLOOKUP(1,(dimLocales_v2[IdUniversidad]=$A65)*(dimLocales_v2[SedePrincipal]=TRUE),dimLocales_v2[UbigeoRENIEC],"")</f>
        <v>140141</v>
      </c>
      <c r="L65" s="115" cm="1">
        <f t="array" ref="L65">_xlfn.XLOOKUP(1,(dimLocales_v2[IdUniversidad]=$A65)*(dimLocales_v2[SedePrincipal]=TRUE),dimLocales_v2[UbigeoINEI],"")</f>
        <v>150142</v>
      </c>
    </row>
    <row r="66" spans="1:12" x14ac:dyDescent="0.25">
      <c r="A66" s="114">
        <v>65</v>
      </c>
      <c r="B66" s="115" t="s">
        <v>1011</v>
      </c>
      <c r="C66" s="114" t="s">
        <v>1010</v>
      </c>
      <c r="D66" s="114" t="s">
        <v>266</v>
      </c>
      <c r="E66" s="115" t="str" cm="1">
        <f t="array" ref="E66">_xlfn.XLOOKUP(1,(dimLocales_v2[IdUniversidad]=$A66)*(dimLocales_v2[SedePrincipal]=TRUE),dimLocales_v2[Departamento],"")</f>
        <v>Cajamarca</v>
      </c>
      <c r="F66" s="115" t="str" cm="1">
        <f t="array" ref="F66">_xlfn.XLOOKUP(1,(dimLocales_v2[IdUniversidad]=$A66)*(dimLocales_v2[SedePrincipal]=TRUE),dimLocales_v2[Provincia],"")</f>
        <v>Jaén</v>
      </c>
      <c r="G66" s="115" t="str" cm="1">
        <f t="array" ref="G66">_xlfn.XLOOKUP(1,(dimLocales_v2[IdUniversidad]=$A66)*(dimLocales_v2[SedePrincipal]=TRUE),dimLocales_v2[Distrito],"")</f>
        <v>Jaén</v>
      </c>
      <c r="H66" s="115" t="str" cm="1">
        <f t="array" ref="H66">_xlfn.XLOOKUP(1,(dimLocales_v2[IdUniversidad]=$A66)*(dimLocales_v2[SedePrincipal]=TRUE),dimLocales_v2[Direccion],"")</f>
        <v>Ubic. Rur. Yanayacu II Lote 2 U.C. 025990 Sector Yanayacu, Jaén</v>
      </c>
      <c r="I66" s="115" cm="1">
        <f t="array" ref="I66">_xlfn.XLOOKUP(1,(dimLocales_v2[IdUniversidad]=$A66)*(dimLocales_v2[SedePrincipal]=TRUE),dimLocales_v2[Latitud],"")</f>
        <v>-5.6737099999999998</v>
      </c>
      <c r="J66" s="115" cm="1">
        <f t="array" ref="J66">_xlfn.XLOOKUP(1,(dimLocales_v2[IdUniversidad]=$A66)*(dimLocales_v2[SedePrincipal]=TRUE),dimLocales_v2[Longitud],"")</f>
        <v>-78.776359999999997</v>
      </c>
      <c r="K66" s="115" cm="1">
        <f t="array" ref="K66">_xlfn.XLOOKUP(1,(dimLocales_v2[IdUniversidad]=$A66)*(dimLocales_v2[SedePrincipal]=TRUE),dimLocales_v2[UbigeoRENIEC],"")</f>
        <v>60801</v>
      </c>
      <c r="L66" s="115" cm="1">
        <f t="array" ref="L66">_xlfn.XLOOKUP(1,(dimLocales_v2[IdUniversidad]=$A66)*(dimLocales_v2[SedePrincipal]=TRUE),dimLocales_v2[UbigeoINEI],"")</f>
        <v>60801</v>
      </c>
    </row>
    <row r="67" spans="1:12" x14ac:dyDescent="0.25">
      <c r="A67" s="114">
        <v>66</v>
      </c>
      <c r="B67" s="115" t="s">
        <v>1009</v>
      </c>
      <c r="C67" s="114" t="s">
        <v>1008</v>
      </c>
      <c r="D67" s="114" t="s">
        <v>295</v>
      </c>
      <c r="E67" s="115" t="str" cm="1">
        <f t="array" ref="E67">_xlfn.XLOOKUP(1,(dimLocales_v2[IdUniversidad]=$A67)*(dimLocales_v2[SedePrincipal]=TRUE),dimLocales_v2[Departamento],"")</f>
        <v>Lima</v>
      </c>
      <c r="F67" s="115" t="str" cm="1">
        <f t="array" ref="F67">_xlfn.XLOOKUP(1,(dimLocales_v2[IdUniversidad]=$A67)*(dimLocales_v2[SedePrincipal]=TRUE),dimLocales_v2[Provincia],"")</f>
        <v>Lima</v>
      </c>
      <c r="G67" s="115" t="str" cm="1">
        <f t="array" ref="G67">_xlfn.XLOOKUP(1,(dimLocales_v2[IdUniversidad]=$A67)*(dimLocales_v2[SedePrincipal]=TRUE),dimLocales_v2[Distrito],"")</f>
        <v>Los Olivos</v>
      </c>
      <c r="H67" s="115" t="str" cm="1">
        <f t="array" ref="H67">_xlfn.XLOOKUP(1,(dimLocales_v2[IdUniversidad]=$A67)*(dimLocales_v2[SedePrincipal]=TRUE),dimLocales_v2[Direccion],"")</f>
        <v>Lt. S/N, Mz. U, Urb. Sol de Oro, 1era Etapa (Esq. Calle Constelaciones y Av. Sol de Oro S/N)</v>
      </c>
      <c r="I67" s="115" cm="1">
        <f t="array" ref="I67">_xlfn.XLOOKUP(1,(dimLocales_v2[IdUniversidad]=$A67)*(dimLocales_v2[SedePrincipal]=TRUE),dimLocales_v2[Latitud],"")</f>
        <v>-11.9999929668452</v>
      </c>
      <c r="J67" s="115" cm="1">
        <f t="array" ref="J67">_xlfn.XLOOKUP(1,(dimLocales_v2[IdUniversidad]=$A67)*(dimLocales_v2[SedePrincipal]=TRUE),dimLocales_v2[Longitud],"")</f>
        <v>-77.063860320237794</v>
      </c>
      <c r="K67" s="115" cm="1">
        <f t="array" ref="K67">_xlfn.XLOOKUP(1,(dimLocales_v2[IdUniversidad]=$A67)*(dimLocales_v2[SedePrincipal]=TRUE),dimLocales_v2[UbigeoRENIEC],"")</f>
        <v>140142</v>
      </c>
      <c r="L67" s="115" cm="1">
        <f t="array" ref="L67">_xlfn.XLOOKUP(1,(dimLocales_v2[IdUniversidad]=$A67)*(dimLocales_v2[SedePrincipal]=TRUE),dimLocales_v2[UbigeoINEI],"")</f>
        <v>150117</v>
      </c>
    </row>
    <row r="68" spans="1:12" x14ac:dyDescent="0.25">
      <c r="A68" s="114">
        <v>67</v>
      </c>
      <c r="B68" s="115" t="s">
        <v>1007</v>
      </c>
      <c r="C68" s="114" t="s">
        <v>1006</v>
      </c>
      <c r="D68" s="114" t="s">
        <v>295</v>
      </c>
      <c r="E68" s="115" t="str" cm="1">
        <f t="array" ref="E68">_xlfn.XLOOKUP(1,(dimLocales_v2[IdUniversidad]=$A68)*(dimLocales_v2[SedePrincipal]=TRUE),dimLocales_v2[Departamento],"")</f>
        <v>Lambayeque</v>
      </c>
      <c r="F68" s="115" t="str" cm="1">
        <f t="array" ref="F68">_xlfn.XLOOKUP(1,(dimLocales_v2[IdUniversidad]=$A68)*(dimLocales_v2[SedePrincipal]=TRUE),dimLocales_v2[Provincia],"")</f>
        <v>Chiclayo</v>
      </c>
      <c r="G68" s="115" t="str" cm="1">
        <f t="array" ref="G68">_xlfn.XLOOKUP(1,(dimLocales_v2[IdUniversidad]=$A68)*(dimLocales_v2[SedePrincipal]=TRUE),dimLocales_v2[Distrito],"")</f>
        <v>Chiclayo</v>
      </c>
      <c r="H68" s="115" t="str" cm="1">
        <f t="array" ref="H68">_xlfn.XLOOKUP(1,(dimLocales_v2[IdUniversidad]=$A68)*(dimLocales_v2[SedePrincipal]=TRUE),dimLocales_v2[Direccion],"")</f>
        <v>Av. San Josemaría Escrivá De Balaguer N°. 855</v>
      </c>
      <c r="I68" s="115" cm="1">
        <f t="array" ref="I68">_xlfn.XLOOKUP(1,(dimLocales_v2[IdUniversidad]=$A68)*(dimLocales_v2[SedePrincipal]=TRUE),dimLocales_v2[Latitud],"")</f>
        <v>-6.76034413048421</v>
      </c>
      <c r="J68" s="115" cm="1">
        <f t="array" ref="J68">_xlfn.XLOOKUP(1,(dimLocales_v2[IdUniversidad]=$A68)*(dimLocales_v2[SedePrincipal]=TRUE),dimLocales_v2[Longitud],"")</f>
        <v>-79.863055478504194</v>
      </c>
      <c r="K68" s="115" cm="1">
        <f t="array" ref="K68">_xlfn.XLOOKUP(1,(dimLocales_v2[IdUniversidad]=$A68)*(dimLocales_v2[SedePrincipal]=TRUE),dimLocales_v2[UbigeoRENIEC],"")</f>
        <v>130101</v>
      </c>
      <c r="L68" s="115" cm="1">
        <f t="array" ref="L68">_xlfn.XLOOKUP(1,(dimLocales_v2[IdUniversidad]=$A68)*(dimLocales_v2[SedePrincipal]=TRUE),dimLocales_v2[UbigeoINEI],"")</f>
        <v>140101</v>
      </c>
    </row>
    <row r="69" spans="1:12" x14ac:dyDescent="0.25">
      <c r="A69" s="114">
        <v>68</v>
      </c>
      <c r="B69" s="115" t="s">
        <v>1005</v>
      </c>
      <c r="C69" s="114" t="s">
        <v>1004</v>
      </c>
      <c r="D69" s="114" t="s">
        <v>295</v>
      </c>
      <c r="E69" s="115" t="str" cm="1">
        <f t="array" ref="E69">_xlfn.XLOOKUP(1,(dimLocales_v2[IdUniversidad]=$A69)*(dimLocales_v2[SedePrincipal]=TRUE),dimLocales_v2[Departamento],"")</f>
        <v>Apurímac</v>
      </c>
      <c r="F69" s="115" t="str" cm="1">
        <f t="array" ref="F69">_xlfn.XLOOKUP(1,(dimLocales_v2[IdUniversidad]=$A69)*(dimLocales_v2[SedePrincipal]=TRUE),dimLocales_v2[Provincia],"")</f>
        <v>Abancay</v>
      </c>
      <c r="G69" s="115" t="str" cm="1">
        <f t="array" ref="G69">_xlfn.XLOOKUP(1,(dimLocales_v2[IdUniversidad]=$A69)*(dimLocales_v2[SedePrincipal]=TRUE),dimLocales_v2[Distrito],"")</f>
        <v>Abancay</v>
      </c>
      <c r="H69" s="115" t="str" cm="1">
        <f t="array" ref="H69">_xlfn.XLOOKUP(1,(dimLocales_v2[IdUniversidad]=$A69)*(dimLocales_v2[SedePrincipal]=TRUE),dimLocales_v2[Direccion],"")</f>
        <v>Av. Perú N° 700</v>
      </c>
      <c r="I69" s="115" cm="1">
        <f t="array" ref="I69">_xlfn.XLOOKUP(1,(dimLocales_v2[IdUniversidad]=$A69)*(dimLocales_v2[SedePrincipal]=TRUE),dimLocales_v2[Latitud],"")</f>
        <v>-13.632299803</v>
      </c>
      <c r="J69" s="115" cm="1">
        <f t="array" ref="J69">_xlfn.XLOOKUP(1,(dimLocales_v2[IdUniversidad]=$A69)*(dimLocales_v2[SedePrincipal]=TRUE),dimLocales_v2[Longitud],"")</f>
        <v>-72.887159417999996</v>
      </c>
      <c r="K69" s="115" cm="1">
        <f t="array" ref="K69">_xlfn.XLOOKUP(1,(dimLocales_v2[IdUniversidad]=$A69)*(dimLocales_v2[SedePrincipal]=TRUE),dimLocales_v2[UbigeoRENIEC],"")</f>
        <v>30101</v>
      </c>
      <c r="L69" s="115" cm="1">
        <f t="array" ref="L69">_xlfn.XLOOKUP(1,(dimLocales_v2[IdUniversidad]=$A69)*(dimLocales_v2[SedePrincipal]=TRUE),dimLocales_v2[UbigeoINEI],"")</f>
        <v>30101</v>
      </c>
    </row>
    <row r="70" spans="1:12" x14ac:dyDescent="0.25">
      <c r="A70" s="114">
        <v>70</v>
      </c>
      <c r="B70" s="115" t="s">
        <v>93</v>
      </c>
      <c r="C70" s="114" t="s">
        <v>417</v>
      </c>
      <c r="D70" s="114" t="s">
        <v>295</v>
      </c>
      <c r="E70" s="115" t="str" cm="1">
        <f t="array" ref="E70">_xlfn.XLOOKUP(1,(dimLocales_v2[IdUniversidad]=$A70)*(dimLocales_v2[SedePrincipal]=TRUE),dimLocales_v2[Departamento],"")</f>
        <v>Lima</v>
      </c>
      <c r="F70" s="115" t="str" cm="1">
        <f t="array" ref="F70">_xlfn.XLOOKUP(1,(dimLocales_v2[IdUniversidad]=$A70)*(dimLocales_v2[SedePrincipal]=TRUE),dimLocales_v2[Provincia],"")</f>
        <v>Lima</v>
      </c>
      <c r="G70" s="115" t="str" cm="1">
        <f t="array" ref="G70">_xlfn.XLOOKUP(1,(dimLocales_v2[IdUniversidad]=$A70)*(dimLocales_v2[SedePrincipal]=TRUE),dimLocales_v2[Distrito],"")</f>
        <v>Barranco</v>
      </c>
      <c r="H70" s="115" t="str" cm="1">
        <f t="array" ref="H70">_xlfn.XLOOKUP(1,(dimLocales_v2[IdUniversidad]=$A70)*(dimLocales_v2[SedePrincipal]=TRUE),dimLocales_v2[Direccion],"")</f>
        <v>Jirón Medrano Silva N° 165</v>
      </c>
      <c r="I70" s="115" cm="1">
        <f t="array" ref="I70">_xlfn.XLOOKUP(1,(dimLocales_v2[IdUniversidad]=$A70)*(dimLocales_v2[SedePrincipal]=TRUE),dimLocales_v2[Latitud],"")</f>
        <v>-12.135109110440199</v>
      </c>
      <c r="J70" s="115" cm="1">
        <f t="array" ref="J70">_xlfn.XLOOKUP(1,(dimLocales_v2[IdUniversidad]=$A70)*(dimLocales_v2[SedePrincipal]=TRUE),dimLocales_v2[Longitud],"")</f>
        <v>-77.021953298741906</v>
      </c>
      <c r="K70" s="115" cm="1">
        <f t="array" ref="K70">_xlfn.XLOOKUP(1,(dimLocales_v2[IdUniversidad]=$A70)*(dimLocales_v2[SedePrincipal]=TRUE),dimLocales_v2[UbigeoRENIEC],"")</f>
        <v>140125</v>
      </c>
      <c r="L70" s="115" cm="1">
        <f t="array" ref="L70">_xlfn.XLOOKUP(1,(dimLocales_v2[IdUniversidad]=$A70)*(dimLocales_v2[SedePrincipal]=TRUE),dimLocales_v2[UbigeoINEI],"")</f>
        <v>150104</v>
      </c>
    </row>
    <row r="71" spans="1:12" x14ac:dyDescent="0.25">
      <c r="A71" s="114">
        <v>71</v>
      </c>
      <c r="B71" s="115" t="s">
        <v>1003</v>
      </c>
      <c r="C71" s="114" t="s">
        <v>1002</v>
      </c>
      <c r="D71" s="114" t="s">
        <v>295</v>
      </c>
      <c r="E71" s="115" t="str" cm="1">
        <f t="array" ref="E71">_xlfn.XLOOKUP(1,(dimLocales_v2[IdUniversidad]=$A71)*(dimLocales_v2[SedePrincipal]=TRUE),dimLocales_v2[Departamento],"")</f>
        <v>Arequipa</v>
      </c>
      <c r="F71" s="115" t="str" cm="1">
        <f t="array" ref="F71">_xlfn.XLOOKUP(1,(dimLocales_v2[IdUniversidad]=$A71)*(dimLocales_v2[SedePrincipal]=TRUE),dimLocales_v2[Provincia],"")</f>
        <v>Arequipa</v>
      </c>
      <c r="G71" s="115" t="str" cm="1">
        <f t="array" ref="G71">_xlfn.XLOOKUP(1,(dimLocales_v2[IdUniversidad]=$A71)*(dimLocales_v2[SedePrincipal]=TRUE),dimLocales_v2[Distrito],"")</f>
        <v>Arequipa</v>
      </c>
      <c r="H71" s="115" t="str" cm="1">
        <f t="array" ref="H71">_xlfn.XLOOKUP(1,(dimLocales_v2[IdUniversidad]=$A71)*(dimLocales_v2[SedePrincipal]=TRUE),dimLocales_v2[Direccion],"")</f>
        <v>Urb. Campiña Paisajista H-32</v>
      </c>
      <c r="I71" s="115" cm="1">
        <f t="array" ref="I71">_xlfn.XLOOKUP(1,(dimLocales_v2[IdUniversidad]=$A71)*(dimLocales_v2[SedePrincipal]=TRUE),dimLocales_v2[Latitud],"")</f>
        <v>-16.390138400000001</v>
      </c>
      <c r="J71" s="115" cm="1">
        <f t="array" ref="J71">_xlfn.XLOOKUP(1,(dimLocales_v2[IdUniversidad]=$A71)*(dimLocales_v2[SedePrincipal]=TRUE),dimLocales_v2[Longitud],"")</f>
        <v>-71.535716100000002</v>
      </c>
      <c r="K71" s="115" cm="1">
        <f t="array" ref="K71">_xlfn.XLOOKUP(1,(dimLocales_v2[IdUniversidad]=$A71)*(dimLocales_v2[SedePrincipal]=TRUE),dimLocales_v2[UbigeoRENIEC],"")</f>
        <v>40101</v>
      </c>
      <c r="L71" s="115" cm="1">
        <f t="array" ref="L71">_xlfn.XLOOKUP(1,(dimLocales_v2[IdUniversidad]=$A71)*(dimLocales_v2[SedePrincipal]=TRUE),dimLocales_v2[UbigeoINEI],"")</f>
        <v>40101</v>
      </c>
    </row>
    <row r="72" spans="1:12" x14ac:dyDescent="0.25">
      <c r="A72" s="114">
        <v>72</v>
      </c>
      <c r="B72" s="115" t="s">
        <v>1001</v>
      </c>
      <c r="C72" s="114" t="s">
        <v>1000</v>
      </c>
      <c r="D72" s="114" t="s">
        <v>295</v>
      </c>
      <c r="E72" s="115" t="str" cm="1">
        <f t="array" ref="E72">_xlfn.XLOOKUP(1,(dimLocales_v2[IdUniversidad]=$A72)*(dimLocales_v2[SedePrincipal]=TRUE),dimLocales_v2[Departamento],"")</f>
        <v>Arequipa</v>
      </c>
      <c r="F72" s="115" t="str" cm="1">
        <f t="array" ref="F72">_xlfn.XLOOKUP(1,(dimLocales_v2[IdUniversidad]=$A72)*(dimLocales_v2[SedePrincipal]=TRUE),dimLocales_v2[Provincia],"")</f>
        <v>Arequipa</v>
      </c>
      <c r="G72" s="115" t="str" cm="1">
        <f t="array" ref="G72">_xlfn.XLOOKUP(1,(dimLocales_v2[IdUniversidad]=$A72)*(dimLocales_v2[SedePrincipal]=TRUE),dimLocales_v2[Distrito],"")</f>
        <v>Arequipa</v>
      </c>
      <c r="H72" s="115" t="str" cm="1">
        <f t="array" ref="H72">_xlfn.XLOOKUP(1,(dimLocales_v2[IdUniversidad]=$A72)*(dimLocales_v2[SedePrincipal]=TRUE),dimLocales_v2[Direccion],"")</f>
        <v>Avenida Alfonso Ugarte N° 517</v>
      </c>
      <c r="I72" s="115" cm="1">
        <f t="array" ref="I72">_xlfn.XLOOKUP(1,(dimLocales_v2[IdUniversidad]=$A72)*(dimLocales_v2[SedePrincipal]=TRUE),dimLocales_v2[Latitud],"")</f>
        <v>-16.424163</v>
      </c>
      <c r="J72" s="115" cm="1">
        <f t="array" ref="J72">_xlfn.XLOOKUP(1,(dimLocales_v2[IdUniversidad]=$A72)*(dimLocales_v2[SedePrincipal]=TRUE),dimLocales_v2[Longitud],"")</f>
        <v>-71.556191999999996</v>
      </c>
      <c r="K72" s="115" cm="1">
        <f t="array" ref="K72">_xlfn.XLOOKUP(1,(dimLocales_v2[IdUniversidad]=$A72)*(dimLocales_v2[SedePrincipal]=TRUE),dimLocales_v2[UbigeoRENIEC],"")</f>
        <v>40101</v>
      </c>
      <c r="L72" s="115" cm="1">
        <f t="array" ref="L72">_xlfn.XLOOKUP(1,(dimLocales_v2[IdUniversidad]=$A72)*(dimLocales_v2[SedePrincipal]=TRUE),dimLocales_v2[UbigeoINEI],"")</f>
        <v>40101</v>
      </c>
    </row>
    <row r="73" spans="1:12" x14ac:dyDescent="0.25">
      <c r="A73" s="114">
        <v>73</v>
      </c>
      <c r="B73" s="115" t="s">
        <v>999</v>
      </c>
      <c r="C73" s="114" t="s">
        <v>998</v>
      </c>
      <c r="D73" s="114" t="s">
        <v>295</v>
      </c>
      <c r="E73" s="115" t="str" cm="1">
        <f t="array" ref="E73">_xlfn.XLOOKUP(1,(dimLocales_v2[IdUniversidad]=$A73)*(dimLocales_v2[SedePrincipal]=TRUE),dimLocales_v2[Departamento],"")</f>
        <v>Loreto</v>
      </c>
      <c r="F73" s="115" t="str" cm="1">
        <f t="array" ref="F73">_xlfn.XLOOKUP(1,(dimLocales_v2[IdUniversidad]=$A73)*(dimLocales_v2[SedePrincipal]=TRUE),dimLocales_v2[Provincia],"")</f>
        <v>Maynas</v>
      </c>
      <c r="G73" s="115" t="str" cm="1">
        <f t="array" ref="G73">_xlfn.XLOOKUP(1,(dimLocales_v2[IdUniversidad]=$A73)*(dimLocales_v2[SedePrincipal]=TRUE),dimLocales_v2[Distrito],"")</f>
        <v>Iquitos</v>
      </c>
      <c r="H73" s="115" t="str" cm="1">
        <f t="array" ref="H73">_xlfn.XLOOKUP(1,(dimLocales_v2[IdUniversidad]=$A73)*(dimLocales_v2[SedePrincipal]=TRUE),dimLocales_v2[Direccion],"")</f>
        <v>Calle San Martin N° 230</v>
      </c>
      <c r="I73" s="115" cm="1">
        <f t="array" ref="I73">_xlfn.XLOOKUP(1,(dimLocales_v2[IdUniversidad]=$A73)*(dimLocales_v2[SedePrincipal]=TRUE),dimLocales_v2[Latitud],"")</f>
        <v>-3.7545929</v>
      </c>
      <c r="J73" s="115" cm="1">
        <f t="array" ref="J73">_xlfn.XLOOKUP(1,(dimLocales_v2[IdUniversidad]=$A73)*(dimLocales_v2[SedePrincipal]=TRUE),dimLocales_v2[Longitud],"")</f>
        <v>-73.247188699999995</v>
      </c>
      <c r="K73" s="115" cm="1">
        <f t="array" ref="K73">_xlfn.XLOOKUP(1,(dimLocales_v2[IdUniversidad]=$A73)*(dimLocales_v2[SedePrincipal]=TRUE),dimLocales_v2[UbigeoRENIEC],"")</f>
        <v>150101</v>
      </c>
      <c r="L73" s="115" cm="1">
        <f t="array" ref="L73">_xlfn.XLOOKUP(1,(dimLocales_v2[IdUniversidad]=$A73)*(dimLocales_v2[SedePrincipal]=TRUE),dimLocales_v2[UbigeoINEI],"")</f>
        <v>160101</v>
      </c>
    </row>
    <row r="74" spans="1:12" x14ac:dyDescent="0.25">
      <c r="A74" s="114">
        <v>74</v>
      </c>
      <c r="B74" s="115" t="s">
        <v>997</v>
      </c>
      <c r="C74" s="114" t="s">
        <v>996</v>
      </c>
      <c r="D74" s="114" t="s">
        <v>295</v>
      </c>
      <c r="E74" s="115" t="str" cm="1">
        <f t="array" ref="E74">_xlfn.XLOOKUP(1,(dimLocales_v2[IdUniversidad]=$A74)*(dimLocales_v2[SedePrincipal]=TRUE),dimLocales_v2[Departamento],"")</f>
        <v>Arequipa</v>
      </c>
      <c r="F74" s="115" t="str" cm="1">
        <f t="array" ref="F74">_xlfn.XLOOKUP(1,(dimLocales_v2[IdUniversidad]=$A74)*(dimLocales_v2[SedePrincipal]=TRUE),dimLocales_v2[Provincia],"")</f>
        <v>Arequipa</v>
      </c>
      <c r="G74" s="115" t="str" cm="1">
        <f t="array" ref="G74">_xlfn.XLOOKUP(1,(dimLocales_v2[IdUniversidad]=$A74)*(dimLocales_v2[SedePrincipal]=TRUE),dimLocales_v2[Distrito],"")</f>
        <v>Tiabaya</v>
      </c>
      <c r="H74" s="115" t="str" cm="1">
        <f t="array" ref="H74">_xlfn.XLOOKUP(1,(dimLocales_v2[IdUniversidad]=$A74)*(dimLocales_v2[SedePrincipal]=TRUE),dimLocales_v2[Direccion],"")</f>
        <v>Prolongación Calle Huascar S/N - Pago de Humaro</v>
      </c>
      <c r="I74" s="115" cm="1">
        <f t="array" ref="I74">_xlfn.XLOOKUP(1,(dimLocales_v2[IdUniversidad]=$A74)*(dimLocales_v2[SedePrincipal]=TRUE),dimLocales_v2[Latitud],"")</f>
        <v>-16.449571899999999</v>
      </c>
      <c r="J74" s="115" cm="1">
        <f t="array" ref="J74">_xlfn.XLOOKUP(1,(dimLocales_v2[IdUniversidad]=$A74)*(dimLocales_v2[SedePrincipal]=TRUE),dimLocales_v2[Longitud],"")</f>
        <v>-71.600256999999999</v>
      </c>
      <c r="K74" s="115" cm="1">
        <f t="array" ref="K74">_xlfn.XLOOKUP(1,(dimLocales_v2[IdUniversidad]=$A74)*(dimLocales_v2[SedePrincipal]=TRUE),dimLocales_v2[UbigeoRENIEC],"")</f>
        <v>40120</v>
      </c>
      <c r="L74" s="115" cm="1">
        <f t="array" ref="L74">_xlfn.XLOOKUP(1,(dimLocales_v2[IdUniversidad]=$A74)*(dimLocales_v2[SedePrincipal]=TRUE),dimLocales_v2[UbigeoINEI],"")</f>
        <v>40123</v>
      </c>
    </row>
    <row r="75" spans="1:12" x14ac:dyDescent="0.25">
      <c r="A75" s="114">
        <v>76</v>
      </c>
      <c r="B75" s="115" t="s">
        <v>995</v>
      </c>
      <c r="C75" s="114" t="s">
        <v>994</v>
      </c>
      <c r="D75" s="114" t="s">
        <v>295</v>
      </c>
      <c r="E75" s="115" t="str" cm="1">
        <f t="array" ref="E75">_xlfn.XLOOKUP(1,(dimLocales_v2[IdUniversidad]=$A75)*(dimLocales_v2[SedePrincipal]=TRUE),dimLocales_v2[Departamento],"")</f>
        <v>Tacna</v>
      </c>
      <c r="F75" s="115" t="str" cm="1">
        <f t="array" ref="F75">_xlfn.XLOOKUP(1,(dimLocales_v2[IdUniversidad]=$A75)*(dimLocales_v2[SedePrincipal]=TRUE),dimLocales_v2[Provincia],"")</f>
        <v>Tacna</v>
      </c>
      <c r="G75" s="115" t="str" cm="1">
        <f t="array" ref="G75">_xlfn.XLOOKUP(1,(dimLocales_v2[IdUniversidad]=$A75)*(dimLocales_v2[SedePrincipal]=TRUE),dimLocales_v2[Distrito],"")</f>
        <v>Tacna</v>
      </c>
      <c r="H75" s="115" t="str" cm="1">
        <f t="array" ref="H75">_xlfn.XLOOKUP(1,(dimLocales_v2[IdUniversidad]=$A75)*(dimLocales_v2[SedePrincipal]=TRUE),dimLocales_v2[Direccion],"")</f>
        <v>Av. Gregorio Albarracín 500</v>
      </c>
      <c r="I75" s="115" cm="1">
        <f t="array" ref="I75">_xlfn.XLOOKUP(1,(dimLocales_v2[IdUniversidad]=$A75)*(dimLocales_v2[SedePrincipal]=TRUE),dimLocales_v2[Latitud],"")</f>
        <v>-18.016559600000001</v>
      </c>
      <c r="J75" s="115" cm="1">
        <f t="array" ref="J75">_xlfn.XLOOKUP(1,(dimLocales_v2[IdUniversidad]=$A75)*(dimLocales_v2[SedePrincipal]=TRUE),dimLocales_v2[Longitud],"")</f>
        <v>-70.241702500000002</v>
      </c>
      <c r="K75" s="115" cm="1">
        <f t="array" ref="K75">_xlfn.XLOOKUP(1,(dimLocales_v2[IdUniversidad]=$A75)*(dimLocales_v2[SedePrincipal]=TRUE),dimLocales_v2[UbigeoRENIEC],"")</f>
        <v>220101</v>
      </c>
      <c r="L75" s="115" cm="1">
        <f t="array" ref="L75">_xlfn.XLOOKUP(1,(dimLocales_v2[IdUniversidad]=$A75)*(dimLocales_v2[SedePrincipal]=TRUE),dimLocales_v2[UbigeoINEI],"")</f>
        <v>230101</v>
      </c>
    </row>
    <row r="76" spans="1:12" x14ac:dyDescent="0.25">
      <c r="A76" s="114">
        <v>77</v>
      </c>
      <c r="B76" s="115" t="s">
        <v>993</v>
      </c>
      <c r="C76" s="114" t="s">
        <v>992</v>
      </c>
      <c r="D76" s="114" t="s">
        <v>295</v>
      </c>
      <c r="E76" s="115" t="str" cm="1">
        <f t="array" ref="E76">_xlfn.XLOOKUP(1,(dimLocales_v2[IdUniversidad]=$A76)*(dimLocales_v2[SedePrincipal]=TRUE),dimLocales_v2[Departamento],"")</f>
        <v>La Libertad</v>
      </c>
      <c r="F76" s="115" t="str" cm="1">
        <f t="array" ref="F76">_xlfn.XLOOKUP(1,(dimLocales_v2[IdUniversidad]=$A76)*(dimLocales_v2[SedePrincipal]=TRUE),dimLocales_v2[Provincia],"")</f>
        <v>Trujillo</v>
      </c>
      <c r="G76" s="115" t="str" cm="1">
        <f t="array" ref="G76">_xlfn.XLOOKUP(1,(dimLocales_v2[IdUniversidad]=$A76)*(dimLocales_v2[SedePrincipal]=TRUE),dimLocales_v2[Distrito],"")</f>
        <v>Laredo</v>
      </c>
      <c r="H76" s="115" t="str" cm="1">
        <f t="array" ref="H76">_xlfn.XLOOKUP(1,(dimLocales_v2[IdUniversidad]=$A76)*(dimLocales_v2[SedePrincipal]=TRUE),dimLocales_v2[Direccion],"")</f>
        <v>Lote Resultante 1A, Ubicado en la Manzana Z', Urb. Semirústica El Bosque</v>
      </c>
      <c r="I76" s="115" cm="1">
        <f t="array" ref="I76">_xlfn.XLOOKUP(1,(dimLocales_v2[IdUniversidad]=$A76)*(dimLocales_v2[SedePrincipal]=TRUE),dimLocales_v2[Latitud],"")</f>
        <v>-8.1081444999999999</v>
      </c>
      <c r="J76" s="115" cm="1">
        <f t="array" ref="J76">_xlfn.XLOOKUP(1,(dimLocales_v2[IdUniversidad]=$A76)*(dimLocales_v2[SedePrincipal]=TRUE),dimLocales_v2[Longitud],"")</f>
        <v>-78.994370000000004</v>
      </c>
      <c r="K76" s="115" cm="1">
        <f t="array" ref="K76">_xlfn.XLOOKUP(1,(dimLocales_v2[IdUniversidad]=$A76)*(dimLocales_v2[SedePrincipal]=TRUE),dimLocales_v2[UbigeoRENIEC],"")</f>
        <v>120103</v>
      </c>
      <c r="L76" s="115" cm="1">
        <f t="array" ref="L76">_xlfn.XLOOKUP(1,(dimLocales_v2[IdUniversidad]=$A76)*(dimLocales_v2[SedePrincipal]=TRUE),dimLocales_v2[UbigeoINEI],"")</f>
        <v>130106</v>
      </c>
    </row>
    <row r="77" spans="1:12" x14ac:dyDescent="0.25">
      <c r="A77" s="114">
        <v>78</v>
      </c>
      <c r="B77" s="115" t="s">
        <v>991</v>
      </c>
      <c r="C77" s="114" t="s">
        <v>990</v>
      </c>
      <c r="D77" s="114" t="s">
        <v>295</v>
      </c>
      <c r="E77" s="115" t="str" cm="1">
        <f t="array" ref="E77">_xlfn.XLOOKUP(1,(dimLocales_v2[IdUniversidad]=$A77)*(dimLocales_v2[SedePrincipal]=TRUE),dimLocales_v2[Departamento],"")</f>
        <v>Arequipa</v>
      </c>
      <c r="F77" s="115" t="str" cm="1">
        <f t="array" ref="F77">_xlfn.XLOOKUP(1,(dimLocales_v2[IdUniversidad]=$A77)*(dimLocales_v2[SedePrincipal]=TRUE),dimLocales_v2[Provincia],"")</f>
        <v>Arequipa</v>
      </c>
      <c r="G77" s="115" t="str" cm="1">
        <f t="array" ref="G77">_xlfn.XLOOKUP(1,(dimLocales_v2[IdUniversidad]=$A77)*(dimLocales_v2[SedePrincipal]=TRUE),dimLocales_v2[Distrito],"")</f>
        <v>Arequipa</v>
      </c>
      <c r="H77" s="115" t="str" cm="1">
        <f t="array" ref="H77">_xlfn.XLOOKUP(1,(dimLocales_v2[IdUniversidad]=$A77)*(dimLocales_v2[SedePrincipal]=TRUE),dimLocales_v2[Direccion],"")</f>
        <v>Calle Sebastian Barranca 208 Urbanización Santa Isabel</v>
      </c>
      <c r="I77" s="115" cm="1">
        <f t="array" ref="I77">_xlfn.XLOOKUP(1,(dimLocales_v2[IdUniversidad]=$A77)*(dimLocales_v2[SedePrincipal]=TRUE),dimLocales_v2[Latitud],"")</f>
        <v>-16.408321300000001</v>
      </c>
      <c r="J77" s="115" cm="1">
        <f t="array" ref="J77">_xlfn.XLOOKUP(1,(dimLocales_v2[IdUniversidad]=$A77)*(dimLocales_v2[SedePrincipal]=TRUE),dimLocales_v2[Longitud],"")</f>
        <v>-71.528145100000003</v>
      </c>
      <c r="K77" s="115" cm="1">
        <f t="array" ref="K77">_xlfn.XLOOKUP(1,(dimLocales_v2[IdUniversidad]=$A77)*(dimLocales_v2[SedePrincipal]=TRUE),dimLocales_v2[UbigeoRENIEC],"")</f>
        <v>40101</v>
      </c>
      <c r="L77" s="115" cm="1">
        <f t="array" ref="L77">_xlfn.XLOOKUP(1,(dimLocales_v2[IdUniversidad]=$A77)*(dimLocales_v2[SedePrincipal]=TRUE),dimLocales_v2[UbigeoINEI],"")</f>
        <v>40101</v>
      </c>
    </row>
    <row r="78" spans="1:12" x14ac:dyDescent="0.25">
      <c r="A78" s="114">
        <v>79</v>
      </c>
      <c r="B78" s="115" t="s">
        <v>989</v>
      </c>
      <c r="C78" s="114" t="s">
        <v>988</v>
      </c>
      <c r="D78" s="114" t="s">
        <v>295</v>
      </c>
      <c r="E78" s="115" t="str" cm="1">
        <f t="array" ref="E78">_xlfn.XLOOKUP(1,(dimLocales_v2[IdUniversidad]=$A78)*(dimLocales_v2[SedePrincipal]=TRUE),dimLocales_v2[Departamento],"")</f>
        <v>Cajamarca</v>
      </c>
      <c r="F78" s="115" t="str" cm="1">
        <f t="array" ref="F78">_xlfn.XLOOKUP(1,(dimLocales_v2[IdUniversidad]=$A78)*(dimLocales_v2[SedePrincipal]=TRUE),dimLocales_v2[Provincia],"")</f>
        <v>Cajamarca</v>
      </c>
      <c r="G78" s="115" t="str" cm="1">
        <f t="array" ref="G78">_xlfn.XLOOKUP(1,(dimLocales_v2[IdUniversidad]=$A78)*(dimLocales_v2[SedePrincipal]=TRUE),dimLocales_v2[Distrito],"")</f>
        <v>Cajamarca</v>
      </c>
      <c r="H78" s="115" t="str" cm="1">
        <f t="array" ref="H78">_xlfn.XLOOKUP(1,(dimLocales_v2[IdUniversidad]=$A78)*(dimLocales_v2[SedePrincipal]=TRUE),dimLocales_v2[Direccion],"")</f>
        <v>Jr. José Sabogal N° 913</v>
      </c>
      <c r="I78" s="115" cm="1">
        <f t="array" ref="I78">_xlfn.XLOOKUP(1,(dimLocales_v2[IdUniversidad]=$A78)*(dimLocales_v2[SedePrincipal]=TRUE),dimLocales_v2[Latitud],"")</f>
        <v>-7.1565219999999998</v>
      </c>
      <c r="J78" s="115" cm="1">
        <f t="array" ref="J78">_xlfn.XLOOKUP(1,(dimLocales_v2[IdUniversidad]=$A78)*(dimLocales_v2[SedePrincipal]=TRUE),dimLocales_v2[Longitud],"")</f>
        <v>-78.514552199999997</v>
      </c>
      <c r="K78" s="115" cm="1">
        <f t="array" ref="K78">_xlfn.XLOOKUP(1,(dimLocales_v2[IdUniversidad]=$A78)*(dimLocales_v2[SedePrincipal]=TRUE),dimLocales_v2[UbigeoRENIEC],"")</f>
        <v>60101</v>
      </c>
      <c r="L78" s="115" cm="1">
        <f t="array" ref="L78">_xlfn.XLOOKUP(1,(dimLocales_v2[IdUniversidad]=$A78)*(dimLocales_v2[SedePrincipal]=TRUE),dimLocales_v2[UbigeoINEI],"")</f>
        <v>60101</v>
      </c>
    </row>
    <row r="79" spans="1:12" x14ac:dyDescent="0.25">
      <c r="A79" s="114">
        <v>80</v>
      </c>
      <c r="B79" s="115" t="s">
        <v>987</v>
      </c>
      <c r="C79" s="114" t="s">
        <v>986</v>
      </c>
      <c r="D79" s="114" t="s">
        <v>295</v>
      </c>
      <c r="E79" s="115" t="str" cm="1">
        <f t="array" ref="E79">_xlfn.XLOOKUP(1,(dimLocales_v2[IdUniversidad]=$A79)*(dimLocales_v2[SedePrincipal]=TRUE),dimLocales_v2[Departamento],"")</f>
        <v>Ucayali</v>
      </c>
      <c r="F79" s="115" t="str" cm="1">
        <f t="array" ref="F79">_xlfn.XLOOKUP(1,(dimLocales_v2[IdUniversidad]=$A79)*(dimLocales_v2[SedePrincipal]=TRUE),dimLocales_v2[Provincia],"")</f>
        <v>Coronel Portillo</v>
      </c>
      <c r="G79" s="115" t="str" cm="1">
        <f t="array" ref="G79">_xlfn.XLOOKUP(1,(dimLocales_v2[IdUniversidad]=$A79)*(dimLocales_v2[SedePrincipal]=TRUE),dimLocales_v2[Distrito],"")</f>
        <v>Calleria</v>
      </c>
      <c r="H79" s="115" t="str" cm="1">
        <f t="array" ref="H79">_xlfn.XLOOKUP(1,(dimLocales_v2[IdUniversidad]=$A79)*(dimLocales_v2[SedePrincipal]=TRUE),dimLocales_v2[Direccion],"")</f>
        <v>Jr. Coronel Portillo 782-784/ Vargas Guerra 300</v>
      </c>
      <c r="I79" s="115" cm="1">
        <f t="array" ref="I79">_xlfn.XLOOKUP(1,(dimLocales_v2[IdUniversidad]=$A79)*(dimLocales_v2[SedePrincipal]=TRUE),dimLocales_v2[Latitud],"")</f>
        <v>-8.3880890000000008</v>
      </c>
      <c r="J79" s="115" cm="1">
        <f t="array" ref="J79">_xlfn.XLOOKUP(1,(dimLocales_v2[IdUniversidad]=$A79)*(dimLocales_v2[SedePrincipal]=TRUE),dimLocales_v2[Longitud],"")</f>
        <v>-74.531291999999993</v>
      </c>
      <c r="K79" s="115" cm="1">
        <f t="array" ref="K79">_xlfn.XLOOKUP(1,(dimLocales_v2[IdUniversidad]=$A79)*(dimLocales_v2[SedePrincipal]=TRUE),dimLocales_v2[UbigeoRENIEC],"")</f>
        <v>250101</v>
      </c>
      <c r="L79" s="115" cm="1">
        <f t="array" ref="L79">_xlfn.XLOOKUP(1,(dimLocales_v2[IdUniversidad]=$A79)*(dimLocales_v2[SedePrincipal]=TRUE),dimLocales_v2[UbigeoINEI],"")</f>
        <v>250101</v>
      </c>
    </row>
    <row r="80" spans="1:12" x14ac:dyDescent="0.25">
      <c r="A80" s="114">
        <v>81</v>
      </c>
      <c r="B80" s="115" t="s">
        <v>985</v>
      </c>
      <c r="C80" s="114" t="s">
        <v>984</v>
      </c>
      <c r="D80" s="114" t="s">
        <v>295</v>
      </c>
      <c r="E80" s="115" t="str" cm="1">
        <f t="array" ref="E80">_xlfn.XLOOKUP(1,(dimLocales_v2[IdUniversidad]=$A80)*(dimLocales_v2[SedePrincipal]=TRUE),dimLocales_v2[Departamento],"")</f>
        <v>Ica</v>
      </c>
      <c r="F80" s="115" t="str" cm="1">
        <f t="array" ref="F80">_xlfn.XLOOKUP(1,(dimLocales_v2[IdUniversidad]=$A80)*(dimLocales_v2[SedePrincipal]=TRUE),dimLocales_v2[Provincia],"")</f>
        <v>Ica</v>
      </c>
      <c r="G80" s="115" t="str" cm="1">
        <f t="array" ref="G80">_xlfn.XLOOKUP(1,(dimLocales_v2[IdUniversidad]=$A80)*(dimLocales_v2[SedePrincipal]=TRUE),dimLocales_v2[Distrito],"")</f>
        <v>Ica</v>
      </c>
      <c r="H80" s="115" t="str" cm="1">
        <f t="array" ref="H80">_xlfn.XLOOKUP(1,(dimLocales_v2[IdUniversidad]=$A80)*(dimLocales_v2[SedePrincipal]=TRUE),dimLocales_v2[Direccion],"")</f>
        <v>Av. Tupac Amaru 1336</v>
      </c>
      <c r="I80" s="115" cm="1">
        <f t="array" ref="I80">_xlfn.XLOOKUP(1,(dimLocales_v2[IdUniversidad]=$A80)*(dimLocales_v2[SedePrincipal]=TRUE),dimLocales_v2[Latitud],"")</f>
        <v>-14.0767829</v>
      </c>
      <c r="J80" s="115" cm="1">
        <f t="array" ref="J80">_xlfn.XLOOKUP(1,(dimLocales_v2[IdUniversidad]=$A80)*(dimLocales_v2[SedePrincipal]=TRUE),dimLocales_v2[Longitud],"")</f>
        <v>-75.733898100000005</v>
      </c>
      <c r="K80" s="115" cm="1">
        <f t="array" ref="K80">_xlfn.XLOOKUP(1,(dimLocales_v2[IdUniversidad]=$A80)*(dimLocales_v2[SedePrincipal]=TRUE),dimLocales_v2[UbigeoRENIEC],"")</f>
        <v>100101</v>
      </c>
      <c r="L80" s="115" cm="1">
        <f t="array" ref="L80">_xlfn.XLOOKUP(1,(dimLocales_v2[IdUniversidad]=$A80)*(dimLocales_v2[SedePrincipal]=TRUE),dimLocales_v2[UbigeoINEI],"")</f>
        <v>110101</v>
      </c>
    </row>
    <row r="81" spans="1:12" x14ac:dyDescent="0.25">
      <c r="A81" s="114">
        <v>82</v>
      </c>
      <c r="B81" s="115" t="s">
        <v>983</v>
      </c>
      <c r="C81" s="114" t="s">
        <v>900</v>
      </c>
      <c r="D81" s="114" t="s">
        <v>295</v>
      </c>
      <c r="E81" s="115" t="str" cm="1">
        <f t="array" ref="E81">_xlfn.XLOOKUP(1,(dimLocales_v2[IdUniversidad]=$A81)*(dimLocales_v2[SedePrincipal]=TRUE),dimLocales_v2[Departamento],"")</f>
        <v>Lima</v>
      </c>
      <c r="F81" s="115" t="str" cm="1">
        <f t="array" ref="F81">_xlfn.XLOOKUP(1,(dimLocales_v2[IdUniversidad]=$A81)*(dimLocales_v2[SedePrincipal]=TRUE),dimLocales_v2[Provincia],"")</f>
        <v>Cañete</v>
      </c>
      <c r="G81" s="115" t="str" cm="1">
        <f t="array" ref="G81">_xlfn.XLOOKUP(1,(dimLocales_v2[IdUniversidad]=$A81)*(dimLocales_v2[SedePrincipal]=TRUE),dimLocales_v2[Distrito],"")</f>
        <v>San Vicente de Cañete</v>
      </c>
      <c r="H81" s="115" t="str" cm="1">
        <f t="array" ref="H81">_xlfn.XLOOKUP(1,(dimLocales_v2[IdUniversidad]=$A81)*(dimLocales_v2[SedePrincipal]=TRUE),dimLocales_v2[Direccion],"")</f>
        <v>Av. Prolongación Benavides S/N</v>
      </c>
      <c r="I81" s="115" cm="1">
        <f t="array" ref="I81">_xlfn.XLOOKUP(1,(dimLocales_v2[IdUniversidad]=$A81)*(dimLocales_v2[SedePrincipal]=TRUE),dimLocales_v2[Latitud],"")</f>
        <v>-13.073085951757101</v>
      </c>
      <c r="J81" s="115" cm="1">
        <f t="array" ref="J81">_xlfn.XLOOKUP(1,(dimLocales_v2[IdUniversidad]=$A81)*(dimLocales_v2[SedePrincipal]=TRUE),dimLocales_v2[Longitud],"")</f>
        <v>-76.369398592343202</v>
      </c>
      <c r="K81" s="115" cm="1">
        <f t="array" ref="K81">_xlfn.XLOOKUP(1,(dimLocales_v2[IdUniversidad]=$A81)*(dimLocales_v2[SedePrincipal]=TRUE),dimLocales_v2[UbigeoRENIEC],"")</f>
        <v>140401</v>
      </c>
      <c r="L81" s="115" cm="1">
        <f t="array" ref="L81">_xlfn.XLOOKUP(1,(dimLocales_v2[IdUniversidad]=$A81)*(dimLocales_v2[SedePrincipal]=TRUE),dimLocales_v2[UbigeoINEI],"")</f>
        <v>150501</v>
      </c>
    </row>
    <row r="82" spans="1:12" x14ac:dyDescent="0.25">
      <c r="A82" s="114">
        <v>83</v>
      </c>
      <c r="B82" s="115" t="s">
        <v>131</v>
      </c>
      <c r="C82" s="114" t="s">
        <v>283</v>
      </c>
      <c r="D82" s="114" t="s">
        <v>266</v>
      </c>
      <c r="E82" s="115" t="str" cm="1">
        <f t="array" ref="E82">_xlfn.XLOOKUP(1,(dimLocales_v2[IdUniversidad]=$A82)*(dimLocales_v2[SedePrincipal]=TRUE),dimLocales_v2[Departamento],"")</f>
        <v>Ica</v>
      </c>
      <c r="F82" s="115" t="str" cm="1">
        <f t="array" ref="F82">_xlfn.XLOOKUP(1,(dimLocales_v2[IdUniversidad]=$A82)*(dimLocales_v2[SedePrincipal]=TRUE),dimLocales_v2[Provincia],"")</f>
        <v>Ica</v>
      </c>
      <c r="G82" s="115" t="str" cm="1">
        <f t="array" ref="G82">_xlfn.XLOOKUP(1,(dimLocales_v2[IdUniversidad]=$A82)*(dimLocales_v2[SedePrincipal]=TRUE),dimLocales_v2[Distrito],"")</f>
        <v>Ica</v>
      </c>
      <c r="H82" s="115" t="str" cm="1">
        <f t="array" ref="H82">_xlfn.XLOOKUP(1,(dimLocales_v2[IdUniversidad]=$A82)*(dimLocales_v2[SedePrincipal]=TRUE),dimLocales_v2[Direccion],"")</f>
        <v>Av. Los Maestros S/N</v>
      </c>
      <c r="I82" s="115" cm="1">
        <f t="array" ref="I82">_xlfn.XLOOKUP(1,(dimLocales_v2[IdUniversidad]=$A82)*(dimLocales_v2[SedePrincipal]=TRUE),dimLocales_v2[Latitud],"")</f>
        <v>-14.087132199999999</v>
      </c>
      <c r="J82" s="115" cm="1">
        <f t="array" ref="J82">_xlfn.XLOOKUP(1,(dimLocales_v2[IdUniversidad]=$A82)*(dimLocales_v2[SedePrincipal]=TRUE),dimLocales_v2[Longitud],"")</f>
        <v>-75.733514799999995</v>
      </c>
      <c r="K82" s="115" cm="1">
        <f t="array" ref="K82">_xlfn.XLOOKUP(1,(dimLocales_v2[IdUniversidad]=$A82)*(dimLocales_v2[SedePrincipal]=TRUE),dimLocales_v2[UbigeoRENIEC],"")</f>
        <v>100101</v>
      </c>
      <c r="L82" s="115" cm="1">
        <f t="array" ref="L82">_xlfn.XLOOKUP(1,(dimLocales_v2[IdUniversidad]=$A82)*(dimLocales_v2[SedePrincipal]=TRUE),dimLocales_v2[UbigeoINEI],"")</f>
        <v>110101</v>
      </c>
    </row>
    <row r="83" spans="1:12" x14ac:dyDescent="0.25">
      <c r="A83" s="114">
        <v>84</v>
      </c>
      <c r="B83" s="115" t="s">
        <v>982</v>
      </c>
      <c r="C83" s="114" t="s">
        <v>981</v>
      </c>
      <c r="D83" s="114" t="s">
        <v>295</v>
      </c>
      <c r="E83" s="115" t="str" cm="1">
        <f t="array" ref="E83">_xlfn.XLOOKUP(1,(dimLocales_v2[IdUniversidad]=$A83)*(dimLocales_v2[SedePrincipal]=TRUE),dimLocales_v2[Departamento],"")</f>
        <v>Ica</v>
      </c>
      <c r="F83" s="115" t="str" cm="1">
        <f t="array" ref="F83">_xlfn.XLOOKUP(1,(dimLocales_v2[IdUniversidad]=$A83)*(dimLocales_v2[SedePrincipal]=TRUE),dimLocales_v2[Provincia],"")</f>
        <v>Chincha</v>
      </c>
      <c r="G83" s="115" t="str" cm="1">
        <f t="array" ref="G83">_xlfn.XLOOKUP(1,(dimLocales_v2[IdUniversidad]=$A83)*(dimLocales_v2[SedePrincipal]=TRUE),dimLocales_v2[Distrito],"")</f>
        <v>Chincha Alta</v>
      </c>
      <c r="H83" s="115" t="str" cm="1">
        <f t="array" ref="H83">_xlfn.XLOOKUP(1,(dimLocales_v2[IdUniversidad]=$A83)*(dimLocales_v2[SedePrincipal]=TRUE),dimLocales_v2[Direccion],"")</f>
        <v>Avenida Abelardo Alva Maúrtua Nº 489 - 499</v>
      </c>
      <c r="I83" s="115" cm="1">
        <f t="array" ref="I83">_xlfn.XLOOKUP(1,(dimLocales_v2[IdUniversidad]=$A83)*(dimLocales_v2[SedePrincipal]=TRUE),dimLocales_v2[Latitud],"")</f>
        <v>-13.415587219625101</v>
      </c>
      <c r="J83" s="115" cm="1">
        <f t="array" ref="J83">_xlfn.XLOOKUP(1,(dimLocales_v2[IdUniversidad]=$A83)*(dimLocales_v2[SedePrincipal]=TRUE),dimLocales_v2[Longitud],"")</f>
        <v>-76.128651142327897</v>
      </c>
      <c r="K83" s="115" cm="1">
        <f t="array" ref="K83">_xlfn.XLOOKUP(1,(dimLocales_v2[IdUniversidad]=$A83)*(dimLocales_v2[SedePrincipal]=TRUE),dimLocales_v2[UbigeoRENIEC],"")</f>
        <v>100201</v>
      </c>
      <c r="L83" s="115" cm="1">
        <f t="array" ref="L83">_xlfn.XLOOKUP(1,(dimLocales_v2[IdUniversidad]=$A83)*(dimLocales_v2[SedePrincipal]=TRUE),dimLocales_v2[UbigeoINEI],"")</f>
        <v>110201</v>
      </c>
    </row>
    <row r="84" spans="1:12" x14ac:dyDescent="0.25">
      <c r="A84" s="114">
        <v>85</v>
      </c>
      <c r="B84" s="115" t="s">
        <v>980</v>
      </c>
      <c r="C84" s="114" t="s">
        <v>979</v>
      </c>
      <c r="D84" s="114" t="s">
        <v>295</v>
      </c>
      <c r="E84" s="115" t="str" cm="1">
        <f t="array" ref="E84">_xlfn.XLOOKUP(1,(dimLocales_v2[IdUniversidad]=$A84)*(dimLocales_v2[SedePrincipal]=TRUE),dimLocales_v2[Departamento],"")</f>
        <v>Lima</v>
      </c>
      <c r="F84" s="115" t="str" cm="1">
        <f t="array" ref="F84">_xlfn.XLOOKUP(1,(dimLocales_v2[IdUniversidad]=$A84)*(dimLocales_v2[SedePrincipal]=TRUE),dimLocales_v2[Provincia],"")</f>
        <v>Lima</v>
      </c>
      <c r="G84" s="115" t="str" cm="1">
        <f t="array" ref="G84">_xlfn.XLOOKUP(1,(dimLocales_v2[IdUniversidad]=$A84)*(dimLocales_v2[SedePrincipal]=TRUE),dimLocales_v2[Distrito],"")</f>
        <v>Lince</v>
      </c>
      <c r="H84" s="115" t="str" cm="1">
        <f t="array" ref="H84">_xlfn.XLOOKUP(1,(dimLocales_v2[IdUniversidad]=$A84)*(dimLocales_v2[SedePrincipal]=TRUE),dimLocales_v2[Direccion],"")</f>
        <v>Av. Arequipa 1841</v>
      </c>
      <c r="I84" s="115" cm="1">
        <f t="array" ref="I84">_xlfn.XLOOKUP(1,(dimLocales_v2[IdUniversidad]=$A84)*(dimLocales_v2[SedePrincipal]=TRUE),dimLocales_v2[Latitud],"")</f>
        <v>-12.0828451</v>
      </c>
      <c r="J84" s="115" cm="1">
        <f t="array" ref="J84">_xlfn.XLOOKUP(1,(dimLocales_v2[IdUniversidad]=$A84)*(dimLocales_v2[SedePrincipal]=TRUE),dimLocales_v2[Longitud],"")</f>
        <v>-77.034581900000006</v>
      </c>
      <c r="K84" s="115" cm="1">
        <f t="array" ref="K84">_xlfn.XLOOKUP(1,(dimLocales_v2[IdUniversidad]=$A84)*(dimLocales_v2[SedePrincipal]=TRUE),dimLocales_v2[UbigeoRENIEC],"")</f>
        <v>140111</v>
      </c>
      <c r="L84" s="115" cm="1">
        <f t="array" ref="L84">_xlfn.XLOOKUP(1,(dimLocales_v2[IdUniversidad]=$A84)*(dimLocales_v2[SedePrincipal]=TRUE),dimLocales_v2[UbigeoINEI],"")</f>
        <v>150116</v>
      </c>
    </row>
    <row r="85" spans="1:12" x14ac:dyDescent="0.25">
      <c r="A85" s="114">
        <v>86</v>
      </c>
      <c r="B85" s="115" t="s">
        <v>978</v>
      </c>
      <c r="C85" s="114" t="s">
        <v>977</v>
      </c>
      <c r="D85" s="114" t="s">
        <v>295</v>
      </c>
      <c r="E85" s="115" t="str" cm="1">
        <f t="array" ref="E85">_xlfn.XLOOKUP(1,(dimLocales_v2[IdUniversidad]=$A85)*(dimLocales_v2[SedePrincipal]=TRUE),dimLocales_v2[Departamento],"")</f>
        <v>Loreto</v>
      </c>
      <c r="F85" s="115" t="str" cm="1">
        <f t="array" ref="F85">_xlfn.XLOOKUP(1,(dimLocales_v2[IdUniversidad]=$A85)*(dimLocales_v2[SedePrincipal]=TRUE),dimLocales_v2[Provincia],"")</f>
        <v>Maynas</v>
      </c>
      <c r="G85" s="115" t="str" cm="1">
        <f t="array" ref="G85">_xlfn.XLOOKUP(1,(dimLocales_v2[IdUniversidad]=$A85)*(dimLocales_v2[SedePrincipal]=TRUE),dimLocales_v2[Distrito],"")</f>
        <v>San Juan Bautista</v>
      </c>
      <c r="H85" s="115" t="str" cm="1">
        <f t="array" ref="H85">_xlfn.XLOOKUP(1,(dimLocales_v2[IdUniversidad]=$A85)*(dimLocales_v2[SedePrincipal]=TRUE),dimLocales_v2[Direccion],"")</f>
        <v>Avenida Abelardo Quiñonez N° 2725</v>
      </c>
      <c r="I85" s="115" cm="1">
        <f t="array" ref="I85">_xlfn.XLOOKUP(1,(dimLocales_v2[IdUniversidad]=$A85)*(dimLocales_v2[SedePrincipal]=TRUE),dimLocales_v2[Latitud],"")</f>
        <v>-3.771757644</v>
      </c>
      <c r="J85" s="115" cm="1">
        <f t="array" ref="J85">_xlfn.XLOOKUP(1,(dimLocales_v2[IdUniversidad]=$A85)*(dimLocales_v2[SedePrincipal]=TRUE),dimLocales_v2[Longitud],"")</f>
        <v>-73.283431686</v>
      </c>
      <c r="K85" s="115" cm="1">
        <f t="array" ref="K85">_xlfn.XLOOKUP(1,(dimLocales_v2[IdUniversidad]=$A85)*(dimLocales_v2[SedePrincipal]=TRUE),dimLocales_v2[UbigeoRENIEC],"")</f>
        <v>150113</v>
      </c>
      <c r="L85" s="115" cm="1">
        <f t="array" ref="L85">_xlfn.XLOOKUP(1,(dimLocales_v2[IdUniversidad]=$A85)*(dimLocales_v2[SedePrincipal]=TRUE),dimLocales_v2[UbigeoINEI],"")</f>
        <v>160113</v>
      </c>
    </row>
    <row r="86" spans="1:12" x14ac:dyDescent="0.25">
      <c r="A86" s="114">
        <v>87</v>
      </c>
      <c r="B86" s="115" t="s">
        <v>976</v>
      </c>
      <c r="C86" s="114" t="s">
        <v>975</v>
      </c>
      <c r="D86" s="114" t="s">
        <v>295</v>
      </c>
      <c r="E86" s="115" t="str" cm="1">
        <f t="array" ref="E86">_xlfn.XLOOKUP(1,(dimLocales_v2[IdUniversidad]=$A86)*(dimLocales_v2[SedePrincipal]=TRUE),dimLocales_v2[Departamento],"")</f>
        <v>Puno</v>
      </c>
      <c r="F86" s="115" t="str" cm="1">
        <f t="array" ref="F86">_xlfn.XLOOKUP(1,(dimLocales_v2[IdUniversidad]=$A86)*(dimLocales_v2[SedePrincipal]=TRUE),dimLocales_v2[Provincia],"")</f>
        <v>Puno</v>
      </c>
      <c r="G86" s="115" t="str" cm="1">
        <f t="array" ref="G86">_xlfn.XLOOKUP(1,(dimLocales_v2[IdUniversidad]=$A86)*(dimLocales_v2[SedePrincipal]=TRUE),dimLocales_v2[Distrito],"")</f>
        <v>Puno</v>
      </c>
      <c r="H86" s="115" t="str" cm="1">
        <f t="array" ref="H86">_xlfn.XLOOKUP(1,(dimLocales_v2[IdUniversidad]=$A86)*(dimLocales_v2[SedePrincipal]=TRUE),dimLocales_v2[Direccion],"")</f>
        <v>Jr. Conde de Lemos N° 128</v>
      </c>
      <c r="I86" s="115" cm="1">
        <f t="array" ref="I86">_xlfn.XLOOKUP(1,(dimLocales_v2[IdUniversidad]=$A86)*(dimLocales_v2[SedePrincipal]=TRUE),dimLocales_v2[Latitud],"")</f>
        <v>-15.8395008</v>
      </c>
      <c r="J86" s="115" cm="1">
        <f t="array" ref="J86">_xlfn.XLOOKUP(1,(dimLocales_v2[IdUniversidad]=$A86)*(dimLocales_v2[SedePrincipal]=TRUE),dimLocales_v2[Longitud],"")</f>
        <v>-70.029516599999994</v>
      </c>
      <c r="K86" s="115" cm="1">
        <f t="array" ref="K86">_xlfn.XLOOKUP(1,(dimLocales_v2[IdUniversidad]=$A86)*(dimLocales_v2[SedePrincipal]=TRUE),dimLocales_v2[UbigeoRENIEC],"")</f>
        <v>200101</v>
      </c>
      <c r="L86" s="115" cm="1">
        <f t="array" ref="L86">_xlfn.XLOOKUP(1,(dimLocales_v2[IdUniversidad]=$A86)*(dimLocales_v2[SedePrincipal]=TRUE),dimLocales_v2[UbigeoINEI],"")</f>
        <v>210101</v>
      </c>
    </row>
    <row r="87" spans="1:12" x14ac:dyDescent="0.25">
      <c r="A87" s="114">
        <v>88</v>
      </c>
      <c r="B87" s="115" t="s">
        <v>974</v>
      </c>
      <c r="C87" s="114" t="s">
        <v>973</v>
      </c>
      <c r="D87" s="114" t="s">
        <v>266</v>
      </c>
      <c r="E87" s="115" t="str" cm="1">
        <f t="array" ref="E87">_xlfn.XLOOKUP(1,(dimLocales_v2[IdUniversidad]=$A87)*(dimLocales_v2[SedePrincipal]=TRUE),dimLocales_v2[Departamento],"")</f>
        <v>Amazonas</v>
      </c>
      <c r="F87" s="115" t="str" cm="1">
        <f t="array" ref="F87">_xlfn.XLOOKUP(1,(dimLocales_v2[IdUniversidad]=$A87)*(dimLocales_v2[SedePrincipal]=TRUE),dimLocales_v2[Provincia],"")</f>
        <v>Chachapoyas</v>
      </c>
      <c r="G87" s="115" t="str" cm="1">
        <f t="array" ref="G87">_xlfn.XLOOKUP(1,(dimLocales_v2[IdUniversidad]=$A87)*(dimLocales_v2[SedePrincipal]=TRUE),dimLocales_v2[Distrito],"")</f>
        <v>Chachapoyas</v>
      </c>
      <c r="H87" s="115" t="str" cm="1">
        <f t="array" ref="H87">_xlfn.XLOOKUP(1,(dimLocales_v2[IdUniversidad]=$A87)*(dimLocales_v2[SedePrincipal]=TRUE),dimLocales_v2[Direccion],"")</f>
        <v>Calle Higos Urco N° 342-350-356 y Calle Universitaria N° 304</v>
      </c>
      <c r="I87" s="115" cm="1">
        <f t="array" ref="I87">_xlfn.XLOOKUP(1,(dimLocales_v2[IdUniversidad]=$A87)*(dimLocales_v2[SedePrincipal]=TRUE),dimLocales_v2[Latitud],"")</f>
        <v>-6.2335409000000004</v>
      </c>
      <c r="J87" s="115" cm="1">
        <f t="array" ref="J87">_xlfn.XLOOKUP(1,(dimLocales_v2[IdUniversidad]=$A87)*(dimLocales_v2[SedePrincipal]=TRUE),dimLocales_v2[Longitud],"")</f>
        <v>-77.853165099999998</v>
      </c>
      <c r="K87" s="115" cm="1">
        <f t="array" ref="K87">_xlfn.XLOOKUP(1,(dimLocales_v2[IdUniversidad]=$A87)*(dimLocales_v2[SedePrincipal]=TRUE),dimLocales_v2[UbigeoRENIEC],"")</f>
        <v>10101</v>
      </c>
      <c r="L87" s="115" cm="1">
        <f t="array" ref="L87">_xlfn.XLOOKUP(1,(dimLocales_v2[IdUniversidad]=$A87)*(dimLocales_v2[SedePrincipal]=TRUE),dimLocales_v2[UbigeoINEI],"")</f>
        <v>10101</v>
      </c>
    </row>
    <row r="88" spans="1:12" x14ac:dyDescent="0.25">
      <c r="A88" s="114">
        <v>89</v>
      </c>
      <c r="B88" s="115" t="s">
        <v>972</v>
      </c>
      <c r="C88" s="114" t="s">
        <v>545</v>
      </c>
      <c r="D88" s="114" t="s">
        <v>295</v>
      </c>
      <c r="E88" s="115" t="str" cm="1">
        <f t="array" ref="E88">_xlfn.XLOOKUP(1,(dimLocales_v2[IdUniversidad]=$A88)*(dimLocales_v2[SedePrincipal]=TRUE),dimLocales_v2[Departamento],"")</f>
        <v>Lima</v>
      </c>
      <c r="F88" s="115" t="str" cm="1">
        <f t="array" ref="F88">_xlfn.XLOOKUP(1,(dimLocales_v2[IdUniversidad]=$A88)*(dimLocales_v2[SedePrincipal]=TRUE),dimLocales_v2[Provincia],"")</f>
        <v>Lima</v>
      </c>
      <c r="G88" s="115" t="str" cm="1">
        <f t="array" ref="G88">_xlfn.XLOOKUP(1,(dimLocales_v2[IdUniversidad]=$A88)*(dimLocales_v2[SedePrincipal]=TRUE),dimLocales_v2[Distrito],"")</f>
        <v>Santiago de Surco</v>
      </c>
      <c r="H88" s="115" t="str" cm="1">
        <f t="array" ref="H88">_xlfn.XLOOKUP(1,(dimLocales_v2[IdUniversidad]=$A88)*(dimLocales_v2[SedePrincipal]=TRUE),dimLocales_v2[Direccion],"")</f>
        <v>Jirón Alonso de Molina N° 1652, Urb. Monterrico Chico</v>
      </c>
      <c r="I88" s="115" cm="1">
        <f t="array" ref="I88">_xlfn.XLOOKUP(1,(dimLocales_v2[IdUniversidad]=$A88)*(dimLocales_v2[SedePrincipal]=TRUE),dimLocales_v2[Latitud],"")</f>
        <v>-12.1044896914765</v>
      </c>
      <c r="J88" s="115" cm="1">
        <f t="array" ref="J88">_xlfn.XLOOKUP(1,(dimLocales_v2[IdUniversidad]=$A88)*(dimLocales_v2[SedePrincipal]=TRUE),dimLocales_v2[Longitud],"")</f>
        <v>-76.961964968769294</v>
      </c>
      <c r="K88" s="115" cm="1">
        <f t="array" ref="K88">_xlfn.XLOOKUP(1,(dimLocales_v2[IdUniversidad]=$A88)*(dimLocales_v2[SedePrincipal]=TRUE),dimLocales_v2[UbigeoRENIEC],"")</f>
        <v>140130</v>
      </c>
      <c r="L88" s="115" cm="1">
        <f t="array" ref="L88">_xlfn.XLOOKUP(1,(dimLocales_v2[IdUniversidad]=$A88)*(dimLocales_v2[SedePrincipal]=TRUE),dimLocales_v2[UbigeoINEI],"")</f>
        <v>150140</v>
      </c>
    </row>
    <row r="89" spans="1:12" x14ac:dyDescent="0.25">
      <c r="A89" s="114">
        <v>91</v>
      </c>
      <c r="B89" s="115" t="s">
        <v>971</v>
      </c>
      <c r="C89" s="114" t="s">
        <v>970</v>
      </c>
      <c r="D89" s="114" t="s">
        <v>295</v>
      </c>
      <c r="E89" s="115" t="str" cm="1">
        <f t="array" ref="E89">_xlfn.XLOOKUP(1,(dimLocales_v2[IdUniversidad]=$A89)*(dimLocales_v2[SedePrincipal]=TRUE),dimLocales_v2[Departamento],"")</f>
        <v>Lima</v>
      </c>
      <c r="F89" s="115" t="str" cm="1">
        <f t="array" ref="F89">_xlfn.XLOOKUP(1,(dimLocales_v2[IdUniversidad]=$A89)*(dimLocales_v2[SedePrincipal]=TRUE),dimLocales_v2[Provincia],"")</f>
        <v>Lima</v>
      </c>
      <c r="G89" s="115" t="str" cm="1">
        <f t="array" ref="G89">_xlfn.XLOOKUP(1,(dimLocales_v2[IdUniversidad]=$A89)*(dimLocales_v2[SedePrincipal]=TRUE),dimLocales_v2[Distrito],"")</f>
        <v>Pueblo Libre</v>
      </c>
      <c r="H89" s="115" t="str" cm="1">
        <f t="array" ref="H89">_xlfn.XLOOKUP(1,(dimLocales_v2[IdUniversidad]=$A89)*(dimLocales_v2[SedePrincipal]=TRUE),dimLocales_v2[Direccion],"")</f>
        <v>Av. Colombia N° 325</v>
      </c>
      <c r="I89" s="115" cm="1">
        <f t="array" ref="I89">_xlfn.XLOOKUP(1,(dimLocales_v2[IdUniversidad]=$A89)*(dimLocales_v2[SedePrincipal]=TRUE),dimLocales_v2[Latitud],"")</f>
        <v>-12.069620799999999</v>
      </c>
      <c r="J89" s="115" cm="1">
        <f t="array" ref="J89">_xlfn.XLOOKUP(1,(dimLocales_v2[IdUniversidad]=$A89)*(dimLocales_v2[SedePrincipal]=TRUE),dimLocales_v2[Longitud],"")</f>
        <v>-77.053397799999999</v>
      </c>
      <c r="K89" s="115" cm="1">
        <f t="array" ref="K89">_xlfn.XLOOKUP(1,(dimLocales_v2[IdUniversidad]=$A89)*(dimLocales_v2[SedePrincipal]=TRUE),dimLocales_v2[UbigeoRENIEC],"")</f>
        <v>140117</v>
      </c>
      <c r="L89" s="115" cm="1">
        <f t="array" ref="L89">_xlfn.XLOOKUP(1,(dimLocales_v2[IdUniversidad]=$A89)*(dimLocales_v2[SedePrincipal]=TRUE),dimLocales_v2[UbigeoINEI],"")</f>
        <v>150121</v>
      </c>
    </row>
    <row r="90" spans="1:12" x14ac:dyDescent="0.25">
      <c r="A90" s="114">
        <v>92</v>
      </c>
      <c r="B90" s="115" t="s">
        <v>969</v>
      </c>
      <c r="C90" s="114" t="s">
        <v>968</v>
      </c>
      <c r="D90" s="114" t="s">
        <v>295</v>
      </c>
      <c r="E90" s="115" t="str" cm="1">
        <f t="array" ref="E90">_xlfn.XLOOKUP(1,(dimLocales_v2[IdUniversidad]=$A90)*(dimLocales_v2[SedePrincipal]=TRUE),dimLocales_v2[Departamento],"")</f>
        <v>Lima</v>
      </c>
      <c r="F90" s="115" t="str" cm="1">
        <f t="array" ref="F90">_xlfn.XLOOKUP(1,(dimLocales_v2[IdUniversidad]=$A90)*(dimLocales_v2[SedePrincipal]=TRUE),dimLocales_v2[Provincia],"")</f>
        <v>Lima</v>
      </c>
      <c r="G90" s="115" t="str" cm="1">
        <f t="array" ref="G90">_xlfn.XLOOKUP(1,(dimLocales_v2[IdUniversidad]=$A90)*(dimLocales_v2[SedePrincipal]=TRUE),dimLocales_v2[Distrito],"")</f>
        <v>La Molina</v>
      </c>
      <c r="H90" s="115" t="str" cm="1">
        <f t="array" ref="H90">_xlfn.XLOOKUP(1,(dimLocales_v2[IdUniversidad]=$A90)*(dimLocales_v2[SedePrincipal]=TRUE),dimLocales_v2[Direccion],"")</f>
        <v>Av. la Molina Nro. 585 Urb. Santa Felicia</v>
      </c>
      <c r="I90" s="115" cm="1">
        <f t="array" ref="I90">_xlfn.XLOOKUP(1,(dimLocales_v2[IdUniversidad]=$A90)*(dimLocales_v2[SedePrincipal]=TRUE),dimLocales_v2[Latitud],"")</f>
        <v>-12.063822399999999</v>
      </c>
      <c r="J90" s="115" cm="1">
        <f t="array" ref="J90">_xlfn.XLOOKUP(1,(dimLocales_v2[IdUniversidad]=$A90)*(dimLocales_v2[SedePrincipal]=TRUE),dimLocales_v2[Longitud],"")</f>
        <v>-76.960132700000003</v>
      </c>
      <c r="K90" s="115" cm="1">
        <f t="array" ref="K90">_xlfn.XLOOKUP(1,(dimLocales_v2[IdUniversidad]=$A90)*(dimLocales_v2[SedePrincipal]=TRUE),dimLocales_v2[UbigeoRENIEC],"")</f>
        <v>140110</v>
      </c>
      <c r="L90" s="115" cm="1">
        <f t="array" ref="L90">_xlfn.XLOOKUP(1,(dimLocales_v2[IdUniversidad]=$A90)*(dimLocales_v2[SedePrincipal]=TRUE),dimLocales_v2[UbigeoINEI],"")</f>
        <v>150114</v>
      </c>
    </row>
    <row r="91" spans="1:12" x14ac:dyDescent="0.25">
      <c r="A91" s="114">
        <v>93</v>
      </c>
      <c r="B91" s="115" t="s">
        <v>967</v>
      </c>
      <c r="C91" s="114" t="s">
        <v>966</v>
      </c>
      <c r="D91" s="114" t="s">
        <v>295</v>
      </c>
      <c r="E91" s="115" t="str" cm="1">
        <f t="array" ref="E91">_xlfn.XLOOKUP(1,(dimLocales_v2[IdUniversidad]=$A91)*(dimLocales_v2[SedePrincipal]=TRUE),dimLocales_v2[Departamento],"")</f>
        <v>Loreto</v>
      </c>
      <c r="F91" s="115" t="str" cm="1">
        <f t="array" ref="F91">_xlfn.XLOOKUP(1,(dimLocales_v2[IdUniversidad]=$A91)*(dimLocales_v2[SedePrincipal]=TRUE),dimLocales_v2[Provincia],"")</f>
        <v>Maynas</v>
      </c>
      <c r="G91" s="115" t="str" cm="1">
        <f t="array" ref="G91">_xlfn.XLOOKUP(1,(dimLocales_v2[IdUniversidad]=$A91)*(dimLocales_v2[SedePrincipal]=TRUE),dimLocales_v2[Distrito],"")</f>
        <v>San Juan Bautista</v>
      </c>
      <c r="H91" s="115" t="str" cm="1">
        <f t="array" ref="H91">_xlfn.XLOOKUP(1,(dimLocales_v2[IdUniversidad]=$A91)*(dimLocales_v2[SedePrincipal]=TRUE),dimLocales_v2[Direccion],"")</f>
        <v>Av. Abelardo Quiñones S/N° Km. 2.5</v>
      </c>
      <c r="I91" s="115" cm="1">
        <f t="array" ref="I91">_xlfn.XLOOKUP(1,(dimLocales_v2[IdUniversidad]=$A91)*(dimLocales_v2[SedePrincipal]=TRUE),dimLocales_v2[Latitud],"")</f>
        <v>-3.7691882966999999</v>
      </c>
      <c r="J91" s="115" cm="1">
        <f t="array" ref="J91">_xlfn.XLOOKUP(1,(dimLocales_v2[IdUniversidad]=$A91)*(dimLocales_v2[SedePrincipal]=TRUE),dimLocales_v2[Longitud],"")</f>
        <v>-73.282036938000005</v>
      </c>
      <c r="K91" s="115" cm="1">
        <f t="array" ref="K91">_xlfn.XLOOKUP(1,(dimLocales_v2[IdUniversidad]=$A91)*(dimLocales_v2[SedePrincipal]=TRUE),dimLocales_v2[UbigeoRENIEC],"")</f>
        <v>150113</v>
      </c>
      <c r="L91" s="115" cm="1">
        <f t="array" ref="L91">_xlfn.XLOOKUP(1,(dimLocales_v2[IdUniversidad]=$A91)*(dimLocales_v2[SedePrincipal]=TRUE),dimLocales_v2[UbigeoINEI],"")</f>
        <v>160113</v>
      </c>
    </row>
    <row r="92" spans="1:12" x14ac:dyDescent="0.25">
      <c r="A92" s="114">
        <v>94</v>
      </c>
      <c r="B92" s="115" t="s">
        <v>965</v>
      </c>
      <c r="C92" s="114" t="s">
        <v>964</v>
      </c>
      <c r="D92" s="114" t="s">
        <v>295</v>
      </c>
      <c r="E92" s="115" t="str" cm="1">
        <f t="array" ref="E92">_xlfn.XLOOKUP(1,(dimLocales_v2[IdUniversidad]=$A92)*(dimLocales_v2[SedePrincipal]=TRUE),dimLocales_v2[Departamento],"")</f>
        <v>Moquegua</v>
      </c>
      <c r="F92" s="115" t="str" cm="1">
        <f t="array" ref="F92">_xlfn.XLOOKUP(1,(dimLocales_v2[IdUniversidad]=$A92)*(dimLocales_v2[SedePrincipal]=TRUE),dimLocales_v2[Provincia],"")</f>
        <v>Mariscal Nieto</v>
      </c>
      <c r="G92" s="115" t="str" cm="1">
        <f t="array" ref="G92">_xlfn.XLOOKUP(1,(dimLocales_v2[IdUniversidad]=$A92)*(dimLocales_v2[SedePrincipal]=TRUE),dimLocales_v2[Distrito],"")</f>
        <v>San Antonio</v>
      </c>
      <c r="H92" s="115" t="str" cm="1">
        <f t="array" ref="H92">_xlfn.XLOOKUP(1,(dimLocales_v2[IdUniversidad]=$A92)*(dimLocales_v2[SedePrincipal]=TRUE),dimLocales_v2[Direccion],"")</f>
        <v>Sector Sub Sector 1A-3 San Antonio</v>
      </c>
      <c r="I92" s="115" cm="1">
        <f t="array" ref="I92">_xlfn.XLOOKUP(1,(dimLocales_v2[IdUniversidad]=$A92)*(dimLocales_v2[SedePrincipal]=TRUE),dimLocales_v2[Latitud],"")</f>
        <v>-17.206236700000002</v>
      </c>
      <c r="J92" s="115" cm="1">
        <f t="array" ref="J92">_xlfn.XLOOKUP(1,(dimLocales_v2[IdUniversidad]=$A92)*(dimLocales_v2[SedePrincipal]=TRUE),dimLocales_v2[Longitud],"")</f>
        <v>-70.945763499999998</v>
      </c>
      <c r="K92" s="115" cm="1">
        <f t="array" ref="K92">_xlfn.XLOOKUP(1,(dimLocales_v2[IdUniversidad]=$A92)*(dimLocales_v2[SedePrincipal]=TRUE),dimLocales_v2[UbigeoRENIEC],"")</f>
        <v>170107</v>
      </c>
      <c r="L92" s="115" cm="1">
        <f t="array" ref="L92">_xlfn.XLOOKUP(1,(dimLocales_v2[IdUniversidad]=$A92)*(dimLocales_v2[SedePrincipal]=TRUE),dimLocales_v2[UbigeoINEI],"")</f>
        <v>180107</v>
      </c>
    </row>
    <row r="93" spans="1:12" x14ac:dyDescent="0.25">
      <c r="A93" s="114">
        <v>95</v>
      </c>
      <c r="B93" s="115" t="s">
        <v>963</v>
      </c>
      <c r="C93" s="114" t="s">
        <v>962</v>
      </c>
      <c r="D93" s="114" t="s">
        <v>295</v>
      </c>
      <c r="E93" s="115" t="str" cm="1">
        <f t="array" ref="E93">_xlfn.XLOOKUP(1,(dimLocales_v2[IdUniversidad]=$A93)*(dimLocales_v2[SedePrincipal]=TRUE),dimLocales_v2[Departamento],"")</f>
        <v>Cusco</v>
      </c>
      <c r="F93" s="115" t="str" cm="1">
        <f t="array" ref="F93">_xlfn.XLOOKUP(1,(dimLocales_v2[IdUniversidad]=$A93)*(dimLocales_v2[SedePrincipal]=TRUE),dimLocales_v2[Provincia],"")</f>
        <v>Cusco</v>
      </c>
      <c r="G93" s="115" t="str" cm="1">
        <f t="array" ref="G93">_xlfn.XLOOKUP(1,(dimLocales_v2[IdUniversidad]=$A93)*(dimLocales_v2[SedePrincipal]=TRUE),dimLocales_v2[Distrito],"")</f>
        <v>Cusco</v>
      </c>
      <c r="H93" s="115" t="str" cm="1">
        <f t="array" ref="H93">_xlfn.XLOOKUP(1,(dimLocales_v2[IdUniversidad]=$A93)*(dimLocales_v2[SedePrincipal]=TRUE),dimLocales_v2[Direccion],"")</f>
        <v>Urb. Manuel Prado L-13 Calle Sacsayhuaman</v>
      </c>
      <c r="I93" s="115" cm="1">
        <f t="array" ref="I93">_xlfn.XLOOKUP(1,(dimLocales_v2[IdUniversidad]=$A93)*(dimLocales_v2[SedePrincipal]=TRUE),dimLocales_v2[Latitud],"")</f>
        <v>-13.525463065</v>
      </c>
      <c r="J93" s="115" cm="1">
        <f t="array" ref="J93">_xlfn.XLOOKUP(1,(dimLocales_v2[IdUniversidad]=$A93)*(dimLocales_v2[SedePrincipal]=TRUE),dimLocales_v2[Longitud],"")</f>
        <v>-71.951678423999994</v>
      </c>
      <c r="K93" s="115" cm="1">
        <f t="array" ref="K93">_xlfn.XLOOKUP(1,(dimLocales_v2[IdUniversidad]=$A93)*(dimLocales_v2[SedePrincipal]=TRUE),dimLocales_v2[UbigeoRENIEC],"")</f>
        <v>70101</v>
      </c>
      <c r="L93" s="115" cm="1">
        <f t="array" ref="L93">_xlfn.XLOOKUP(1,(dimLocales_v2[IdUniversidad]=$A93)*(dimLocales_v2[SedePrincipal]=TRUE),dimLocales_v2[UbigeoINEI],"")</f>
        <v>80101</v>
      </c>
    </row>
    <row r="94" spans="1:12" x14ac:dyDescent="0.25">
      <c r="A94" s="114">
        <v>96</v>
      </c>
      <c r="B94" s="115" t="s">
        <v>961</v>
      </c>
      <c r="C94" s="114" t="s">
        <v>960</v>
      </c>
      <c r="D94" s="114" t="s">
        <v>295</v>
      </c>
      <c r="E94" s="115" t="str" cm="1">
        <f t="array" ref="E94">_xlfn.XLOOKUP(1,(dimLocales_v2[IdUniversidad]=$A94)*(dimLocales_v2[SedePrincipal]=TRUE),dimLocales_v2[Departamento],"")</f>
        <v>Lima</v>
      </c>
      <c r="F94" s="115" t="str" cm="1">
        <f t="array" ref="F94">_xlfn.XLOOKUP(1,(dimLocales_v2[IdUniversidad]=$A94)*(dimLocales_v2[SedePrincipal]=TRUE),dimLocales_v2[Provincia],"")</f>
        <v>Lima</v>
      </c>
      <c r="G94" s="115" t="str" cm="1">
        <f t="array" ref="G94">_xlfn.XLOOKUP(1,(dimLocales_v2[IdUniversidad]=$A94)*(dimLocales_v2[SedePrincipal]=TRUE),dimLocales_v2[Distrito],"")</f>
        <v>Ate</v>
      </c>
      <c r="H94" s="115" t="str" cm="1">
        <f t="array" ref="H94">_xlfn.XLOOKUP(1,(dimLocales_v2[IdUniversidad]=$A94)*(dimLocales_v2[SedePrincipal]=TRUE),dimLocales_v2[Direccion],"")</f>
        <v>Carrretera Central N° 117 ( Lote 117 y 117 B),Santa Clara,Ate,Provincia y Departamento de Lima</v>
      </c>
      <c r="I94" s="115" cm="1">
        <f t="array" ref="I94">_xlfn.XLOOKUP(1,(dimLocales_v2[IdUniversidad]=$A94)*(dimLocales_v2[SedePrincipal]=TRUE),dimLocales_v2[Latitud],"")</f>
        <v>-12.021130599999999</v>
      </c>
      <c r="J94" s="115" cm="1">
        <f t="array" ref="J94">_xlfn.XLOOKUP(1,(dimLocales_v2[IdUniversidad]=$A94)*(dimLocales_v2[SedePrincipal]=TRUE),dimLocales_v2[Longitud],"")</f>
        <v>-76.903717299999997</v>
      </c>
      <c r="K94" s="115" cm="1">
        <f t="array" ref="K94">_xlfn.XLOOKUP(1,(dimLocales_v2[IdUniversidad]=$A94)*(dimLocales_v2[SedePrincipal]=TRUE),dimLocales_v2[UbigeoRENIEC],"")</f>
        <v>140103</v>
      </c>
      <c r="L94" s="115" cm="1">
        <f t="array" ref="L94">_xlfn.XLOOKUP(1,(dimLocales_v2[IdUniversidad]=$A94)*(dimLocales_v2[SedePrincipal]=TRUE),dimLocales_v2[UbigeoINEI],"")</f>
        <v>150103</v>
      </c>
    </row>
    <row r="95" spans="1:12" x14ac:dyDescent="0.25">
      <c r="A95" s="114">
        <v>97</v>
      </c>
      <c r="B95" s="115" t="s">
        <v>959</v>
      </c>
      <c r="C95" s="114" t="s">
        <v>958</v>
      </c>
      <c r="D95" s="114" t="s">
        <v>295</v>
      </c>
      <c r="E95" s="115" t="str" cm="1">
        <f t="array" ref="E95">_xlfn.XLOOKUP(1,(dimLocales_v2[IdUniversidad]=$A95)*(dimLocales_v2[SedePrincipal]=TRUE),dimLocales_v2[Departamento],"")</f>
        <v>Lima</v>
      </c>
      <c r="F95" s="115" t="str" cm="1">
        <f t="array" ref="F95">_xlfn.XLOOKUP(1,(dimLocales_v2[IdUniversidad]=$A95)*(dimLocales_v2[SedePrincipal]=TRUE),dimLocales_v2[Provincia],"")</f>
        <v>Lima</v>
      </c>
      <c r="G95" s="115" t="str" cm="1">
        <f t="array" ref="G95">_xlfn.XLOOKUP(1,(dimLocales_v2[IdUniversidad]=$A95)*(dimLocales_v2[SedePrincipal]=TRUE),dimLocales_v2[Distrito],"")</f>
        <v>Independencia</v>
      </c>
      <c r="H95" s="115" t="str" cm="1">
        <f t="array" ref="H95">_xlfn.XLOOKUP(1,(dimLocales_v2[IdUniversidad]=$A95)*(dimLocales_v2[SedePrincipal]=TRUE),dimLocales_v2[Direccion],"")</f>
        <v>Av. Industrial N° 3701</v>
      </c>
      <c r="I95" s="115" cm="1">
        <f t="array" ref="I95">_xlfn.XLOOKUP(1,(dimLocales_v2[IdUniversidad]=$A95)*(dimLocales_v2[SedePrincipal]=TRUE),dimLocales_v2[Latitud],"")</f>
        <v>-11.990606</v>
      </c>
      <c r="J95" s="115" cm="1">
        <f t="array" ref="J95">_xlfn.XLOOKUP(1,(dimLocales_v2[IdUniversidad]=$A95)*(dimLocales_v2[SedePrincipal]=TRUE),dimLocales_v2[Longitud],"")</f>
        <v>-77.059860599999993</v>
      </c>
      <c r="K95" s="115" cm="1">
        <f t="array" ref="K95">_xlfn.XLOOKUP(1,(dimLocales_v2[IdUniversidad]=$A95)*(dimLocales_v2[SedePrincipal]=TRUE),dimLocales_v2[UbigeoRENIEC],"")</f>
        <v>140134</v>
      </c>
      <c r="L95" s="115" cm="1">
        <f t="array" ref="L95">_xlfn.XLOOKUP(1,(dimLocales_v2[IdUniversidad]=$A95)*(dimLocales_v2[SedePrincipal]=TRUE),dimLocales_v2[UbigeoINEI],"")</f>
        <v>150112</v>
      </c>
    </row>
    <row r="96" spans="1:12" x14ac:dyDescent="0.25">
      <c r="A96" s="114">
        <v>98</v>
      </c>
      <c r="B96" s="115" t="s">
        <v>957</v>
      </c>
      <c r="C96" s="114" t="s">
        <v>956</v>
      </c>
      <c r="D96" s="114" t="s">
        <v>295</v>
      </c>
      <c r="E96" s="115" t="str" cm="1">
        <f t="array" ref="E96">_xlfn.XLOOKUP(1,(dimLocales_v2[IdUniversidad]=$A96)*(dimLocales_v2[SedePrincipal]=TRUE),dimLocales_v2[Departamento],"")</f>
        <v>Junín</v>
      </c>
      <c r="F96" s="115" t="str" cm="1">
        <f t="array" ref="F96">_xlfn.XLOOKUP(1,(dimLocales_v2[IdUniversidad]=$A96)*(dimLocales_v2[SedePrincipal]=TRUE),dimLocales_v2[Provincia],"")</f>
        <v>Huancayo</v>
      </c>
      <c r="G96" s="115" t="str" cm="1">
        <f t="array" ref="G96">_xlfn.XLOOKUP(1,(dimLocales_v2[IdUniversidad]=$A96)*(dimLocales_v2[SedePrincipal]=TRUE),dimLocales_v2[Distrito],"")</f>
        <v>Huancayo</v>
      </c>
      <c r="H96" s="115" t="str" cm="1">
        <f t="array" ref="H96">_xlfn.XLOOKUP(1,(dimLocales_v2[IdUniversidad]=$A96)*(dimLocales_v2[SedePrincipal]=TRUE),dimLocales_v2[Direccion],"")</f>
        <v>Jr. Moquegua 474-478</v>
      </c>
      <c r="I96" s="115" cm="1">
        <f t="array" ref="I96">_xlfn.XLOOKUP(1,(dimLocales_v2[IdUniversidad]=$A96)*(dimLocales_v2[SedePrincipal]=TRUE),dimLocales_v2[Latitud],"")</f>
        <v>-12.0330464</v>
      </c>
      <c r="J96" s="115" cm="1">
        <f t="array" ref="J96">_xlfn.XLOOKUP(1,(dimLocales_v2[IdUniversidad]=$A96)*(dimLocales_v2[SedePrincipal]=TRUE),dimLocales_v2[Longitud],"")</f>
        <v>-75.237331999999995</v>
      </c>
      <c r="K96" s="115" cm="1">
        <f t="array" ref="K96">_xlfn.XLOOKUP(1,(dimLocales_v2[IdUniversidad]=$A96)*(dimLocales_v2[SedePrincipal]=TRUE),dimLocales_v2[UbigeoRENIEC],"")</f>
        <v>110101</v>
      </c>
      <c r="L96" s="115" cm="1">
        <f t="array" ref="L96">_xlfn.XLOOKUP(1,(dimLocales_v2[IdUniversidad]=$A96)*(dimLocales_v2[SedePrincipal]=TRUE),dimLocales_v2[UbigeoINEI],"")</f>
        <v>120101</v>
      </c>
    </row>
    <row r="97" spans="1:12" x14ac:dyDescent="0.25">
      <c r="A97" s="114">
        <v>99</v>
      </c>
      <c r="B97" s="115" t="s">
        <v>955</v>
      </c>
      <c r="C97" s="114" t="s">
        <v>954</v>
      </c>
      <c r="D97" s="114" t="s">
        <v>295</v>
      </c>
      <c r="E97" s="115" t="str" cm="1">
        <f t="array" ref="E97">_xlfn.XLOOKUP(1,(dimLocales_v2[IdUniversidad]=$A97)*(dimLocales_v2[SedePrincipal]=TRUE),dimLocales_v2[Departamento],"")</f>
        <v>Lima</v>
      </c>
      <c r="F97" s="115" t="str" cm="1">
        <f t="array" ref="F97">_xlfn.XLOOKUP(1,(dimLocales_v2[IdUniversidad]=$A97)*(dimLocales_v2[SedePrincipal]=TRUE),dimLocales_v2[Provincia],"")</f>
        <v>Lima</v>
      </c>
      <c r="G97" s="115" t="str" cm="1">
        <f t="array" ref="G97">_xlfn.XLOOKUP(1,(dimLocales_v2[IdUniversidad]=$A97)*(dimLocales_v2[SedePrincipal]=TRUE),dimLocales_v2[Distrito],"")</f>
        <v>Lima</v>
      </c>
      <c r="H97" s="115" t="str" cm="1">
        <f t="array" ref="H97">_xlfn.XLOOKUP(1,(dimLocales_v2[IdUniversidad]=$A97)*(dimLocales_v2[SedePrincipal]=TRUE),dimLocales_v2[Direccion],"")</f>
        <v>Av. Arequipa N°935-955-975-979-983-985-989, Santa Beatriz- Lima</v>
      </c>
      <c r="I97" s="115" cm="1">
        <f t="array" ref="I97">_xlfn.XLOOKUP(1,(dimLocales_v2[IdUniversidad]=$A97)*(dimLocales_v2[SedePrincipal]=TRUE),dimLocales_v2[Latitud],"")</f>
        <v>-12.0739859</v>
      </c>
      <c r="J97" s="115" cm="1">
        <f t="array" ref="J97">_xlfn.XLOOKUP(1,(dimLocales_v2[IdUniversidad]=$A97)*(dimLocales_v2[SedePrincipal]=TRUE),dimLocales_v2[Longitud],"")</f>
        <v>-77.035861199999999</v>
      </c>
      <c r="K97" s="115" cm="1">
        <f t="array" ref="K97">_xlfn.XLOOKUP(1,(dimLocales_v2[IdUniversidad]=$A97)*(dimLocales_v2[SedePrincipal]=TRUE),dimLocales_v2[UbigeoRENIEC],"")</f>
        <v>140101</v>
      </c>
      <c r="L97" s="115" cm="1">
        <f t="array" ref="L97">_xlfn.XLOOKUP(1,(dimLocales_v2[IdUniversidad]=$A97)*(dimLocales_v2[SedePrincipal]=TRUE),dimLocales_v2[UbigeoINEI],"")</f>
        <v>150101</v>
      </c>
    </row>
    <row r="98" spans="1:12" x14ac:dyDescent="0.25">
      <c r="A98" s="114">
        <v>100</v>
      </c>
      <c r="B98" s="115" t="s">
        <v>953</v>
      </c>
      <c r="C98" s="114" t="s">
        <v>952</v>
      </c>
      <c r="D98" s="114" t="s">
        <v>295</v>
      </c>
      <c r="E98" s="115" t="str" cm="1">
        <f t="array" ref="E98">_xlfn.XLOOKUP(1,(dimLocales_v2[IdUniversidad]=$A98)*(dimLocales_v2[SedePrincipal]=TRUE),dimLocales_v2[Departamento],"")</f>
        <v>Lambayeque</v>
      </c>
      <c r="F98" s="115" t="str" cm="1">
        <f t="array" ref="F98">_xlfn.XLOOKUP(1,(dimLocales_v2[IdUniversidad]=$A98)*(dimLocales_v2[SedePrincipal]=TRUE),dimLocales_v2[Provincia],"")</f>
        <v>Chiclayo</v>
      </c>
      <c r="G98" s="115" t="str" cm="1">
        <f t="array" ref="G98">_xlfn.XLOOKUP(1,(dimLocales_v2[IdUniversidad]=$A98)*(dimLocales_v2[SedePrincipal]=TRUE),dimLocales_v2[Distrito],"")</f>
        <v>Chiclayo</v>
      </c>
      <c r="H98" s="115" t="str" cm="1">
        <f t="array" ref="H98">_xlfn.XLOOKUP(1,(dimLocales_v2[IdUniversidad]=$A98)*(dimLocales_v2[SedePrincipal]=TRUE),dimLocales_v2[Direccion],"")</f>
        <v>Av. José Quiñones 638- 640 Urb. San Martín</v>
      </c>
      <c r="I98" s="115" cm="1">
        <f t="array" ref="I98">_xlfn.XLOOKUP(1,(dimLocales_v2[IdUniversidad]=$A98)*(dimLocales_v2[SedePrincipal]=TRUE),dimLocales_v2[Latitud],"")</f>
        <v>-6.7677499455000003</v>
      </c>
      <c r="J98" s="115" cm="1">
        <f t="array" ref="J98">_xlfn.XLOOKUP(1,(dimLocales_v2[IdUniversidad]=$A98)*(dimLocales_v2[SedePrincipal]=TRUE),dimLocales_v2[Longitud],"")</f>
        <v>-79.832568276000003</v>
      </c>
      <c r="K98" s="115" cm="1">
        <f t="array" ref="K98">_xlfn.XLOOKUP(1,(dimLocales_v2[IdUniversidad]=$A98)*(dimLocales_v2[SedePrincipal]=TRUE),dimLocales_v2[UbigeoRENIEC],"")</f>
        <v>130101</v>
      </c>
      <c r="L98" s="115" cm="1">
        <f t="array" ref="L98">_xlfn.XLOOKUP(1,(dimLocales_v2[IdUniversidad]=$A98)*(dimLocales_v2[SedePrincipal]=TRUE),dimLocales_v2[UbigeoINEI],"")</f>
        <v>140101</v>
      </c>
    </row>
    <row r="99" spans="1:12" x14ac:dyDescent="0.25">
      <c r="A99" s="114">
        <v>101</v>
      </c>
      <c r="B99" s="115" t="s">
        <v>951</v>
      </c>
      <c r="C99" s="114" t="s">
        <v>950</v>
      </c>
      <c r="D99" s="114" t="s">
        <v>295</v>
      </c>
      <c r="E99" s="115" t="str" cm="1">
        <f t="array" ref="E99">_xlfn.XLOOKUP(1,(dimLocales_v2[IdUniversidad]=$A99)*(dimLocales_v2[SedePrincipal]=TRUE),dimLocales_v2[Departamento],"")</f>
        <v>Arequipa</v>
      </c>
      <c r="F99" s="115" t="str" cm="1">
        <f t="array" ref="F99">_xlfn.XLOOKUP(1,(dimLocales_v2[IdUniversidad]=$A99)*(dimLocales_v2[SedePrincipal]=TRUE),dimLocales_v2[Provincia],"")</f>
        <v>Arequipa</v>
      </c>
      <c r="G99" s="115" t="str" cm="1">
        <f t="array" ref="G99">_xlfn.XLOOKUP(1,(dimLocales_v2[IdUniversidad]=$A99)*(dimLocales_v2[SedePrincipal]=TRUE),dimLocales_v2[Distrito],"")</f>
        <v>Yanahuara</v>
      </c>
      <c r="H99" s="115" t="str" cm="1">
        <f t="array" ref="H99">_xlfn.XLOOKUP(1,(dimLocales_v2[IdUniversidad]=$A99)*(dimLocales_v2[SedePrincipal]=TRUE),dimLocales_v2[Direccion],"")</f>
        <v>Callejon Loreto N°401 Yanahuara</v>
      </c>
      <c r="I99" s="115" cm="1">
        <f t="array" ref="I99">_xlfn.XLOOKUP(1,(dimLocales_v2[IdUniversidad]=$A99)*(dimLocales_v2[SedePrincipal]=TRUE),dimLocales_v2[Latitud],"")</f>
        <v>-16.4029451</v>
      </c>
      <c r="J99" s="115" cm="1">
        <f t="array" ref="J99">_xlfn.XLOOKUP(1,(dimLocales_v2[IdUniversidad]=$A99)*(dimLocales_v2[SedePrincipal]=TRUE),dimLocales_v2[Longitud],"")</f>
        <v>-71.545643699999999</v>
      </c>
      <c r="K99" s="115" cm="1">
        <f t="array" ref="K99">_xlfn.XLOOKUP(1,(dimLocales_v2[IdUniversidad]=$A99)*(dimLocales_v2[SedePrincipal]=TRUE),dimLocales_v2[UbigeoRENIEC],"")</f>
        <v>40123</v>
      </c>
      <c r="L99" s="115" cm="1">
        <f t="array" ref="L99">_xlfn.XLOOKUP(1,(dimLocales_v2[IdUniversidad]=$A99)*(dimLocales_v2[SedePrincipal]=TRUE),dimLocales_v2[UbigeoINEI],"")</f>
        <v>40126</v>
      </c>
    </row>
    <row r="100" spans="1:12" x14ac:dyDescent="0.25">
      <c r="A100" s="114">
        <v>102</v>
      </c>
      <c r="B100" s="115" t="s">
        <v>949</v>
      </c>
      <c r="C100" s="114" t="s">
        <v>948</v>
      </c>
      <c r="D100" s="114" t="s">
        <v>295</v>
      </c>
      <c r="E100" s="115" t="str" cm="1">
        <f t="array" ref="E100">_xlfn.XLOOKUP(1,(dimLocales_v2[IdUniversidad]=$A100)*(dimLocales_v2[SedePrincipal]=TRUE),dimLocales_v2[Departamento],"")</f>
        <v>Cusco</v>
      </c>
      <c r="F100" s="115" t="str" cm="1">
        <f t="array" ref="F100">_xlfn.XLOOKUP(1,(dimLocales_v2[IdUniversidad]=$A100)*(dimLocales_v2[SedePrincipal]=TRUE),dimLocales_v2[Provincia],"")</f>
        <v>Cusco</v>
      </c>
      <c r="G100" s="115" t="str" cm="1">
        <f t="array" ref="G100">_xlfn.XLOOKUP(1,(dimLocales_v2[IdUniversidad]=$A100)*(dimLocales_v2[SedePrincipal]=TRUE),dimLocales_v2[Distrito],"")</f>
        <v>Cusco</v>
      </c>
      <c r="H100" s="115" t="str" cm="1">
        <f t="array" ref="H100">_xlfn.XLOOKUP(1,(dimLocales_v2[IdUniversidad]=$A100)*(dimLocales_v2[SedePrincipal]=TRUE),dimLocales_v2[Direccion],"")</f>
        <v>Av. Manantiales N°164 - Cusco</v>
      </c>
      <c r="I100" s="115" cm="1">
        <f t="array" ref="I100">_xlfn.XLOOKUP(1,(dimLocales_v2[IdUniversidad]=$A100)*(dimLocales_v2[SedePrincipal]=TRUE),dimLocales_v2[Latitud],"")</f>
        <v>-13.524219499999999</v>
      </c>
      <c r="J100" s="115" cm="1">
        <f t="array" ref="J100">_xlfn.XLOOKUP(1,(dimLocales_v2[IdUniversidad]=$A100)*(dimLocales_v2[SedePrincipal]=TRUE),dimLocales_v2[Longitud],"")</f>
        <v>-71.943693699999997</v>
      </c>
      <c r="K100" s="115" cm="1">
        <f t="array" ref="K100">_xlfn.XLOOKUP(1,(dimLocales_v2[IdUniversidad]=$A100)*(dimLocales_v2[SedePrincipal]=TRUE),dimLocales_v2[UbigeoRENIEC],"")</f>
        <v>70101</v>
      </c>
      <c r="L100" s="115" cm="1">
        <f t="array" ref="L100">_xlfn.XLOOKUP(1,(dimLocales_v2[IdUniversidad]=$A100)*(dimLocales_v2[SedePrincipal]=TRUE),dimLocales_v2[UbigeoINEI],"")</f>
        <v>80101</v>
      </c>
    </row>
    <row r="101" spans="1:12" x14ac:dyDescent="0.25">
      <c r="A101" s="114">
        <v>103</v>
      </c>
      <c r="B101" s="115" t="s">
        <v>947</v>
      </c>
      <c r="C101" s="114" t="s">
        <v>946</v>
      </c>
      <c r="D101" s="114" t="s">
        <v>295</v>
      </c>
      <c r="E101" s="115" t="str" cm="1">
        <f t="array" ref="E101">_xlfn.XLOOKUP(1,(dimLocales_v2[IdUniversidad]=$A101)*(dimLocales_v2[SedePrincipal]=TRUE),dimLocales_v2[Departamento],"")</f>
        <v>Áncash</v>
      </c>
      <c r="F101" s="115" t="str" cm="1">
        <f t="array" ref="F101">_xlfn.XLOOKUP(1,(dimLocales_v2[IdUniversidad]=$A101)*(dimLocales_v2[SedePrincipal]=TRUE),dimLocales_v2[Provincia],"")</f>
        <v>Santa</v>
      </c>
      <c r="G101" s="115" t="str" cm="1">
        <f t="array" ref="G101">_xlfn.XLOOKUP(1,(dimLocales_v2[IdUniversidad]=$A101)*(dimLocales_v2[SedePrincipal]=TRUE),dimLocales_v2[Distrito],"")</f>
        <v>Chimbote</v>
      </c>
      <c r="H101" s="115" t="str" cm="1">
        <f t="array" ref="H101">_xlfn.XLOOKUP(1,(dimLocales_v2[IdUniversidad]=$A101)*(dimLocales_v2[SedePrincipal]=TRUE),dimLocales_v2[Direccion],"")</f>
        <v>Av. Francisco Bolognesi y Plaza 28 de Julio Chimbote</v>
      </c>
      <c r="I101" s="115" cm="1">
        <f t="array" ref="I101">_xlfn.XLOOKUP(1,(dimLocales_v2[IdUniversidad]=$A101)*(dimLocales_v2[SedePrincipal]=TRUE),dimLocales_v2[Latitud],"")</f>
        <v>-9.0761070517999993</v>
      </c>
      <c r="J101" s="115" cm="1">
        <f t="array" ref="J101">_xlfn.XLOOKUP(1,(dimLocales_v2[IdUniversidad]=$A101)*(dimLocales_v2[SedePrincipal]=TRUE),dimLocales_v2[Longitud],"")</f>
        <v>-78.594445098999998</v>
      </c>
      <c r="K101" s="115" cm="1">
        <f t="array" ref="K101">_xlfn.XLOOKUP(1,(dimLocales_v2[IdUniversidad]=$A101)*(dimLocales_v2[SedePrincipal]=TRUE),dimLocales_v2[UbigeoRENIEC],"")</f>
        <v>21301</v>
      </c>
      <c r="L101" s="115" cm="1">
        <f t="array" ref="L101">_xlfn.XLOOKUP(1,(dimLocales_v2[IdUniversidad]=$A101)*(dimLocales_v2[SedePrincipal]=TRUE),dimLocales_v2[UbigeoINEI],"")</f>
        <v>21801</v>
      </c>
    </row>
    <row r="102" spans="1:12" x14ac:dyDescent="0.25">
      <c r="A102" s="114">
        <v>104</v>
      </c>
      <c r="B102" s="115" t="s">
        <v>945</v>
      </c>
      <c r="C102" s="114" t="s">
        <v>944</v>
      </c>
      <c r="D102" s="114" t="s">
        <v>295</v>
      </c>
      <c r="E102" s="115" t="str" cm="1">
        <f t="array" ref="E102">_xlfn.XLOOKUP(1,(dimLocales_v2[IdUniversidad]=$A102)*(dimLocales_v2[SedePrincipal]=TRUE),dimLocales_v2[Departamento],"")</f>
        <v>Puno</v>
      </c>
      <c r="F102" s="115" t="str" cm="1">
        <f t="array" ref="F102">_xlfn.XLOOKUP(1,(dimLocales_v2[IdUniversidad]=$A102)*(dimLocales_v2[SedePrincipal]=TRUE),dimLocales_v2[Provincia],"")</f>
        <v>San Román</v>
      </c>
      <c r="G102" s="115" t="str" cm="1">
        <f t="array" ref="G102">_xlfn.XLOOKUP(1,(dimLocales_v2[IdUniversidad]=$A102)*(dimLocales_v2[SedePrincipal]=TRUE),dimLocales_v2[Distrito],"")</f>
        <v>Juliaca</v>
      </c>
      <c r="H102" s="115" t="str" cm="1">
        <f t="array" ref="H102">_xlfn.XLOOKUP(1,(dimLocales_v2[IdUniversidad]=$A102)*(dimLocales_v2[SedePrincipal]=TRUE),dimLocales_v2[Direccion],"")</f>
        <v>Urbanización Municipal de Taparachi - Av. Circunvalación Oeste con la Carretera Juliaca Puno</v>
      </c>
      <c r="I102" s="115" cm="1">
        <f t="array" ref="I102">_xlfn.XLOOKUP(1,(dimLocales_v2[IdUniversidad]=$A102)*(dimLocales_v2[SedePrincipal]=TRUE),dimLocales_v2[Latitud],"")</f>
        <v>-15.532748</v>
      </c>
      <c r="J102" s="115" cm="1">
        <f t="array" ref="J102">_xlfn.XLOOKUP(1,(dimLocales_v2[IdUniversidad]=$A102)*(dimLocales_v2[SedePrincipal]=TRUE),dimLocales_v2[Longitud],"")</f>
        <v>-70.118667000000002</v>
      </c>
      <c r="K102" s="115" cm="1">
        <f t="array" ref="K102">_xlfn.XLOOKUP(1,(dimLocales_v2[IdUniversidad]=$A102)*(dimLocales_v2[SedePrincipal]=TRUE),dimLocales_v2[UbigeoRENIEC],"")</f>
        <v>200901</v>
      </c>
      <c r="L102" s="115" cm="1">
        <f t="array" ref="L102">_xlfn.XLOOKUP(1,(dimLocales_v2[IdUniversidad]=$A102)*(dimLocales_v2[SedePrincipal]=TRUE),dimLocales_v2[UbigeoINEI],"")</f>
        <v>211101</v>
      </c>
    </row>
    <row r="103" spans="1:12" x14ac:dyDescent="0.25">
      <c r="A103" s="114">
        <v>106</v>
      </c>
      <c r="B103" s="115" t="s">
        <v>63</v>
      </c>
      <c r="C103" s="114" t="s">
        <v>289</v>
      </c>
      <c r="D103" s="114" t="s">
        <v>266</v>
      </c>
      <c r="E103" s="115" t="str" cm="1">
        <f t="array" ref="E103">_xlfn.XLOOKUP(1,(dimLocales_v2[IdUniversidad]=$A103)*(dimLocales_v2[SedePrincipal]=TRUE),dimLocales_v2[Departamento],"")</f>
        <v>San Martín</v>
      </c>
      <c r="F103" s="115" t="str" cm="1">
        <f t="array" ref="F103">_xlfn.XLOOKUP(1,(dimLocales_v2[IdUniversidad]=$A103)*(dimLocales_v2[SedePrincipal]=TRUE),dimLocales_v2[Provincia],"")</f>
        <v>San Martín</v>
      </c>
      <c r="G103" s="115" t="str" cm="1">
        <f t="array" ref="G103">_xlfn.XLOOKUP(1,(dimLocales_v2[IdUniversidad]=$A103)*(dimLocales_v2[SedePrincipal]=TRUE),dimLocales_v2[Distrito],"")</f>
        <v>Tarapoto</v>
      </c>
      <c r="H103" s="115" t="str" cm="1">
        <f t="array" ref="H103">_xlfn.XLOOKUP(1,(dimLocales_v2[IdUniversidad]=$A103)*(dimLocales_v2[SedePrincipal]=TRUE),dimLocales_v2[Direccion],"")</f>
        <v>Jr. Maynas N° 179</v>
      </c>
      <c r="I103" s="115" cm="1">
        <f t="array" ref="I103">_xlfn.XLOOKUP(1,(dimLocales_v2[IdUniversidad]=$A103)*(dimLocales_v2[SedePrincipal]=TRUE),dimLocales_v2[Latitud],"")</f>
        <v>-6.4887718950805997</v>
      </c>
      <c r="J103" s="115" cm="1">
        <f t="array" ref="J103">_xlfn.XLOOKUP(1,(dimLocales_v2[IdUniversidad]=$A103)*(dimLocales_v2[SedePrincipal]=TRUE),dimLocales_v2[Longitud],"")</f>
        <v>-76.359403579762301</v>
      </c>
      <c r="K103" s="115" cm="1">
        <f t="array" ref="K103">_xlfn.XLOOKUP(1,(dimLocales_v2[IdUniversidad]=$A103)*(dimLocales_v2[SedePrincipal]=TRUE),dimLocales_v2[UbigeoRENIEC],"")</f>
        <v>210601</v>
      </c>
      <c r="L103" s="115" cm="1">
        <f t="array" ref="L103">_xlfn.XLOOKUP(1,(dimLocales_v2[IdUniversidad]=$A103)*(dimLocales_v2[SedePrincipal]=TRUE),dimLocales_v2[UbigeoINEI],"")</f>
        <v>220901</v>
      </c>
    </row>
    <row r="104" spans="1:12" x14ac:dyDescent="0.25">
      <c r="A104" s="114">
        <v>107</v>
      </c>
      <c r="B104" s="115" t="s">
        <v>943</v>
      </c>
      <c r="C104" s="114" t="s">
        <v>942</v>
      </c>
      <c r="D104" s="114" t="s">
        <v>295</v>
      </c>
      <c r="E104" s="115" t="str" cm="1">
        <f t="array" ref="E104">_xlfn.XLOOKUP(1,(dimLocales_v2[IdUniversidad]=$A104)*(dimLocales_v2[SedePrincipal]=TRUE),dimLocales_v2[Departamento],"")</f>
        <v>Amazonas</v>
      </c>
      <c r="F104" s="115" t="str" cm="1">
        <f t="array" ref="F104">_xlfn.XLOOKUP(1,(dimLocales_v2[IdUniversidad]=$A104)*(dimLocales_v2[SedePrincipal]=TRUE),dimLocales_v2[Provincia],"")</f>
        <v>Utcubamba</v>
      </c>
      <c r="G104" s="115" t="str" cm="1">
        <f t="array" ref="G104">_xlfn.XLOOKUP(1,(dimLocales_v2[IdUniversidad]=$A104)*(dimLocales_v2[SedePrincipal]=TRUE),dimLocales_v2[Distrito],"")</f>
        <v>Bagua Grande</v>
      </c>
      <c r="H104" s="115" t="str" cm="1">
        <f t="array" ref="H104">_xlfn.XLOOKUP(1,(dimLocales_v2[IdUniversidad]=$A104)*(dimLocales_v2[SedePrincipal]=TRUE),dimLocales_v2[Direccion],"")</f>
        <v>Jr. Santa Rosa N°047, Gonchillo Bajo</v>
      </c>
      <c r="I104" s="115" cm="1">
        <f t="array" ref="I104">_xlfn.XLOOKUP(1,(dimLocales_v2[IdUniversidad]=$A104)*(dimLocales_v2[SedePrincipal]=TRUE),dimLocales_v2[Latitud],"")</f>
        <v>-5.7566749000000002</v>
      </c>
      <c r="J104" s="115" cm="1">
        <f t="array" ref="J104">_xlfn.XLOOKUP(1,(dimLocales_v2[IdUniversidad]=$A104)*(dimLocales_v2[SedePrincipal]=TRUE),dimLocales_v2[Longitud],"")</f>
        <v>-78.443932000000004</v>
      </c>
      <c r="K104" s="115" cm="1">
        <f t="array" ref="K104">_xlfn.XLOOKUP(1,(dimLocales_v2[IdUniversidad]=$A104)*(dimLocales_v2[SedePrincipal]=TRUE),dimLocales_v2[UbigeoRENIEC],"")</f>
        <v>10701</v>
      </c>
      <c r="L104" s="115" cm="1">
        <f t="array" ref="L104">_xlfn.XLOOKUP(1,(dimLocales_v2[IdUniversidad]=$A104)*(dimLocales_v2[SedePrincipal]=TRUE),dimLocales_v2[UbigeoINEI],"")</f>
        <v>10701</v>
      </c>
    </row>
    <row r="105" spans="1:12" x14ac:dyDescent="0.25">
      <c r="A105" s="114">
        <v>108</v>
      </c>
      <c r="B105" s="115" t="s">
        <v>67</v>
      </c>
      <c r="C105" s="114" t="s">
        <v>281</v>
      </c>
      <c r="D105" s="114" t="s">
        <v>266</v>
      </c>
      <c r="E105" s="115" t="str" cm="1">
        <f t="array" ref="E105">_xlfn.XLOOKUP(1,(dimLocales_v2[IdUniversidad]=$A105)*(dimLocales_v2[SedePrincipal]=TRUE),dimLocales_v2[Departamento],"")</f>
        <v>Loreto</v>
      </c>
      <c r="F105" s="115" t="str" cm="1">
        <f t="array" ref="F105">_xlfn.XLOOKUP(1,(dimLocales_v2[IdUniversidad]=$A105)*(dimLocales_v2[SedePrincipal]=TRUE),dimLocales_v2[Provincia],"")</f>
        <v>Alto Amazonas</v>
      </c>
      <c r="G105" s="115" t="str" cm="1">
        <f t="array" ref="G105">_xlfn.XLOOKUP(1,(dimLocales_v2[IdUniversidad]=$A105)*(dimLocales_v2[SedePrincipal]=TRUE),dimLocales_v2[Distrito],"")</f>
        <v>Yurimaguas</v>
      </c>
      <c r="H105" s="115" t="str" cm="1">
        <f t="array" ref="H105">_xlfn.XLOOKUP(1,(dimLocales_v2[IdUniversidad]=$A105)*(dimLocales_v2[SedePrincipal]=TRUE),dimLocales_v2[Direccion],"")</f>
        <v>Calle Prolongación Libertad N° 1220 - 1228</v>
      </c>
      <c r="I105" s="115" cm="1">
        <f t="array" ref="I105">_xlfn.XLOOKUP(1,(dimLocales_v2[IdUniversidad]=$A105)*(dimLocales_v2[SedePrincipal]=TRUE),dimLocales_v2[Latitud],"")</f>
        <v>-5.8974938000000003</v>
      </c>
      <c r="J105" s="115" cm="1">
        <f t="array" ref="J105">_xlfn.XLOOKUP(1,(dimLocales_v2[IdUniversidad]=$A105)*(dimLocales_v2[SedePrincipal]=TRUE),dimLocales_v2[Longitud],"")</f>
        <v>-76.128726799999995</v>
      </c>
      <c r="K105" s="115" cm="1">
        <f t="array" ref="K105">_xlfn.XLOOKUP(1,(dimLocales_v2[IdUniversidad]=$A105)*(dimLocales_v2[SedePrincipal]=TRUE),dimLocales_v2[UbigeoRENIEC],"")</f>
        <v>150201</v>
      </c>
      <c r="L105" s="115" cm="1">
        <f t="array" ref="L105">_xlfn.XLOOKUP(1,(dimLocales_v2[IdUniversidad]=$A105)*(dimLocales_v2[SedePrincipal]=TRUE),dimLocales_v2[UbigeoINEI],"")</f>
        <v>160201</v>
      </c>
    </row>
    <row r="106" spans="1:12" x14ac:dyDescent="0.25">
      <c r="A106" s="114">
        <v>109</v>
      </c>
      <c r="B106" s="115" t="s">
        <v>941</v>
      </c>
      <c r="C106" s="114" t="s">
        <v>940</v>
      </c>
      <c r="D106" s="114" t="s">
        <v>266</v>
      </c>
      <c r="E106" s="115" t="str" cm="1">
        <f t="array" ref="E106">_xlfn.XLOOKUP(1,(dimLocales_v2[IdUniversidad]=$A106)*(dimLocales_v2[SedePrincipal]=TRUE),dimLocales_v2[Departamento],"")</f>
        <v>Amazonas</v>
      </c>
      <c r="F106" s="115" t="str" cm="1">
        <f t="array" ref="F106">_xlfn.XLOOKUP(1,(dimLocales_v2[IdUniversidad]=$A106)*(dimLocales_v2[SedePrincipal]=TRUE),dimLocales_v2[Provincia],"")</f>
        <v>Bagua</v>
      </c>
      <c r="G106" s="115" t="str" cm="1">
        <f t="array" ref="G106">_xlfn.XLOOKUP(1,(dimLocales_v2[IdUniversidad]=$A106)*(dimLocales_v2[SedePrincipal]=TRUE),dimLocales_v2[Distrito],"")</f>
        <v>Bagua</v>
      </c>
      <c r="H106" s="115" t="str" cm="1">
        <f t="array" ref="H106">_xlfn.XLOOKUP(1,(dimLocales_v2[IdUniversidad]=$A106)*(dimLocales_v2[SedePrincipal]=TRUE),dimLocales_v2[Direccion],"")</f>
        <v>Jirón Ancash N° 520</v>
      </c>
      <c r="I106" s="115" cm="1">
        <f t="array" ref="I106">_xlfn.XLOOKUP(1,(dimLocales_v2[IdUniversidad]=$A106)*(dimLocales_v2[SedePrincipal]=TRUE),dimLocales_v2[Latitud],"")</f>
        <v>-5.6324299</v>
      </c>
      <c r="J106" s="115" cm="1">
        <f t="array" ref="J106">_xlfn.XLOOKUP(1,(dimLocales_v2[IdUniversidad]=$A106)*(dimLocales_v2[SedePrincipal]=TRUE),dimLocales_v2[Longitud],"")</f>
        <v>-78.534925999999999</v>
      </c>
      <c r="K106" s="115" cm="1">
        <f t="array" ref="K106">_xlfn.XLOOKUP(1,(dimLocales_v2[IdUniversidad]=$A106)*(dimLocales_v2[SedePrincipal]=TRUE),dimLocales_v2[UbigeoRENIEC],"")</f>
        <v>10205</v>
      </c>
      <c r="L106" s="115" cm="1">
        <f t="array" ref="L106">_xlfn.XLOOKUP(1,(dimLocales_v2[IdUniversidad]=$A106)*(dimLocales_v2[SedePrincipal]=TRUE),dimLocales_v2[UbigeoINEI],"")</f>
        <v>10201</v>
      </c>
    </row>
    <row r="107" spans="1:12" x14ac:dyDescent="0.25">
      <c r="A107" s="114">
        <v>110</v>
      </c>
      <c r="B107" s="115" t="s">
        <v>939</v>
      </c>
      <c r="C107" s="114" t="s">
        <v>938</v>
      </c>
      <c r="D107" s="114" t="s">
        <v>295</v>
      </c>
      <c r="E107" s="115" t="str" cm="1">
        <f t="array" ref="E107">_xlfn.XLOOKUP(1,(dimLocales_v2[IdUniversidad]=$A107)*(dimLocales_v2[SedePrincipal]=TRUE),dimLocales_v2[Departamento],"")</f>
        <v>Lima</v>
      </c>
      <c r="F107" s="115" t="str" cm="1">
        <f t="array" ref="F107">_xlfn.XLOOKUP(1,(dimLocales_v2[IdUniversidad]=$A107)*(dimLocales_v2[SedePrincipal]=TRUE),dimLocales_v2[Provincia],"")</f>
        <v>Lima</v>
      </c>
      <c r="G107" s="115" t="str" cm="1">
        <f t="array" ref="G107">_xlfn.XLOOKUP(1,(dimLocales_v2[IdUniversidad]=$A107)*(dimLocales_v2[SedePrincipal]=TRUE),dimLocales_v2[Distrito],"")</f>
        <v>Magdalena del Mar</v>
      </c>
      <c r="H107" s="115" t="str" cm="1">
        <f t="array" ref="H107">_xlfn.XLOOKUP(1,(dimLocales_v2[IdUniversidad]=$A107)*(dimLocales_v2[SedePrincipal]=TRUE),dimLocales_v2[Direccion],"")</f>
        <v>Av. Salaverry N° 3180 - 3184</v>
      </c>
      <c r="I107" s="115" cm="1">
        <f t="array" ref="I107">_xlfn.XLOOKUP(1,(dimLocales_v2[IdUniversidad]=$A107)*(dimLocales_v2[SedePrincipal]=TRUE),dimLocales_v2[Latitud],"")</f>
        <v>-12.0985893</v>
      </c>
      <c r="J107" s="115" cm="1">
        <f t="array" ref="J107">_xlfn.XLOOKUP(1,(dimLocales_v2[IdUniversidad]=$A107)*(dimLocales_v2[SedePrincipal]=TRUE),dimLocales_v2[Longitud],"")</f>
        <v>-77.056359999999998</v>
      </c>
      <c r="K107" s="115" cm="1">
        <f t="array" ref="K107">_xlfn.XLOOKUP(1,(dimLocales_v2[IdUniversidad]=$A107)*(dimLocales_v2[SedePrincipal]=TRUE),dimLocales_v2[UbigeoRENIEC],"")</f>
        <v>140114</v>
      </c>
      <c r="L107" s="115" cm="1">
        <f t="array" ref="L107">_xlfn.XLOOKUP(1,(dimLocales_v2[IdUniversidad]=$A107)*(dimLocales_v2[SedePrincipal]=TRUE),dimLocales_v2[UbigeoINEI],"")</f>
        <v>150120</v>
      </c>
    </row>
    <row r="108" spans="1:12" x14ac:dyDescent="0.25">
      <c r="A108" s="114">
        <v>111</v>
      </c>
      <c r="B108" s="115" t="s">
        <v>937</v>
      </c>
      <c r="C108" s="114" t="s">
        <v>936</v>
      </c>
      <c r="D108" s="114" t="s">
        <v>295</v>
      </c>
      <c r="E108" s="115" t="str" cm="1">
        <f t="array" ref="E108">_xlfn.XLOOKUP(1,(dimLocales_v2[IdUniversidad]=$A108)*(dimLocales_v2[SedePrincipal]=TRUE),dimLocales_v2[Departamento],"")</f>
        <v>Lambayeque</v>
      </c>
      <c r="F108" s="115" t="str" cm="1">
        <f t="array" ref="F108">_xlfn.XLOOKUP(1,(dimLocales_v2[IdUniversidad]=$A108)*(dimLocales_v2[SedePrincipal]=TRUE),dimLocales_v2[Provincia],"")</f>
        <v>Chiclayo</v>
      </c>
      <c r="G108" s="115" t="str" cm="1">
        <f t="array" ref="G108">_xlfn.XLOOKUP(1,(dimLocales_v2[IdUniversidad]=$A108)*(dimLocales_v2[SedePrincipal]=TRUE),dimLocales_v2[Distrito],"")</f>
        <v>Chiclayo</v>
      </c>
      <c r="H108" s="115" t="str" cm="1">
        <f t="array" ref="H108">_xlfn.XLOOKUP(1,(dimLocales_v2[IdUniversidad]=$A108)*(dimLocales_v2[SedePrincipal]=TRUE),dimLocales_v2[Direccion],"")</f>
        <v>Cruce de la Calle Tacna y Av. José Leonardo Ortiz</v>
      </c>
      <c r="I108" s="115" cm="1">
        <f t="array" ref="I108">_xlfn.XLOOKUP(1,(dimLocales_v2[IdUniversidad]=$A108)*(dimLocales_v2[SedePrincipal]=TRUE),dimLocales_v2[Latitud],"")</f>
        <v>-6.7745742</v>
      </c>
      <c r="J108" s="115" cm="1">
        <f t="array" ref="J108">_xlfn.XLOOKUP(1,(dimLocales_v2[IdUniversidad]=$A108)*(dimLocales_v2[SedePrincipal]=TRUE),dimLocales_v2[Longitud],"")</f>
        <v>-79.845074499999996</v>
      </c>
      <c r="K108" s="115" cm="1">
        <f t="array" ref="K108">_xlfn.XLOOKUP(1,(dimLocales_v2[IdUniversidad]=$A108)*(dimLocales_v2[SedePrincipal]=TRUE),dimLocales_v2[UbigeoRENIEC],"")</f>
        <v>130101</v>
      </c>
      <c r="L108" s="115" cm="1">
        <f t="array" ref="L108">_xlfn.XLOOKUP(1,(dimLocales_v2[IdUniversidad]=$A108)*(dimLocales_v2[SedePrincipal]=TRUE),dimLocales_v2[UbigeoINEI],"")</f>
        <v>140101</v>
      </c>
    </row>
    <row r="109" spans="1:12" x14ac:dyDescent="0.25">
      <c r="A109" s="114">
        <v>112</v>
      </c>
      <c r="B109" s="115" t="s">
        <v>935</v>
      </c>
      <c r="C109" s="114" t="s">
        <v>934</v>
      </c>
      <c r="D109" s="114" t="s">
        <v>295</v>
      </c>
      <c r="E109" s="115" t="str" cm="1">
        <f t="array" ref="E109">_xlfn.XLOOKUP(1,(dimLocales_v2[IdUniversidad]=$A109)*(dimLocales_v2[SedePrincipal]=TRUE),dimLocales_v2[Departamento],"")</f>
        <v>Lima</v>
      </c>
      <c r="F109" s="115" t="str" cm="1">
        <f t="array" ref="F109">_xlfn.XLOOKUP(1,(dimLocales_v2[IdUniversidad]=$A109)*(dimLocales_v2[SedePrincipal]=TRUE),dimLocales_v2[Provincia],"")</f>
        <v>Lima</v>
      </c>
      <c r="G109" s="115" t="str" cm="1">
        <f t="array" ref="G109">_xlfn.XLOOKUP(1,(dimLocales_v2[IdUniversidad]=$A109)*(dimLocales_v2[SedePrincipal]=TRUE),dimLocales_v2[Distrito],"")</f>
        <v>San Borja</v>
      </c>
      <c r="H109" s="115" t="str" cm="1">
        <f t="array" ref="H109">_xlfn.XLOOKUP(1,(dimLocales_v2[IdUniversidad]=$A109)*(dimLocales_v2[SedePrincipal]=TRUE),dimLocales_v2[Direccion],"")</f>
        <v>Av. Primavera Nº 207 - Urbanización Chacarilla del Estanque</v>
      </c>
      <c r="I109" s="115" cm="1">
        <f t="array" ref="I109">_xlfn.XLOOKUP(1,(dimLocales_v2[IdUniversidad]=$A109)*(dimLocales_v2[SedePrincipal]=TRUE),dimLocales_v2[Latitud],"")</f>
        <v>-12.110886199999999</v>
      </c>
      <c r="J109" s="115" cm="1">
        <f t="array" ref="J109">_xlfn.XLOOKUP(1,(dimLocales_v2[IdUniversidad]=$A109)*(dimLocales_v2[SedePrincipal]=TRUE),dimLocales_v2[Longitud],"")</f>
        <v>-76.991261899999998</v>
      </c>
      <c r="K109" s="115" cm="1">
        <f t="array" ref="K109">_xlfn.XLOOKUP(1,(dimLocales_v2[IdUniversidad]=$A109)*(dimLocales_v2[SedePrincipal]=TRUE),dimLocales_v2[UbigeoRENIEC],"")</f>
        <v>140140</v>
      </c>
      <c r="L109" s="115" cm="1">
        <f t="array" ref="L109">_xlfn.XLOOKUP(1,(dimLocales_v2[IdUniversidad]=$A109)*(dimLocales_v2[SedePrincipal]=TRUE),dimLocales_v2[UbigeoINEI],"")</f>
        <v>150130</v>
      </c>
    </row>
    <row r="110" spans="1:12" x14ac:dyDescent="0.25">
      <c r="A110" s="114">
        <v>113</v>
      </c>
      <c r="B110" s="115" t="s">
        <v>933</v>
      </c>
      <c r="C110" s="114" t="s">
        <v>932</v>
      </c>
      <c r="D110" s="114" t="s">
        <v>295</v>
      </c>
      <c r="E110" s="115" t="str" cm="1">
        <f t="array" ref="E110">_xlfn.XLOOKUP(1,(dimLocales_v2[IdUniversidad]=$A110)*(dimLocales_v2[SedePrincipal]=TRUE),dimLocales_v2[Departamento],"")</f>
        <v>Lima</v>
      </c>
      <c r="F110" s="115" t="str" cm="1">
        <f t="array" ref="F110">_xlfn.XLOOKUP(1,(dimLocales_v2[IdUniversidad]=$A110)*(dimLocales_v2[SedePrincipal]=TRUE),dimLocales_v2[Provincia],"")</f>
        <v>Lima</v>
      </c>
      <c r="G110" s="115" t="str" cm="1">
        <f t="array" ref="G110">_xlfn.XLOOKUP(1,(dimLocales_v2[IdUniversidad]=$A110)*(dimLocales_v2[SedePrincipal]=TRUE),dimLocales_v2[Distrito],"")</f>
        <v>Jesús María</v>
      </c>
      <c r="H110" s="115" t="str" cm="1">
        <f t="array" ref="H110">_xlfn.XLOOKUP(1,(dimLocales_v2[IdUniversidad]=$A110)*(dimLocales_v2[SedePrincipal]=TRUE),dimLocales_v2[Direccion],"")</f>
        <v>Avenida Salaverry Nº 1810</v>
      </c>
      <c r="I110" s="115" cm="1">
        <f t="array" ref="I110">_xlfn.XLOOKUP(1,(dimLocales_v2[IdUniversidad]=$A110)*(dimLocales_v2[SedePrincipal]=TRUE),dimLocales_v2[Latitud],"")</f>
        <v>-12.0825774</v>
      </c>
      <c r="J110" s="115" cm="1">
        <f t="array" ref="J110">_xlfn.XLOOKUP(1,(dimLocales_v2[IdUniversidad]=$A110)*(dimLocales_v2[SedePrincipal]=TRUE),dimLocales_v2[Longitud],"")</f>
        <v>-77.046274499999996</v>
      </c>
      <c r="K110" s="115" cm="1">
        <f t="array" ref="K110">_xlfn.XLOOKUP(1,(dimLocales_v2[IdUniversidad]=$A110)*(dimLocales_v2[SedePrincipal]=TRUE),dimLocales_v2[UbigeoRENIEC],"")</f>
        <v>140133</v>
      </c>
      <c r="L110" s="115" cm="1">
        <f t="array" ref="L110">_xlfn.XLOOKUP(1,(dimLocales_v2[IdUniversidad]=$A110)*(dimLocales_v2[SedePrincipal]=TRUE),dimLocales_v2[UbigeoINEI],"")</f>
        <v>150113</v>
      </c>
    </row>
    <row r="111" spans="1:12" x14ac:dyDescent="0.25">
      <c r="A111" s="114">
        <v>114</v>
      </c>
      <c r="B111" s="115" t="s">
        <v>931</v>
      </c>
      <c r="C111" s="114" t="s">
        <v>930</v>
      </c>
      <c r="D111" s="114" t="s">
        <v>295</v>
      </c>
      <c r="E111" s="115" t="str" cm="1">
        <f t="array" ref="E111">_xlfn.XLOOKUP(1,(dimLocales_v2[IdUniversidad]=$A111)*(dimLocales_v2[SedePrincipal]=TRUE),dimLocales_v2[Departamento],"")</f>
        <v>Lima</v>
      </c>
      <c r="F111" s="115" t="str" cm="1">
        <f t="array" ref="F111">_xlfn.XLOOKUP(1,(dimLocales_v2[IdUniversidad]=$A111)*(dimLocales_v2[SedePrincipal]=TRUE),dimLocales_v2[Provincia],"")</f>
        <v>Lima</v>
      </c>
      <c r="G111" s="115" t="str" cm="1">
        <f t="array" ref="G111">_xlfn.XLOOKUP(1,(dimLocales_v2[IdUniversidad]=$A111)*(dimLocales_v2[SedePrincipal]=TRUE),dimLocales_v2[Distrito],"")</f>
        <v>Santiago de Surco</v>
      </c>
      <c r="H111" s="115" t="str" cm="1">
        <f t="array" ref="H111">_xlfn.XLOOKUP(1,(dimLocales_v2[IdUniversidad]=$A111)*(dimLocales_v2[SedePrincipal]=TRUE),dimLocales_v2[Direccion],"")</f>
        <v>Av. Circunvalación Nº 653, Urb. San Ignacio de Monterrico</v>
      </c>
      <c r="I111" s="115" cm="1">
        <f t="array" ref="I111">_xlfn.XLOOKUP(1,(dimLocales_v2[IdUniversidad]=$A111)*(dimLocales_v2[SedePrincipal]=TRUE),dimLocales_v2[Latitud],"")</f>
        <v>-12.134611</v>
      </c>
      <c r="J111" s="115" cm="1">
        <f t="array" ref="J111">_xlfn.XLOOKUP(1,(dimLocales_v2[IdUniversidad]=$A111)*(dimLocales_v2[SedePrincipal]=TRUE),dimLocales_v2[Longitud],"")</f>
        <v>-76.979022999999998</v>
      </c>
      <c r="K111" s="115" cm="1">
        <f t="array" ref="K111">_xlfn.XLOOKUP(1,(dimLocales_v2[IdUniversidad]=$A111)*(dimLocales_v2[SedePrincipal]=TRUE),dimLocales_v2[UbigeoRENIEC],"")</f>
        <v>140130</v>
      </c>
      <c r="L111" s="115" cm="1">
        <f t="array" ref="L111">_xlfn.XLOOKUP(1,(dimLocales_v2[IdUniversidad]=$A111)*(dimLocales_v2[SedePrincipal]=TRUE),dimLocales_v2[UbigeoINEI],"")</f>
        <v>150140</v>
      </c>
    </row>
    <row r="112" spans="1:12" x14ac:dyDescent="0.25">
      <c r="A112" s="114">
        <v>115</v>
      </c>
      <c r="B112" s="115" t="s">
        <v>929</v>
      </c>
      <c r="C112" s="114" t="s">
        <v>928</v>
      </c>
      <c r="D112" s="114" t="s">
        <v>266</v>
      </c>
      <c r="E112" s="115" t="str" cm="1">
        <f t="array" ref="E112">_xlfn.XLOOKUP(1,(dimLocales_v2[IdUniversidad]=$A112)*(dimLocales_v2[SedePrincipal]=TRUE),dimLocales_v2[Departamento],"")</f>
        <v>Ucayali</v>
      </c>
      <c r="F112" s="115" t="str" cm="1">
        <f t="array" ref="F112">_xlfn.XLOOKUP(1,(dimLocales_v2[IdUniversidad]=$A112)*(dimLocales_v2[SedePrincipal]=TRUE),dimLocales_v2[Provincia],"")</f>
        <v>Coronel Portillo</v>
      </c>
      <c r="G112" s="115" t="str" cm="1">
        <f t="array" ref="G112">_xlfn.XLOOKUP(1,(dimLocales_v2[IdUniversidad]=$A112)*(dimLocales_v2[SedePrincipal]=TRUE),dimLocales_v2[Distrito],"")</f>
        <v>Calleria</v>
      </c>
      <c r="H112" s="115" t="str" cm="1">
        <f t="array" ref="H112">_xlfn.XLOOKUP(1,(dimLocales_v2[IdUniversidad]=$A112)*(dimLocales_v2[SedePrincipal]=TRUE),dimLocales_v2[Direccion],"")</f>
        <v>Carretera Federico Basadre Km. 6.200</v>
      </c>
      <c r="I112" s="115" cm="1">
        <f t="array" ref="I112">_xlfn.XLOOKUP(1,(dimLocales_v2[IdUniversidad]=$A112)*(dimLocales_v2[SedePrincipal]=TRUE),dimLocales_v2[Latitud],"")</f>
        <v>-8.3948987000000006</v>
      </c>
      <c r="J112" s="115" cm="1">
        <f t="array" ref="J112">_xlfn.XLOOKUP(1,(dimLocales_v2[IdUniversidad]=$A112)*(dimLocales_v2[SedePrincipal]=TRUE),dimLocales_v2[Longitud],"")</f>
        <v>-74.577609300000006</v>
      </c>
      <c r="K112" s="115" cm="1">
        <f t="array" ref="K112">_xlfn.XLOOKUP(1,(dimLocales_v2[IdUniversidad]=$A112)*(dimLocales_v2[SedePrincipal]=TRUE),dimLocales_v2[UbigeoRENIEC],"")</f>
        <v>250101</v>
      </c>
      <c r="L112" s="115" cm="1">
        <f t="array" ref="L112">_xlfn.XLOOKUP(1,(dimLocales_v2[IdUniversidad]=$A112)*(dimLocales_v2[SedePrincipal]=TRUE),dimLocales_v2[UbigeoINEI],"")</f>
        <v>250101</v>
      </c>
    </row>
    <row r="113" spans="1:12" x14ac:dyDescent="0.25">
      <c r="A113" s="114">
        <v>116</v>
      </c>
      <c r="B113" s="115" t="s">
        <v>927</v>
      </c>
      <c r="C113" s="114" t="s">
        <v>926</v>
      </c>
      <c r="D113" s="114" t="s">
        <v>266</v>
      </c>
      <c r="E113" s="115" t="str" cm="1">
        <f t="array" ref="E113">_xlfn.XLOOKUP(1,(dimLocales_v2[IdUniversidad]=$A113)*(dimLocales_v2[SedePrincipal]=TRUE),dimLocales_v2[Departamento],"")</f>
        <v>Tacna</v>
      </c>
      <c r="F113" s="115" t="str" cm="1">
        <f t="array" ref="F113">_xlfn.XLOOKUP(1,(dimLocales_v2[IdUniversidad]=$A113)*(dimLocales_v2[SedePrincipal]=TRUE),dimLocales_v2[Provincia],"")</f>
        <v>Tacna</v>
      </c>
      <c r="G113" s="115" t="str" cm="1">
        <f t="array" ref="G113">_xlfn.XLOOKUP(1,(dimLocales_v2[IdUniversidad]=$A113)*(dimLocales_v2[SedePrincipal]=TRUE),dimLocales_v2[Distrito],"")</f>
        <v>Tacna</v>
      </c>
      <c r="H113" s="115" t="str" cm="1">
        <f t="array" ref="H113">_xlfn.XLOOKUP(1,(dimLocales_v2[IdUniversidad]=$A113)*(dimLocales_v2[SedePrincipal]=TRUE),dimLocales_v2[Direccion],"")</f>
        <v>Av. Miraflores y Av. Cuzco S/N</v>
      </c>
      <c r="I113" s="115" cm="1">
        <f t="array" ref="I113">_xlfn.XLOOKUP(1,(dimLocales_v2[IdUniversidad]=$A113)*(dimLocales_v2[SedePrincipal]=TRUE),dimLocales_v2[Latitud],"")</f>
        <v>-18.0251828</v>
      </c>
      <c r="J113" s="115" cm="1">
        <f t="array" ref="J113">_xlfn.XLOOKUP(1,(dimLocales_v2[IdUniversidad]=$A113)*(dimLocales_v2[SedePrincipal]=TRUE),dimLocales_v2[Longitud],"")</f>
        <v>-70.250503100000003</v>
      </c>
      <c r="K113" s="115" cm="1">
        <f t="array" ref="K113">_xlfn.XLOOKUP(1,(dimLocales_v2[IdUniversidad]=$A113)*(dimLocales_v2[SedePrincipal]=TRUE),dimLocales_v2[UbigeoRENIEC],"")</f>
        <v>220101</v>
      </c>
      <c r="L113" s="115" cm="1">
        <f t="array" ref="L113">_xlfn.XLOOKUP(1,(dimLocales_v2[IdUniversidad]=$A113)*(dimLocales_v2[SedePrincipal]=TRUE),dimLocales_v2[UbigeoINEI],"")</f>
        <v>230101</v>
      </c>
    </row>
    <row r="114" spans="1:12" x14ac:dyDescent="0.25">
      <c r="A114" s="114">
        <v>118</v>
      </c>
      <c r="B114" s="115" t="s">
        <v>925</v>
      </c>
      <c r="C114" s="114" t="s">
        <v>924</v>
      </c>
      <c r="D114" s="114" t="s">
        <v>295</v>
      </c>
      <c r="E114" s="115" t="str" cm="1">
        <f t="array" ref="E114">_xlfn.XLOOKUP(1,(dimLocales_v2[IdUniversidad]=$A114)*(dimLocales_v2[SedePrincipal]=TRUE),dimLocales_v2[Departamento],"")</f>
        <v>Lima</v>
      </c>
      <c r="F114" s="115" t="str" cm="1">
        <f t="array" ref="F114">_xlfn.XLOOKUP(1,(dimLocales_v2[IdUniversidad]=$A114)*(dimLocales_v2[SedePrincipal]=TRUE),dimLocales_v2[Provincia],"")</f>
        <v>Lima</v>
      </c>
      <c r="G114" s="115" t="str" cm="1">
        <f t="array" ref="G114">_xlfn.XLOOKUP(1,(dimLocales_v2[IdUniversidad]=$A114)*(dimLocales_v2[SedePrincipal]=TRUE),dimLocales_v2[Distrito],"")</f>
        <v>Pueblo Libre</v>
      </c>
      <c r="H114" s="115" t="str" cm="1">
        <f t="array" ref="H114">_xlfn.XLOOKUP(1,(dimLocales_v2[IdUniversidad]=$A114)*(dimLocales_v2[SedePrincipal]=TRUE),dimLocales_v2[Direccion],"")</f>
        <v>Jr. Carlos Bondy 700</v>
      </c>
      <c r="I114" s="115" cm="1">
        <f t="array" ref="I114">_xlfn.XLOOKUP(1,(dimLocales_v2[IdUniversidad]=$A114)*(dimLocales_v2[SedePrincipal]=TRUE),dimLocales_v2[Latitud],"")</f>
        <v>-12.0836439</v>
      </c>
      <c r="J114" s="115" cm="1">
        <f t="array" ref="J114">_xlfn.XLOOKUP(1,(dimLocales_v2[IdUniversidad]=$A114)*(dimLocales_v2[SedePrincipal]=TRUE),dimLocales_v2[Longitud],"")</f>
        <v>-77.069217800000004</v>
      </c>
      <c r="K114" s="115" cm="1">
        <f t="array" ref="K114">_xlfn.XLOOKUP(1,(dimLocales_v2[IdUniversidad]=$A114)*(dimLocales_v2[SedePrincipal]=TRUE),dimLocales_v2[UbigeoRENIEC],"")</f>
        <v>140117</v>
      </c>
      <c r="L114" s="115" cm="1">
        <f t="array" ref="L114">_xlfn.XLOOKUP(1,(dimLocales_v2[IdUniversidad]=$A114)*(dimLocales_v2[SedePrincipal]=TRUE),dimLocales_v2[UbigeoINEI],"")</f>
        <v>150121</v>
      </c>
    </row>
    <row r="115" spans="1:12" x14ac:dyDescent="0.25">
      <c r="A115" s="114">
        <v>119</v>
      </c>
      <c r="B115" s="115" t="s">
        <v>923</v>
      </c>
      <c r="C115" s="114" t="s">
        <v>922</v>
      </c>
      <c r="D115" s="114" t="s">
        <v>266</v>
      </c>
      <c r="E115" s="115" t="str" cm="1">
        <f t="array" ref="E115">_xlfn.XLOOKUP(1,(dimLocales_v2[IdUniversidad]=$A115)*(dimLocales_v2[SedePrincipal]=TRUE),dimLocales_v2[Departamento],"")</f>
        <v>Lima</v>
      </c>
      <c r="F115" s="115" t="str" cm="1">
        <f t="array" ref="F115">_xlfn.XLOOKUP(1,(dimLocales_v2[IdUniversidad]=$A115)*(dimLocales_v2[SedePrincipal]=TRUE),dimLocales_v2[Provincia],"")</f>
        <v>Lima</v>
      </c>
      <c r="G115" s="115" t="str" cm="1">
        <f t="array" ref="G115">_xlfn.XLOOKUP(1,(dimLocales_v2[IdUniversidad]=$A115)*(dimLocales_v2[SedePrincipal]=TRUE),dimLocales_v2[Distrito],"")</f>
        <v>Villa El Salvador</v>
      </c>
      <c r="H115" s="115" t="str" cm="1">
        <f t="array" ref="H115">_xlfn.XLOOKUP(1,(dimLocales_v2[IdUniversidad]=$A115)*(dimLocales_v2[SedePrincipal]=TRUE),dimLocales_v2[Direccion],"")</f>
        <v>Av. Bolívar S/N Sector 3, Grupo 1 Mz. "A" Sub Lote 3</v>
      </c>
      <c r="I115" s="115" cm="1">
        <f t="array" ref="I115">_xlfn.XLOOKUP(1,(dimLocales_v2[IdUniversidad]=$A115)*(dimLocales_v2[SedePrincipal]=TRUE),dimLocales_v2[Latitud],"")</f>
        <v>-12.2134138</v>
      </c>
      <c r="J115" s="115" cm="1">
        <f t="array" ref="J115">_xlfn.XLOOKUP(1,(dimLocales_v2[IdUniversidad]=$A115)*(dimLocales_v2[SedePrincipal]=TRUE),dimLocales_v2[Longitud],"")</f>
        <v>-76.932692399999993</v>
      </c>
      <c r="K115" s="115" cm="1">
        <f t="array" ref="K115">_xlfn.XLOOKUP(1,(dimLocales_v2[IdUniversidad]=$A115)*(dimLocales_v2[SedePrincipal]=TRUE),dimLocales_v2[UbigeoRENIEC],"")</f>
        <v>140141</v>
      </c>
      <c r="L115" s="115" cm="1">
        <f t="array" ref="L115">_xlfn.XLOOKUP(1,(dimLocales_v2[IdUniversidad]=$A115)*(dimLocales_v2[SedePrincipal]=TRUE),dimLocales_v2[UbigeoINEI],"")</f>
        <v>150142</v>
      </c>
    </row>
    <row r="116" spans="1:12" x14ac:dyDescent="0.25">
      <c r="A116" s="114">
        <v>120</v>
      </c>
      <c r="B116" s="115" t="s">
        <v>921</v>
      </c>
      <c r="C116" s="114" t="s">
        <v>920</v>
      </c>
      <c r="D116" s="114" t="s">
        <v>295</v>
      </c>
      <c r="E116" s="115" t="str" cm="1">
        <f t="array" ref="E116">_xlfn.XLOOKUP(1,(dimLocales_v2[IdUniversidad]=$A116)*(dimLocales_v2[SedePrincipal]=TRUE),dimLocales_v2[Departamento],"")</f>
        <v>La Libertad</v>
      </c>
      <c r="F116" s="115" t="str" cm="1">
        <f t="array" ref="F116">_xlfn.XLOOKUP(1,(dimLocales_v2[IdUniversidad]=$A116)*(dimLocales_v2[SedePrincipal]=TRUE),dimLocales_v2[Provincia],"")</f>
        <v>Trujillo</v>
      </c>
      <c r="G116" s="115" t="str" cm="1">
        <f t="array" ref="G116">_xlfn.XLOOKUP(1,(dimLocales_v2[IdUniversidad]=$A116)*(dimLocales_v2[SedePrincipal]=TRUE),dimLocales_v2[Distrito],"")</f>
        <v>Trujillo</v>
      </c>
      <c r="H116" s="115" t="str" cm="1">
        <f t="array" ref="H116">_xlfn.XLOOKUP(1,(dimLocales_v2[IdUniversidad]=$A116)*(dimLocales_v2[SedePrincipal]=TRUE),dimLocales_v2[Direccion],"")</f>
        <v>Av. España N° 163-169 -Ca. Marcelo Corne 119-125</v>
      </c>
      <c r="I116" s="115" cm="1">
        <f t="array" ref="I116">_xlfn.XLOOKUP(1,(dimLocales_v2[IdUniversidad]=$A116)*(dimLocales_v2[SedePrincipal]=TRUE),dimLocales_v2[Latitud],"")</f>
        <v>-8.1151</v>
      </c>
      <c r="J116" s="115" cm="1">
        <f t="array" ref="J116">_xlfn.XLOOKUP(1,(dimLocales_v2[IdUniversidad]=$A116)*(dimLocales_v2[SedePrincipal]=TRUE),dimLocales_v2[Longitud],"")</f>
        <v>-79.031940000000006</v>
      </c>
      <c r="K116" s="115" cm="1">
        <f t="array" ref="K116">_xlfn.XLOOKUP(1,(dimLocales_v2[IdUniversidad]=$A116)*(dimLocales_v2[SedePrincipal]=TRUE),dimLocales_v2[UbigeoRENIEC],"")</f>
        <v>120101</v>
      </c>
      <c r="L116" s="115" cm="1">
        <f t="array" ref="L116">_xlfn.XLOOKUP(1,(dimLocales_v2[IdUniversidad]=$A116)*(dimLocales_v2[SedePrincipal]=TRUE),dimLocales_v2[UbigeoINEI],"")</f>
        <v>130101</v>
      </c>
    </row>
    <row r="117" spans="1:12" x14ac:dyDescent="0.25">
      <c r="A117" s="114">
        <v>121</v>
      </c>
      <c r="B117" s="115" t="s">
        <v>919</v>
      </c>
      <c r="C117" s="114" t="s">
        <v>918</v>
      </c>
      <c r="D117" s="114" t="s">
        <v>266</v>
      </c>
      <c r="E117" s="115" t="str" cm="1">
        <f t="array" ref="E117">_xlfn.XLOOKUP(1,(dimLocales_v2[IdUniversidad]=$A117)*(dimLocales_v2[SedePrincipal]=TRUE),dimLocales_v2[Departamento],"")</f>
        <v>Lima</v>
      </c>
      <c r="F117" s="115" t="str" cm="1">
        <f t="array" ref="F117">_xlfn.XLOOKUP(1,(dimLocales_v2[IdUniversidad]=$A117)*(dimLocales_v2[SedePrincipal]=TRUE),dimLocales_v2[Provincia],"")</f>
        <v>Lima</v>
      </c>
      <c r="G117" s="115" t="str" cm="1">
        <f t="array" ref="G117">_xlfn.XLOOKUP(1,(dimLocales_v2[IdUniversidad]=$A117)*(dimLocales_v2[SedePrincipal]=TRUE),dimLocales_v2[Distrito],"")</f>
        <v>San Juan de Lurigancho</v>
      </c>
      <c r="H117" s="115" t="str" cm="1">
        <f t="array" ref="H117">_xlfn.XLOOKUP(1,(dimLocales_v2[IdUniversidad]=$A117)*(dimLocales_v2[SedePrincipal]=TRUE),dimLocales_v2[Direccion],"")</f>
        <v>San Juan de Lurigancho</v>
      </c>
      <c r="I117" s="115" cm="1">
        <f t="array" ref="I117">_xlfn.XLOOKUP(1,(dimLocales_v2[IdUniversidad]=$A117)*(dimLocales_v2[SedePrincipal]=TRUE),dimLocales_v2[Latitud],"")</f>
        <v>-11.9835577</v>
      </c>
      <c r="J117" s="115" cm="1">
        <f t="array" ref="J117">_xlfn.XLOOKUP(1,(dimLocales_v2[IdUniversidad]=$A117)*(dimLocales_v2[SedePrincipal]=TRUE),dimLocales_v2[Longitud],"")</f>
        <v>-77.009520899999998</v>
      </c>
      <c r="K117" s="115" cm="1">
        <f t="array" ref="K117">_xlfn.XLOOKUP(1,(dimLocales_v2[IdUniversidad]=$A117)*(dimLocales_v2[SedePrincipal]=TRUE),dimLocales_v2[UbigeoRENIEC],"")</f>
        <v>140137</v>
      </c>
      <c r="L117" s="115" cm="1">
        <f t="array" ref="L117">_xlfn.XLOOKUP(1,(dimLocales_v2[IdUniversidad]=$A117)*(dimLocales_v2[SedePrincipal]=TRUE),dimLocales_v2[UbigeoINEI],"")</f>
        <v>150132</v>
      </c>
    </row>
    <row r="118" spans="1:12" x14ac:dyDescent="0.25">
      <c r="A118" s="114">
        <v>122</v>
      </c>
      <c r="B118" s="115" t="s">
        <v>917</v>
      </c>
      <c r="C118" s="114" t="s">
        <v>916</v>
      </c>
      <c r="D118" s="114" t="s">
        <v>266</v>
      </c>
      <c r="E118" s="115" t="str" cm="1">
        <f t="array" ref="E118">_xlfn.XLOOKUP(1,(dimLocales_v2[IdUniversidad]=$A118)*(dimLocales_v2[SedePrincipal]=TRUE),dimLocales_v2[Departamento],"")</f>
        <v>Lima</v>
      </c>
      <c r="F118" s="115" t="str" cm="1">
        <f t="array" ref="F118">_xlfn.XLOOKUP(1,(dimLocales_v2[IdUniversidad]=$A118)*(dimLocales_v2[SedePrincipal]=TRUE),dimLocales_v2[Provincia],"")</f>
        <v>Lima</v>
      </c>
      <c r="G118" s="115" t="str" cm="1">
        <f t="array" ref="G118">_xlfn.XLOOKUP(1,(dimLocales_v2[IdUniversidad]=$A118)*(dimLocales_v2[SedePrincipal]=TRUE),dimLocales_v2[Distrito],"")</f>
        <v>Los Olivos</v>
      </c>
      <c r="H118" s="115" t="str" cm="1">
        <f t="array" ref="H118">_xlfn.XLOOKUP(1,(dimLocales_v2[IdUniversidad]=$A118)*(dimLocales_v2[SedePrincipal]=TRUE),dimLocales_v2[Direccion],"")</f>
        <v>Los Olivos</v>
      </c>
      <c r="I118" s="115" cm="1">
        <f t="array" ref="I118">_xlfn.XLOOKUP(1,(dimLocales_v2[IdUniversidad]=$A118)*(dimLocales_v2[SedePrincipal]=TRUE),dimLocales_v2[Latitud],"")</f>
        <v>-12.0003522</v>
      </c>
      <c r="J118" s="115" cm="1">
        <f t="array" ref="J118">_xlfn.XLOOKUP(1,(dimLocales_v2[IdUniversidad]=$A118)*(dimLocales_v2[SedePrincipal]=TRUE),dimLocales_v2[Longitud],"")</f>
        <v>-77.083390300000005</v>
      </c>
      <c r="K118" s="115" cm="1">
        <f t="array" ref="K118">_xlfn.XLOOKUP(1,(dimLocales_v2[IdUniversidad]=$A118)*(dimLocales_v2[SedePrincipal]=TRUE),dimLocales_v2[UbigeoRENIEC],"")</f>
        <v>140142</v>
      </c>
      <c r="L118" s="115" cm="1">
        <f t="array" ref="L118">_xlfn.XLOOKUP(1,(dimLocales_v2[IdUniversidad]=$A118)*(dimLocales_v2[SedePrincipal]=TRUE),dimLocales_v2[UbigeoINEI],"")</f>
        <v>150117</v>
      </c>
    </row>
    <row r="119" spans="1:12" x14ac:dyDescent="0.25">
      <c r="A119" s="114">
        <v>123</v>
      </c>
      <c r="B119" s="115" t="s">
        <v>915</v>
      </c>
      <c r="C119" s="114" t="s">
        <v>914</v>
      </c>
      <c r="D119" s="114" t="s">
        <v>295</v>
      </c>
      <c r="E119" s="115" t="str" cm="1">
        <f t="array" ref="E119">_xlfn.XLOOKUP(1,(dimLocales_v2[IdUniversidad]=$A119)*(dimLocales_v2[SedePrincipal]=TRUE),dimLocales_v2[Departamento],"")</f>
        <v>Lima</v>
      </c>
      <c r="F119" s="115" t="str" cm="1">
        <f t="array" ref="F119">_xlfn.XLOOKUP(1,(dimLocales_v2[IdUniversidad]=$A119)*(dimLocales_v2[SedePrincipal]=TRUE),dimLocales_v2[Provincia],"")</f>
        <v>Lima</v>
      </c>
      <c r="G119" s="115" t="str" cm="1">
        <f t="array" ref="G119">_xlfn.XLOOKUP(1,(dimLocales_v2[IdUniversidad]=$A119)*(dimLocales_v2[SedePrincipal]=TRUE),dimLocales_v2[Distrito],"")</f>
        <v>Lima</v>
      </c>
      <c r="H119" s="115" t="str" cm="1">
        <f t="array" ref="H119">_xlfn.XLOOKUP(1,(dimLocales_v2[IdUniversidad]=$A119)*(dimLocales_v2[SedePrincipal]=TRUE),dimLocales_v2[Direccion],"")</f>
        <v>Av. Inca Garcilazo de la Vega N° 1810, 1820, 1830, 1850, 1860, 1870, 1880 y 1890</v>
      </c>
      <c r="I119" s="115" cm="1">
        <f t="array" ref="I119">_xlfn.XLOOKUP(1,(dimLocales_v2[IdUniversidad]=$A119)*(dimLocales_v2[SedePrincipal]=TRUE),dimLocales_v2[Latitud],"")</f>
        <v>-12.0630477</v>
      </c>
      <c r="J119" s="115" cm="1">
        <f t="array" ref="J119">_xlfn.XLOOKUP(1,(dimLocales_v2[IdUniversidad]=$A119)*(dimLocales_v2[SedePrincipal]=TRUE),dimLocales_v2[Longitud],"")</f>
        <v>-77.038036500000004</v>
      </c>
      <c r="K119" s="115" cm="1">
        <f t="array" ref="K119">_xlfn.XLOOKUP(1,(dimLocales_v2[IdUniversidad]=$A119)*(dimLocales_v2[SedePrincipal]=TRUE),dimLocales_v2[UbigeoRENIEC],"")</f>
        <v>140101</v>
      </c>
      <c r="L119" s="115" cm="1">
        <f t="array" ref="L119">_xlfn.XLOOKUP(1,(dimLocales_v2[IdUniversidad]=$A119)*(dimLocales_v2[SedePrincipal]=TRUE),dimLocales_v2[UbigeoINEI],"")</f>
        <v>150101</v>
      </c>
    </row>
    <row r="120" spans="1:12" x14ac:dyDescent="0.25">
      <c r="A120" s="114">
        <v>124</v>
      </c>
      <c r="B120" s="115" t="s">
        <v>913</v>
      </c>
      <c r="C120" s="114" t="s">
        <v>912</v>
      </c>
      <c r="D120" s="114" t="s">
        <v>295</v>
      </c>
      <c r="E120" s="115" t="str" cm="1">
        <f t="array" ref="E120">_xlfn.XLOOKUP(1,(dimLocales_v2[IdUniversidad]=$A120)*(dimLocales_v2[SedePrincipal]=TRUE),dimLocales_v2[Departamento],"")</f>
        <v>Lima</v>
      </c>
      <c r="F120" s="115" t="str" cm="1">
        <f t="array" ref="F120">_xlfn.XLOOKUP(1,(dimLocales_v2[IdUniversidad]=$A120)*(dimLocales_v2[SedePrincipal]=TRUE),dimLocales_v2[Provincia],"")</f>
        <v>Lima</v>
      </c>
      <c r="G120" s="115" t="str" cm="1">
        <f t="array" ref="G120">_xlfn.XLOOKUP(1,(dimLocales_v2[IdUniversidad]=$A120)*(dimLocales_v2[SedePrincipal]=TRUE),dimLocales_v2[Distrito],"")</f>
        <v>Ate</v>
      </c>
      <c r="H120" s="115" t="str" cm="1">
        <f t="array" ref="H120">_xlfn.XLOOKUP(1,(dimLocales_v2[IdUniversidad]=$A120)*(dimLocales_v2[SedePrincipal]=TRUE),dimLocales_v2[Direccion],"")</f>
        <v>Av. Nicolás Ayllón 7208 Lote 108-D 109-A Urb. Lotización del Fundo la Estrella, Ate</v>
      </c>
      <c r="I120" s="115" cm="1">
        <f t="array" ref="I120">_xlfn.XLOOKUP(1,(dimLocales_v2[IdUniversidad]=$A120)*(dimLocales_v2[SedePrincipal]=TRUE),dimLocales_v2[Latitud],"")</f>
        <v>-12.016577399999999</v>
      </c>
      <c r="J120" s="115" cm="1">
        <f t="array" ref="J120">_xlfn.XLOOKUP(1,(dimLocales_v2[IdUniversidad]=$A120)*(dimLocales_v2[SedePrincipal]=TRUE),dimLocales_v2[Longitud],"")</f>
        <v>-76.890171300000006</v>
      </c>
      <c r="K120" s="115" cm="1">
        <f t="array" ref="K120">_xlfn.XLOOKUP(1,(dimLocales_v2[IdUniversidad]=$A120)*(dimLocales_v2[SedePrincipal]=TRUE),dimLocales_v2[UbigeoRENIEC],"")</f>
        <v>140103</v>
      </c>
      <c r="L120" s="115" cm="1">
        <f t="array" ref="L120">_xlfn.XLOOKUP(1,(dimLocales_v2[IdUniversidad]=$A120)*(dimLocales_v2[SedePrincipal]=TRUE),dimLocales_v2[UbigeoINEI],"")</f>
        <v>150103</v>
      </c>
    </row>
    <row r="121" spans="1:12" x14ac:dyDescent="0.25">
      <c r="A121" s="114">
        <v>125</v>
      </c>
      <c r="B121" s="115" t="s">
        <v>911</v>
      </c>
      <c r="C121" s="114" t="s">
        <v>910</v>
      </c>
      <c r="D121" s="114" t="s">
        <v>295</v>
      </c>
      <c r="E121" s="115" t="str" cm="1">
        <f t="array" ref="E121">_xlfn.XLOOKUP(1,(dimLocales_v2[IdUniversidad]=$A121)*(dimLocales_v2[SedePrincipal]=TRUE),dimLocales_v2[Departamento],"")</f>
        <v>Lima</v>
      </c>
      <c r="F121" s="115" t="str" cm="1">
        <f t="array" ref="F121">_xlfn.XLOOKUP(1,(dimLocales_v2[IdUniversidad]=$A121)*(dimLocales_v2[SedePrincipal]=TRUE),dimLocales_v2[Provincia],"")</f>
        <v>Lima</v>
      </c>
      <c r="G121" s="115" t="str" cm="1">
        <f t="array" ref="G121">_xlfn.XLOOKUP(1,(dimLocales_v2[IdUniversidad]=$A121)*(dimLocales_v2[SedePrincipal]=TRUE),dimLocales_v2[Distrito],"")</f>
        <v>Lince</v>
      </c>
      <c r="H121" s="115" t="str" cm="1">
        <f t="array" ref="H121">_xlfn.XLOOKUP(1,(dimLocales_v2[IdUniversidad]=$A121)*(dimLocales_v2[SedePrincipal]=TRUE),dimLocales_v2[Direccion],"")</f>
        <v>Jr. Pedro Conde 261</v>
      </c>
      <c r="I121" s="115" cm="1">
        <f t="array" ref="I121">_xlfn.XLOOKUP(1,(dimLocales_v2[IdUniversidad]=$A121)*(dimLocales_v2[SedePrincipal]=TRUE),dimLocales_v2[Latitud],"")</f>
        <v>-12.087943238635001</v>
      </c>
      <c r="J121" s="115" cm="1">
        <f t="array" ref="J121">_xlfn.XLOOKUP(1,(dimLocales_v2[IdUniversidad]=$A121)*(dimLocales_v2[SedePrincipal]=TRUE),dimLocales_v2[Longitud],"")</f>
        <v>-77.033521259988404</v>
      </c>
      <c r="K121" s="115" cm="1">
        <f t="array" ref="K121">_xlfn.XLOOKUP(1,(dimLocales_v2[IdUniversidad]=$A121)*(dimLocales_v2[SedePrincipal]=TRUE),dimLocales_v2[UbigeoRENIEC],"")</f>
        <v>140111</v>
      </c>
      <c r="L121" s="115" cm="1">
        <f t="array" ref="L121">_xlfn.XLOOKUP(1,(dimLocales_v2[IdUniversidad]=$A121)*(dimLocales_v2[SedePrincipal]=TRUE),dimLocales_v2[UbigeoINEI],"")</f>
        <v>150116</v>
      </c>
    </row>
    <row r="122" spans="1:12" x14ac:dyDescent="0.25">
      <c r="A122" s="114">
        <v>126</v>
      </c>
      <c r="B122" s="115" t="s">
        <v>909</v>
      </c>
      <c r="C122" s="114" t="s">
        <v>908</v>
      </c>
      <c r="D122" s="114" t="s">
        <v>295</v>
      </c>
      <c r="E122" s="115" t="str" cm="1">
        <f t="array" ref="E122">_xlfn.XLOOKUP(1,(dimLocales_v2[IdUniversidad]=$A122)*(dimLocales_v2[SedePrincipal]=TRUE),dimLocales_v2[Departamento],"")</f>
        <v>Cusco</v>
      </c>
      <c r="F122" s="115" t="str" cm="1">
        <f t="array" ref="F122">_xlfn.XLOOKUP(1,(dimLocales_v2[IdUniversidad]=$A122)*(dimLocales_v2[SedePrincipal]=TRUE),dimLocales_v2[Provincia],"")</f>
        <v>La Convención</v>
      </c>
      <c r="G122" s="115" t="str" cm="1">
        <f t="array" ref="G122">_xlfn.XLOOKUP(1,(dimLocales_v2[IdUniversidad]=$A122)*(dimLocales_v2[SedePrincipal]=TRUE),dimLocales_v2[Distrito],"")</f>
        <v>Santa Ana</v>
      </c>
      <c r="H122" s="115" t="str" cm="1">
        <f t="array" ref="H122">_xlfn.XLOOKUP(1,(dimLocales_v2[IdUniversidad]=$A122)*(dimLocales_v2[SedePrincipal]=TRUE),dimLocales_v2[Direccion],"")</f>
        <v>Jr. Quillabamba N° 110</v>
      </c>
      <c r="I122" s="115" cm="1">
        <f t="array" ref="I122">_xlfn.XLOOKUP(1,(dimLocales_v2[IdUniversidad]=$A122)*(dimLocales_v2[SedePrincipal]=TRUE),dimLocales_v2[Latitud],"")</f>
        <v>-12.860460700000001</v>
      </c>
      <c r="J122" s="115" cm="1">
        <f t="array" ref="J122">_xlfn.XLOOKUP(1,(dimLocales_v2[IdUniversidad]=$A122)*(dimLocales_v2[SedePrincipal]=TRUE),dimLocales_v2[Longitud],"")</f>
        <v>-72.692144400000004</v>
      </c>
      <c r="K122" s="115" cm="1">
        <f t="array" ref="K122">_xlfn.XLOOKUP(1,(dimLocales_v2[IdUniversidad]=$A122)*(dimLocales_v2[SedePrincipal]=TRUE),dimLocales_v2[UbigeoRENIEC],"")</f>
        <v>70901</v>
      </c>
      <c r="L122" s="115" cm="1">
        <f t="array" ref="L122">_xlfn.XLOOKUP(1,(dimLocales_v2[IdUniversidad]=$A122)*(dimLocales_v2[SedePrincipal]=TRUE),dimLocales_v2[UbigeoINEI],"")</f>
        <v>80901</v>
      </c>
    </row>
    <row r="123" spans="1:12" x14ac:dyDescent="0.25">
      <c r="A123" s="114">
        <v>127</v>
      </c>
      <c r="B123" s="115" t="s">
        <v>907</v>
      </c>
      <c r="C123" s="114" t="s">
        <v>906</v>
      </c>
      <c r="D123" s="114" t="s">
        <v>295</v>
      </c>
      <c r="E123" s="115" t="str" cm="1">
        <f t="array" ref="E123">_xlfn.XLOOKUP(1,(dimLocales_v2[IdUniversidad]=$A123)*(dimLocales_v2[SedePrincipal]=TRUE),dimLocales_v2[Departamento],"")</f>
        <v>Junín</v>
      </c>
      <c r="F123" s="115" t="str" cm="1">
        <f t="array" ref="F123">_xlfn.XLOOKUP(1,(dimLocales_v2[IdUniversidad]=$A123)*(dimLocales_v2[SedePrincipal]=TRUE),dimLocales_v2[Provincia],"")</f>
        <v>Huancayo</v>
      </c>
      <c r="G123" s="115" t="str" cm="1">
        <f t="array" ref="G123">_xlfn.XLOOKUP(1,(dimLocales_v2[IdUniversidad]=$A123)*(dimLocales_v2[SedePrincipal]=TRUE),dimLocales_v2[Distrito],"")</f>
        <v>Huancayo</v>
      </c>
      <c r="H123" s="115" t="str" cm="1">
        <f t="array" ref="H123">_xlfn.XLOOKUP(1,(dimLocales_v2[IdUniversidad]=$A123)*(dimLocales_v2[SedePrincipal]=TRUE),dimLocales_v2[Direccion],"")</f>
        <v>Av. Huancavelica N° 462</v>
      </c>
      <c r="I123" s="115" cm="1">
        <f t="array" ref="I123">_xlfn.XLOOKUP(1,(dimLocales_v2[IdUniversidad]=$A123)*(dimLocales_v2[SedePrincipal]=TRUE),dimLocales_v2[Latitud],"")</f>
        <v>-12.071198300000001</v>
      </c>
      <c r="J123" s="115" cm="1">
        <f t="array" ref="J123">_xlfn.XLOOKUP(1,(dimLocales_v2[IdUniversidad]=$A123)*(dimLocales_v2[SedePrincipal]=TRUE),dimLocales_v2[Longitud],"")</f>
        <v>-75.213984600000003</v>
      </c>
      <c r="K123" s="115" cm="1">
        <f t="array" ref="K123">_xlfn.XLOOKUP(1,(dimLocales_v2[IdUniversidad]=$A123)*(dimLocales_v2[SedePrincipal]=TRUE),dimLocales_v2[UbigeoRENIEC],"")</f>
        <v>110101</v>
      </c>
      <c r="L123" s="115" cm="1">
        <f t="array" ref="L123">_xlfn.XLOOKUP(1,(dimLocales_v2[IdUniversidad]=$A123)*(dimLocales_v2[SedePrincipal]=TRUE),dimLocales_v2[UbigeoINEI],"")</f>
        <v>120101</v>
      </c>
    </row>
    <row r="124" spans="1:12" x14ac:dyDescent="0.25">
      <c r="A124" s="114">
        <v>128</v>
      </c>
      <c r="B124" s="115" t="s">
        <v>905</v>
      </c>
      <c r="C124" s="114" t="s">
        <v>904</v>
      </c>
      <c r="D124" s="114" t="s">
        <v>295</v>
      </c>
      <c r="E124" s="115" t="str" cm="1">
        <f t="array" ref="E124">_xlfn.XLOOKUP(1,(dimLocales_v2[IdUniversidad]=$A124)*(dimLocales_v2[SedePrincipal]=TRUE),dimLocales_v2[Departamento],"")</f>
        <v>Lima</v>
      </c>
      <c r="F124" s="115" t="str" cm="1">
        <f t="array" ref="F124">_xlfn.XLOOKUP(1,(dimLocales_v2[IdUniversidad]=$A124)*(dimLocales_v2[SedePrincipal]=TRUE),dimLocales_v2[Provincia],"")</f>
        <v>Huarochirí</v>
      </c>
      <c r="G124" s="115" t="str" cm="1">
        <f t="array" ref="G124">_xlfn.XLOOKUP(1,(dimLocales_v2[IdUniversidad]=$A124)*(dimLocales_v2[SedePrincipal]=TRUE),dimLocales_v2[Distrito],"")</f>
        <v>San Antonio</v>
      </c>
      <c r="H124" s="115" t="str" cm="1">
        <f t="array" ref="H124">_xlfn.XLOOKUP(1,(dimLocales_v2[IdUniversidad]=$A124)*(dimLocales_v2[SedePrincipal]=TRUE),dimLocales_v2[Direccion],"")</f>
        <v>Sector El Valle S/N, Jicamarca</v>
      </c>
      <c r="I124" s="115" cm="1">
        <f t="array" ref="I124">_xlfn.XLOOKUP(1,(dimLocales_v2[IdUniversidad]=$A124)*(dimLocales_v2[SedePrincipal]=TRUE),dimLocales_v2[Latitud],"")</f>
        <v>-11.9096016182963</v>
      </c>
      <c r="J124" s="115" cm="1">
        <f t="array" ref="J124">_xlfn.XLOOKUP(1,(dimLocales_v2[IdUniversidad]=$A124)*(dimLocales_v2[SedePrincipal]=TRUE),dimLocales_v2[Longitud],"")</f>
        <v>-76.978466639846403</v>
      </c>
      <c r="K124" s="115" cm="1">
        <f t="array" ref="K124">_xlfn.XLOOKUP(1,(dimLocales_v2[IdUniversidad]=$A124)*(dimLocales_v2[SedePrincipal]=TRUE),dimLocales_v2[UbigeoRENIEC],"")</f>
        <v>140615</v>
      </c>
      <c r="L124" s="115" cm="1">
        <f t="array" ref="L124">_xlfn.XLOOKUP(1,(dimLocales_v2[IdUniversidad]=$A124)*(dimLocales_v2[SedePrincipal]=TRUE),dimLocales_v2[UbigeoINEI],"")</f>
        <v>150716</v>
      </c>
    </row>
    <row r="125" spans="1:12" x14ac:dyDescent="0.25">
      <c r="A125" s="114">
        <v>129</v>
      </c>
      <c r="B125" s="115" t="s">
        <v>903</v>
      </c>
      <c r="C125" s="114" t="s">
        <v>902</v>
      </c>
      <c r="D125" s="114" t="s">
        <v>295</v>
      </c>
      <c r="E125" s="115" t="str" cm="1">
        <f t="array" ref="E125">_xlfn.XLOOKUP(1,(dimLocales_v2[IdUniversidad]=$A125)*(dimLocales_v2[SedePrincipal]=TRUE),dimLocales_v2[Departamento],"")</f>
        <v>La Libertad</v>
      </c>
      <c r="F125" s="115" t="str" cm="1">
        <f t="array" ref="F125">_xlfn.XLOOKUP(1,(dimLocales_v2[IdUniversidad]=$A125)*(dimLocales_v2[SedePrincipal]=TRUE),dimLocales_v2[Provincia],"")</f>
        <v>Trujillo</v>
      </c>
      <c r="G125" s="115" t="str" cm="1">
        <f t="array" ref="G125">_xlfn.XLOOKUP(1,(dimLocales_v2[IdUniversidad]=$A125)*(dimLocales_v2[SedePrincipal]=TRUE),dimLocales_v2[Distrito],"")</f>
        <v>Moche</v>
      </c>
      <c r="H125" s="115" t="str" cm="1">
        <f t="array" ref="H125">_xlfn.XLOOKUP(1,(dimLocales_v2[IdUniversidad]=$A125)*(dimLocales_v2[SedePrincipal]=TRUE),dimLocales_v2[Direccion],"")</f>
        <v>Carretera Panamericana Km. 555</v>
      </c>
      <c r="I125" s="115" cm="1">
        <f t="array" ref="I125">_xlfn.XLOOKUP(1,(dimLocales_v2[IdUniversidad]=$A125)*(dimLocales_v2[SedePrincipal]=TRUE),dimLocales_v2[Latitud],"")</f>
        <v>-8.16028928082204</v>
      </c>
      <c r="J125" s="115" cm="1">
        <f t="array" ref="J125">_xlfn.XLOOKUP(1,(dimLocales_v2[IdUniversidad]=$A125)*(dimLocales_v2[SedePrincipal]=TRUE),dimLocales_v2[Longitud],"")</f>
        <v>-79.0114454031105</v>
      </c>
      <c r="K125" s="115" cm="1">
        <f t="array" ref="K125">_xlfn.XLOOKUP(1,(dimLocales_v2[IdUniversidad]=$A125)*(dimLocales_v2[SedePrincipal]=TRUE),dimLocales_v2[UbigeoRENIEC],"")</f>
        <v>120104</v>
      </c>
      <c r="L125" s="115" cm="1">
        <f t="array" ref="L125">_xlfn.XLOOKUP(1,(dimLocales_v2[IdUniversidad]=$A125)*(dimLocales_v2[SedePrincipal]=TRUE),dimLocales_v2[UbigeoINEI],"")</f>
        <v>130107</v>
      </c>
    </row>
    <row r="126" spans="1:12" x14ac:dyDescent="0.25">
      <c r="A126" s="114">
        <v>130</v>
      </c>
      <c r="B126" s="115" t="s">
        <v>901</v>
      </c>
      <c r="C126" s="114" t="s">
        <v>900</v>
      </c>
      <c r="D126" s="114" t="s">
        <v>295</v>
      </c>
      <c r="E126" s="115" t="str" cm="1">
        <f t="array" ref="E126">_xlfn.XLOOKUP(1,(dimLocales_v2[IdUniversidad]=$A126)*(dimLocales_v2[SedePrincipal]=TRUE),dimLocales_v2[Departamento],"")</f>
        <v>Lima</v>
      </c>
      <c r="F126" s="115" t="str" cm="1">
        <f t="array" ref="F126">_xlfn.XLOOKUP(1,(dimLocales_v2[IdUniversidad]=$A126)*(dimLocales_v2[SedePrincipal]=TRUE),dimLocales_v2[Provincia],"")</f>
        <v>Lima</v>
      </c>
      <c r="G126" s="115" t="str" cm="1">
        <f t="array" ref="G126">_xlfn.XLOOKUP(1,(dimLocales_v2[IdUniversidad]=$A126)*(dimLocales_v2[SedePrincipal]=TRUE),dimLocales_v2[Distrito],"")</f>
        <v>Pueblo Libre</v>
      </c>
      <c r="H126" s="115" t="str" cm="1">
        <f t="array" ref="H126">_xlfn.XLOOKUP(1,(dimLocales_v2[IdUniversidad]=$A126)*(dimLocales_v2[SedePrincipal]=TRUE),dimLocales_v2[Direccion],"")</f>
        <v>Av. Juan Pablo Fernandini Nº 1255 / Av. Brasil Nº 1228 - 1230</v>
      </c>
      <c r="I126" s="115" cm="1">
        <f t="array" ref="I126">_xlfn.XLOOKUP(1,(dimLocales_v2[IdUniversidad]=$A126)*(dimLocales_v2[SedePrincipal]=TRUE),dimLocales_v2[Latitud],"")</f>
        <v>-12.071504300000001</v>
      </c>
      <c r="J126" s="115" cm="1">
        <f t="array" ref="J126">_xlfn.XLOOKUP(1,(dimLocales_v2[IdUniversidad]=$A126)*(dimLocales_v2[SedePrincipal]=TRUE),dimLocales_v2[Longitud],"")</f>
        <v>-77.051026699999994</v>
      </c>
      <c r="K126" s="115" cm="1">
        <f t="array" ref="K126">_xlfn.XLOOKUP(1,(dimLocales_v2[IdUniversidad]=$A126)*(dimLocales_v2[SedePrincipal]=TRUE),dimLocales_v2[UbigeoRENIEC],"")</f>
        <v>140117</v>
      </c>
      <c r="L126" s="115" cm="1">
        <f t="array" ref="L126">_xlfn.XLOOKUP(1,(dimLocales_v2[IdUniversidad]=$A126)*(dimLocales_v2[SedePrincipal]=TRUE),dimLocales_v2[UbigeoINEI],"")</f>
        <v>150121</v>
      </c>
    </row>
    <row r="127" spans="1:12" x14ac:dyDescent="0.25">
      <c r="A127" s="114">
        <v>131</v>
      </c>
      <c r="B127" s="115" t="s">
        <v>899</v>
      </c>
      <c r="C127" s="114" t="s">
        <v>898</v>
      </c>
      <c r="D127" s="114" t="s">
        <v>295</v>
      </c>
      <c r="E127" s="115" t="str" cm="1">
        <f t="array" ref="E127">_xlfn.XLOOKUP(1,(dimLocales_v2[IdUniversidad]=$A127)*(dimLocales_v2[SedePrincipal]=TRUE),dimLocales_v2[Departamento],"")</f>
        <v>Lambayeque</v>
      </c>
      <c r="F127" s="115" t="str" cm="1">
        <f t="array" ref="F127">_xlfn.XLOOKUP(1,(dimLocales_v2[IdUniversidad]=$A127)*(dimLocales_v2[SedePrincipal]=TRUE),dimLocales_v2[Provincia],"")</f>
        <v>Chiclayo</v>
      </c>
      <c r="G127" s="115" t="str" cm="1">
        <f t="array" ref="G127">_xlfn.XLOOKUP(1,(dimLocales_v2[IdUniversidad]=$A127)*(dimLocales_v2[SedePrincipal]=TRUE),dimLocales_v2[Distrito],"")</f>
        <v>Pimentel</v>
      </c>
      <c r="H127" s="115" t="str" cm="1">
        <f t="array" ref="H127">_xlfn.XLOOKUP(1,(dimLocales_v2[IdUniversidad]=$A127)*(dimLocales_v2[SedePrincipal]=TRUE),dimLocales_v2[Direccion],"")</f>
        <v>Ciudad Universitaria Km. 3.5. Carretera A Pimentel</v>
      </c>
      <c r="I127" s="115" cm="1">
        <f t="array" ref="I127">_xlfn.XLOOKUP(1,(dimLocales_v2[IdUniversidad]=$A127)*(dimLocales_v2[SedePrincipal]=TRUE),dimLocales_v2[Latitud],"")</f>
        <v>-6.7901109999999996</v>
      </c>
      <c r="J127" s="115" cm="1">
        <f t="array" ref="J127">_xlfn.XLOOKUP(1,(dimLocales_v2[IdUniversidad]=$A127)*(dimLocales_v2[SedePrincipal]=TRUE),dimLocales_v2[Longitud],"")</f>
        <v>-79.878333400000002</v>
      </c>
      <c r="K127" s="115" cm="1">
        <f t="array" ref="K127">_xlfn.XLOOKUP(1,(dimLocales_v2[IdUniversidad]=$A127)*(dimLocales_v2[SedePrincipal]=TRUE),dimLocales_v2[UbigeoRENIEC],"")</f>
        <v>130110</v>
      </c>
      <c r="L127" s="115" cm="1">
        <f t="array" ref="L127">_xlfn.XLOOKUP(1,(dimLocales_v2[IdUniversidad]=$A127)*(dimLocales_v2[SedePrincipal]=TRUE),dimLocales_v2[UbigeoINEI],"")</f>
        <v>140112</v>
      </c>
    </row>
    <row r="128" spans="1:12" x14ac:dyDescent="0.25">
      <c r="A128" s="114">
        <v>132</v>
      </c>
      <c r="B128" s="115" t="s">
        <v>897</v>
      </c>
      <c r="C128" s="114" t="s">
        <v>896</v>
      </c>
      <c r="D128" s="114" t="s">
        <v>295</v>
      </c>
      <c r="E128" s="115" t="str" cm="1">
        <f t="array" ref="E128">_xlfn.XLOOKUP(1,(dimLocales_v2[IdUniversidad]=$A128)*(dimLocales_v2[SedePrincipal]=TRUE),dimLocales_v2[Departamento],"")</f>
        <v>Junín</v>
      </c>
      <c r="F128" s="115" t="str" cm="1">
        <f t="array" ref="F128">_xlfn.XLOOKUP(1,(dimLocales_v2[IdUniversidad]=$A128)*(dimLocales_v2[SedePrincipal]=TRUE),dimLocales_v2[Provincia],"")</f>
        <v>Huancayo</v>
      </c>
      <c r="G128" s="115" t="str" cm="1">
        <f t="array" ref="G128">_xlfn.XLOOKUP(1,(dimLocales_v2[IdUniversidad]=$A128)*(dimLocales_v2[SedePrincipal]=TRUE),dimLocales_v2[Distrito],"")</f>
        <v>Huancayo</v>
      </c>
      <c r="H128" s="115" t="str" cm="1">
        <f t="array" ref="H128">_xlfn.XLOOKUP(1,(dimLocales_v2[IdUniversidad]=$A128)*(dimLocales_v2[SedePrincipal]=TRUE),dimLocales_v2[Direccion],"")</f>
        <v>Avenida Giráldez N° 542-550</v>
      </c>
      <c r="I128" s="115" cm="1">
        <f t="array" ref="I128">_xlfn.XLOOKUP(1,(dimLocales_v2[IdUniversidad]=$A128)*(dimLocales_v2[SedePrincipal]=TRUE),dimLocales_v2[Latitud],"")</f>
        <v>-12.065596360693601</v>
      </c>
      <c r="J128" s="115" cm="1">
        <f t="array" ref="J128">_xlfn.XLOOKUP(1,(dimLocales_v2[IdUniversidad]=$A128)*(dimLocales_v2[SedePrincipal]=TRUE),dimLocales_v2[Longitud],"")</f>
        <v>-75.204837858895502</v>
      </c>
      <c r="K128" s="115" cm="1">
        <f t="array" ref="K128">_xlfn.XLOOKUP(1,(dimLocales_v2[IdUniversidad]=$A128)*(dimLocales_v2[SedePrincipal]=TRUE),dimLocales_v2[UbigeoRENIEC],"")</f>
        <v>110101</v>
      </c>
      <c r="L128" s="115" cm="1">
        <f t="array" ref="L128">_xlfn.XLOOKUP(1,(dimLocales_v2[IdUniversidad]=$A128)*(dimLocales_v2[SedePrincipal]=TRUE),dimLocales_v2[UbigeoINEI],"")</f>
        <v>120101</v>
      </c>
    </row>
    <row r="129" spans="1:12" x14ac:dyDescent="0.25">
      <c r="A129" s="114">
        <v>133</v>
      </c>
      <c r="B129" s="115" t="s">
        <v>895</v>
      </c>
      <c r="C129" s="114" t="s">
        <v>894</v>
      </c>
      <c r="D129" s="114" t="s">
        <v>266</v>
      </c>
      <c r="E129" s="115" t="str" cm="1">
        <f t="array" ref="E129">_xlfn.XLOOKUP(1,(dimLocales_v2[IdUniversidad]=$A129)*(dimLocales_v2[SedePrincipal]=TRUE),dimLocales_v2[Departamento],"")</f>
        <v>Callao</v>
      </c>
      <c r="F129" s="115" t="str" cm="1">
        <f t="array" ref="F129">_xlfn.XLOOKUP(1,(dimLocales_v2[IdUniversidad]=$A129)*(dimLocales_v2[SedePrincipal]=TRUE),dimLocales_v2[Provincia],"")</f>
        <v>Prov. Const. del Callao</v>
      </c>
      <c r="G129" s="115" t="str" cm="1">
        <f t="array" ref="G129">_xlfn.XLOOKUP(1,(dimLocales_v2[IdUniversidad]=$A129)*(dimLocales_v2[SedePrincipal]=TRUE),dimLocales_v2[Distrito],"")</f>
        <v>Bellavista</v>
      </c>
      <c r="H129" s="115" t="str" cm="1">
        <f t="array" ref="H129">_xlfn.XLOOKUP(1,(dimLocales_v2[IdUniversidad]=$A129)*(dimLocales_v2[SedePrincipal]=TRUE),dimLocales_v2[Direccion],"")</f>
        <v>Av. Juan Pablo II N°300 - 306 (Ex Fundo Aguilar, Av. Prolongación Sta Rosa S/N, Av. Sta. Rosa B4 09, Av. Sta. Rosa Mz. C4 Lt. 02)</v>
      </c>
      <c r="I129" s="115" cm="1">
        <f t="array" ref="I129">_xlfn.XLOOKUP(1,(dimLocales_v2[IdUniversidad]=$A129)*(dimLocales_v2[SedePrincipal]=TRUE),dimLocales_v2[Latitud],"")</f>
        <v>-12.062050683411901</v>
      </c>
      <c r="J129" s="115" cm="1">
        <f t="array" ref="J129">_xlfn.XLOOKUP(1,(dimLocales_v2[IdUniversidad]=$A129)*(dimLocales_v2[SedePrincipal]=TRUE),dimLocales_v2[Longitud],"")</f>
        <v>-77.117403418419997</v>
      </c>
      <c r="K129" s="115" cm="1">
        <f t="array" ref="K129">_xlfn.XLOOKUP(1,(dimLocales_v2[IdUniversidad]=$A129)*(dimLocales_v2[SedePrincipal]=TRUE),dimLocales_v2[UbigeoRENIEC],"")</f>
        <v>240102</v>
      </c>
      <c r="L129" s="115" cm="1">
        <f t="array" ref="L129">_xlfn.XLOOKUP(1,(dimLocales_v2[IdUniversidad]=$A129)*(dimLocales_v2[SedePrincipal]=TRUE),dimLocales_v2[UbigeoINEI],"")</f>
        <v>70102</v>
      </c>
    </row>
    <row r="130" spans="1:12" x14ac:dyDescent="0.25">
      <c r="A130" s="114">
        <v>134</v>
      </c>
      <c r="B130" s="115" t="s">
        <v>893</v>
      </c>
      <c r="C130" s="114" t="s">
        <v>892</v>
      </c>
      <c r="D130" s="114" t="s">
        <v>295</v>
      </c>
      <c r="E130" s="115" t="str" cm="1">
        <f t="array" ref="E130">_xlfn.XLOOKUP(1,(dimLocales_v2[IdUniversidad]=$A130)*(dimLocales_v2[SedePrincipal]=TRUE),dimLocales_v2[Departamento],"")</f>
        <v>Ayacucho</v>
      </c>
      <c r="F130" s="115" t="str" cm="1">
        <f t="array" ref="F130">_xlfn.XLOOKUP(1,(dimLocales_v2[IdUniversidad]=$A130)*(dimLocales_v2[SedePrincipal]=TRUE),dimLocales_v2[Provincia],"")</f>
        <v>Huamanga</v>
      </c>
      <c r="G130" s="115" t="str" cm="1">
        <f t="array" ref="G130">_xlfn.XLOOKUP(1,(dimLocales_v2[IdUniversidad]=$A130)*(dimLocales_v2[SedePrincipal]=TRUE),dimLocales_v2[Distrito],"")</f>
        <v>Ayacucho</v>
      </c>
      <c r="H130" s="115" t="str" cm="1">
        <f t="array" ref="H130">_xlfn.XLOOKUP(1,(dimLocales_v2[IdUniversidad]=$A130)*(dimLocales_v2[SedePrincipal]=TRUE),dimLocales_v2[Direccion],"")</f>
        <v>Calle Mariscal Llerena N° 101-103-105</v>
      </c>
      <c r="I130" s="115" cm="1">
        <f t="array" ref="I130">_xlfn.XLOOKUP(1,(dimLocales_v2[IdUniversidad]=$A130)*(dimLocales_v2[SedePrincipal]=TRUE),dimLocales_v2[Latitud],"")</f>
        <v>-13.148300900000001</v>
      </c>
      <c r="J130" s="115" cm="1">
        <f t="array" ref="J130">_xlfn.XLOOKUP(1,(dimLocales_v2[IdUniversidad]=$A130)*(dimLocales_v2[SedePrincipal]=TRUE),dimLocales_v2[Longitud],"")</f>
        <v>-74.228787999999994</v>
      </c>
      <c r="K130" s="115" cm="1">
        <f t="array" ref="K130">_xlfn.XLOOKUP(1,(dimLocales_v2[IdUniversidad]=$A130)*(dimLocales_v2[SedePrincipal]=TRUE),dimLocales_v2[UbigeoRENIEC],"")</f>
        <v>50101</v>
      </c>
      <c r="L130" s="115" cm="1">
        <f t="array" ref="L130">_xlfn.XLOOKUP(1,(dimLocales_v2[IdUniversidad]=$A130)*(dimLocales_v2[SedePrincipal]=TRUE),dimLocales_v2[UbigeoINEI],"")</f>
        <v>50101</v>
      </c>
    </row>
    <row r="131" spans="1:12" x14ac:dyDescent="0.25">
      <c r="A131" s="114">
        <v>135</v>
      </c>
      <c r="B131" s="115" t="s">
        <v>891</v>
      </c>
      <c r="C131" s="114" t="s">
        <v>890</v>
      </c>
      <c r="D131" s="114" t="s">
        <v>295</v>
      </c>
      <c r="E131" s="115" t="str" cm="1">
        <f t="array" ref="E131">_xlfn.XLOOKUP(1,(dimLocales_v2[IdUniversidad]=$A131)*(dimLocales_v2[SedePrincipal]=TRUE),dimLocales_v2[Departamento],"")</f>
        <v>Lima</v>
      </c>
      <c r="F131" s="115" t="str" cm="1">
        <f t="array" ref="F131">_xlfn.XLOOKUP(1,(dimLocales_v2[IdUniversidad]=$A131)*(dimLocales_v2[SedePrincipal]=TRUE),dimLocales_v2[Provincia],"")</f>
        <v>Lima</v>
      </c>
      <c r="G131" s="115" t="str" cm="1">
        <f t="array" ref="G131">_xlfn.XLOOKUP(1,(dimLocales_v2[IdUniversidad]=$A131)*(dimLocales_v2[SedePrincipal]=TRUE),dimLocales_v2[Distrito],"")</f>
        <v>Lima</v>
      </c>
      <c r="H131" s="115" t="str" cm="1">
        <f t="array" ref="H131">_xlfn.XLOOKUP(1,(dimLocales_v2[IdUniversidad]=$A131)*(dimLocales_v2[SedePrincipal]=TRUE),dimLocales_v2[Direccion],"")</f>
        <v>Lt. Nº6 de la Mz. C y Lt. N° 7 de la Mz. 2 -D. Avenida 28 de Julio N° 1050 - 1052 - 1056 - 1062 - 1068 - Urb. Santa Beatriz - Cercado de Lima</v>
      </c>
      <c r="I131" s="115" cm="1">
        <f t="array" ref="I131">_xlfn.XLOOKUP(1,(dimLocales_v2[IdUniversidad]=$A131)*(dimLocales_v2[SedePrincipal]=TRUE),dimLocales_v2[Latitud],"")</f>
        <v>-12.064008899999999</v>
      </c>
      <c r="J131" s="115" cm="1">
        <f t="array" ref="J131">_xlfn.XLOOKUP(1,(dimLocales_v2[IdUniversidad]=$A131)*(dimLocales_v2[SedePrincipal]=TRUE),dimLocales_v2[Longitud],"")</f>
        <v>-77.034574899999996</v>
      </c>
      <c r="K131" s="115" cm="1">
        <f t="array" ref="K131">_xlfn.XLOOKUP(1,(dimLocales_v2[IdUniversidad]=$A131)*(dimLocales_v2[SedePrincipal]=TRUE),dimLocales_v2[UbigeoRENIEC],"")</f>
        <v>140101</v>
      </c>
      <c r="L131" s="115" cm="1">
        <f t="array" ref="L131">_xlfn.XLOOKUP(1,(dimLocales_v2[IdUniversidad]=$A131)*(dimLocales_v2[SedePrincipal]=TRUE),dimLocales_v2[UbigeoINEI],"")</f>
        <v>150101</v>
      </c>
    </row>
    <row r="132" spans="1:12" x14ac:dyDescent="0.25">
      <c r="A132" s="114">
        <v>136</v>
      </c>
      <c r="B132" s="115" t="s">
        <v>889</v>
      </c>
      <c r="C132" s="114" t="s">
        <v>888</v>
      </c>
      <c r="D132" s="114" t="s">
        <v>295</v>
      </c>
      <c r="E132" s="115" t="str" cm="1">
        <f t="array" ref="E132">_xlfn.XLOOKUP(1,(dimLocales_v2[IdUniversidad]=$A132)*(dimLocales_v2[SedePrincipal]=TRUE),dimLocales_v2[Departamento],"")</f>
        <v>Lima</v>
      </c>
      <c r="F132" s="115" t="str" cm="1">
        <f t="array" ref="F132">_xlfn.XLOOKUP(1,(dimLocales_v2[IdUniversidad]=$A132)*(dimLocales_v2[SedePrincipal]=TRUE),dimLocales_v2[Provincia],"")</f>
        <v>Lima</v>
      </c>
      <c r="G132" s="115" t="str" cm="1">
        <f t="array" ref="G132">_xlfn.XLOOKUP(1,(dimLocales_v2[IdUniversidad]=$A132)*(dimLocales_v2[SedePrincipal]=TRUE),dimLocales_v2[Distrito],"")</f>
        <v>Jesús María</v>
      </c>
      <c r="H132" s="115" t="str" cm="1">
        <f t="array" ref="H132">_xlfn.XLOOKUP(1,(dimLocales_v2[IdUniversidad]=$A132)*(dimLocales_v2[SedePrincipal]=TRUE),dimLocales_v2[Direccion],"")</f>
        <v>Av. Salaverry N°2020</v>
      </c>
      <c r="I132" s="115" cm="1">
        <f t="array" ref="I132">_xlfn.XLOOKUP(1,(dimLocales_v2[IdUniversidad]=$A132)*(dimLocales_v2[SedePrincipal]=TRUE),dimLocales_v2[Latitud],"")</f>
        <v>-12.084323046176101</v>
      </c>
      <c r="J132" s="115" cm="1">
        <f t="array" ref="J132">_xlfn.XLOOKUP(1,(dimLocales_v2[IdUniversidad]=$A132)*(dimLocales_v2[SedePrincipal]=TRUE),dimLocales_v2[Longitud],"")</f>
        <v>-77.048140240475504</v>
      </c>
      <c r="K132" s="115" cm="1">
        <f t="array" ref="K132">_xlfn.XLOOKUP(1,(dimLocales_v2[IdUniversidad]=$A132)*(dimLocales_v2[SedePrincipal]=TRUE),dimLocales_v2[UbigeoRENIEC],"")</f>
        <v>140133</v>
      </c>
      <c r="L132" s="115" cm="1">
        <f t="array" ref="L132">_xlfn.XLOOKUP(1,(dimLocales_v2[IdUniversidad]=$A132)*(dimLocales_v2[SedePrincipal]=TRUE),dimLocales_v2[UbigeoINEI],"")</f>
        <v>150113</v>
      </c>
    </row>
    <row r="133" spans="1:12" x14ac:dyDescent="0.25">
      <c r="A133" s="114">
        <v>137</v>
      </c>
      <c r="B133" s="115" t="s">
        <v>887</v>
      </c>
      <c r="C133" s="114" t="s">
        <v>886</v>
      </c>
      <c r="D133" s="114" t="s">
        <v>266</v>
      </c>
      <c r="E133" s="115" t="str" cm="1">
        <f t="array" ref="E133">_xlfn.XLOOKUP(1,(dimLocales_v2[IdUniversidad]=$A133)*(dimLocales_v2[SedePrincipal]=TRUE),dimLocales_v2[Departamento],"")</f>
        <v>Cajamarca</v>
      </c>
      <c r="F133" s="115" t="str" cm="1">
        <f t="array" ref="F133">_xlfn.XLOOKUP(1,(dimLocales_v2[IdUniversidad]=$A133)*(dimLocales_v2[SedePrincipal]=TRUE),dimLocales_v2[Provincia],"")</f>
        <v>Chota</v>
      </c>
      <c r="G133" s="115" t="str" cm="1">
        <f t="array" ref="G133">_xlfn.XLOOKUP(1,(dimLocales_v2[IdUniversidad]=$A133)*(dimLocales_v2[SedePrincipal]=TRUE),dimLocales_v2[Distrito],"")</f>
        <v>Chota</v>
      </c>
      <c r="H133" s="115" t="str" cm="1">
        <f t="array" ref="H133">_xlfn.XLOOKUP(1,(dimLocales_v2[IdUniversidad]=$A133)*(dimLocales_v2[SedePrincipal]=TRUE),dimLocales_v2[Direccion],"")</f>
        <v>Colpa Matara, Kilómetro 3, Salida a Tacabamba</v>
      </c>
      <c r="I133" s="115" cm="1">
        <f t="array" ref="I133">_xlfn.XLOOKUP(1,(dimLocales_v2[IdUniversidad]=$A133)*(dimLocales_v2[SedePrincipal]=TRUE),dimLocales_v2[Latitud],"")</f>
        <v>-6.5617482171093604</v>
      </c>
      <c r="J133" s="115" cm="1">
        <f t="array" ref="J133">_xlfn.XLOOKUP(1,(dimLocales_v2[IdUniversidad]=$A133)*(dimLocales_v2[SedePrincipal]=TRUE),dimLocales_v2[Longitud],"")</f>
        <v>-78.649885835581998</v>
      </c>
      <c r="K133" s="115" cm="1">
        <f t="array" ref="K133">_xlfn.XLOOKUP(1,(dimLocales_v2[IdUniversidad]=$A133)*(dimLocales_v2[SedePrincipal]=TRUE),dimLocales_v2[UbigeoRENIEC],"")</f>
        <v>60601</v>
      </c>
      <c r="L133" s="115" cm="1">
        <f t="array" ref="L133">_xlfn.XLOOKUP(1,(dimLocales_v2[IdUniversidad]=$A133)*(dimLocales_v2[SedePrincipal]=TRUE),dimLocales_v2[UbigeoINEI],"")</f>
        <v>60401</v>
      </c>
    </row>
    <row r="134" spans="1:12" x14ac:dyDescent="0.25">
      <c r="A134" s="114">
        <v>138</v>
      </c>
      <c r="B134" s="115" t="s">
        <v>885</v>
      </c>
      <c r="C134" s="114" t="s">
        <v>884</v>
      </c>
      <c r="D134" s="114" t="s">
        <v>266</v>
      </c>
      <c r="E134" s="115" t="str" cm="1">
        <f t="array" ref="E134">_xlfn.XLOOKUP(1,(dimLocales_v2[IdUniversidad]=$A134)*(dimLocales_v2[SedePrincipal]=TRUE),dimLocales_v2[Departamento],"")</f>
        <v>Lima</v>
      </c>
      <c r="F134" s="115" t="str" cm="1">
        <f t="array" ref="F134">_xlfn.XLOOKUP(1,(dimLocales_v2[IdUniversidad]=$A134)*(dimLocales_v2[SedePrincipal]=TRUE),dimLocales_v2[Provincia],"")</f>
        <v>Cañete</v>
      </c>
      <c r="G134" s="115" t="str" cm="1">
        <f t="array" ref="G134">_xlfn.XLOOKUP(1,(dimLocales_v2[IdUniversidad]=$A134)*(dimLocales_v2[SedePrincipal]=TRUE),dimLocales_v2[Distrito],"")</f>
        <v>San Vicente de Cañete</v>
      </c>
      <c r="H134" s="115" t="str" cm="1">
        <f t="array" ref="H134">_xlfn.XLOOKUP(1,(dimLocales_v2[IdUniversidad]=$A134)*(dimLocales_v2[SedePrincipal]=TRUE),dimLocales_v2[Direccion],"")</f>
        <v>Avenida Mariscal Benavides 1370 (Carretera a Imperial)</v>
      </c>
      <c r="I134" s="115" cm="1">
        <f t="array" ref="I134">_xlfn.XLOOKUP(1,(dimLocales_v2[IdUniversidad]=$A134)*(dimLocales_v2[SedePrincipal]=TRUE),dimLocales_v2[Latitud],"")</f>
        <v>-13.0730626</v>
      </c>
      <c r="J134" s="115" cm="1">
        <f t="array" ref="J134">_xlfn.XLOOKUP(1,(dimLocales_v2[IdUniversidad]=$A134)*(dimLocales_v2[SedePrincipal]=TRUE),dimLocales_v2[Longitud],"")</f>
        <v>-76.367819499999996</v>
      </c>
      <c r="K134" s="115" cm="1">
        <f t="array" ref="K134">_xlfn.XLOOKUP(1,(dimLocales_v2[IdUniversidad]=$A134)*(dimLocales_v2[SedePrincipal]=TRUE),dimLocales_v2[UbigeoRENIEC],"")</f>
        <v>140401</v>
      </c>
      <c r="L134" s="115" cm="1">
        <f t="array" ref="L134">_xlfn.XLOOKUP(1,(dimLocales_v2[IdUniversidad]=$A134)*(dimLocales_v2[SedePrincipal]=TRUE),dimLocales_v2[UbigeoINEI],"")</f>
        <v>150501</v>
      </c>
    </row>
    <row r="135" spans="1:12" x14ac:dyDescent="0.25">
      <c r="A135" s="114">
        <v>139</v>
      </c>
      <c r="B135" s="115" t="s">
        <v>883</v>
      </c>
      <c r="C135" s="114" t="s">
        <v>882</v>
      </c>
      <c r="D135" s="114" t="s">
        <v>266</v>
      </c>
      <c r="E135" s="115" t="str" cm="1">
        <f t="array" ref="E135">_xlfn.XLOOKUP(1,(dimLocales_v2[IdUniversidad]=$A135)*(dimLocales_v2[SedePrincipal]=TRUE),dimLocales_v2[Departamento],"")</f>
        <v>Áncash</v>
      </c>
      <c r="F135" s="115" t="str" cm="1">
        <f t="array" ref="F135">_xlfn.XLOOKUP(1,(dimLocales_v2[IdUniversidad]=$A135)*(dimLocales_v2[SedePrincipal]=TRUE),dimLocales_v2[Provincia],"")</f>
        <v>Santa</v>
      </c>
      <c r="G135" s="115" t="str" cm="1">
        <f t="array" ref="G135">_xlfn.XLOOKUP(1,(dimLocales_v2[IdUniversidad]=$A135)*(dimLocales_v2[SedePrincipal]=TRUE),dimLocales_v2[Distrito],"")</f>
        <v>Nuevo Chimbote</v>
      </c>
      <c r="H135" s="115" t="str" cm="1">
        <f t="array" ref="H135">_xlfn.XLOOKUP(1,(dimLocales_v2[IdUniversidad]=$A135)*(dimLocales_v2[SedePrincipal]=TRUE),dimLocales_v2[Direccion],"")</f>
        <v>Av. Universitaria S/N</v>
      </c>
      <c r="I135" s="115" cm="1">
        <f t="array" ref="I135">_xlfn.XLOOKUP(1,(dimLocales_v2[IdUniversidad]=$A135)*(dimLocales_v2[SedePrincipal]=TRUE),dimLocales_v2[Latitud],"")</f>
        <v>-9.1208959882557892</v>
      </c>
      <c r="J135" s="115" cm="1">
        <f t="array" ref="J135">_xlfn.XLOOKUP(1,(dimLocales_v2[IdUniversidad]=$A135)*(dimLocales_v2[SedePrincipal]=TRUE),dimLocales_v2[Longitud],"")</f>
        <v>-78.513340895700793</v>
      </c>
      <c r="K135" s="115" cm="1">
        <f t="array" ref="K135">_xlfn.XLOOKUP(1,(dimLocales_v2[IdUniversidad]=$A135)*(dimLocales_v2[SedePrincipal]=TRUE),dimLocales_v2[UbigeoRENIEC],"")</f>
        <v>21309</v>
      </c>
      <c r="L135" s="115" cm="1">
        <f t="array" ref="L135">_xlfn.XLOOKUP(1,(dimLocales_v2[IdUniversidad]=$A135)*(dimLocales_v2[SedePrincipal]=TRUE),dimLocales_v2[UbigeoINEI],"")</f>
        <v>21809</v>
      </c>
    </row>
    <row r="136" spans="1:12" x14ac:dyDescent="0.25">
      <c r="A136" s="114">
        <v>140</v>
      </c>
      <c r="B136" s="115" t="s">
        <v>881</v>
      </c>
      <c r="C136" s="114" t="s">
        <v>880</v>
      </c>
      <c r="D136" s="114" t="s">
        <v>266</v>
      </c>
      <c r="E136" s="115" t="str" cm="1">
        <f t="array" ref="E136">_xlfn.XLOOKUP(1,(dimLocales_v2[IdUniversidad]=$A136)*(dimLocales_v2[SedePrincipal]=TRUE),dimLocales_v2[Departamento],"")</f>
        <v>Áncash</v>
      </c>
      <c r="F136" s="115" t="str" cm="1">
        <f t="array" ref="F136">_xlfn.XLOOKUP(1,(dimLocales_v2[IdUniversidad]=$A136)*(dimLocales_v2[SedePrincipal]=TRUE),dimLocales_v2[Provincia],"")</f>
        <v>Huaraz</v>
      </c>
      <c r="G136" s="115" t="str" cm="1">
        <f t="array" ref="G136">_xlfn.XLOOKUP(1,(dimLocales_v2[IdUniversidad]=$A136)*(dimLocales_v2[SedePrincipal]=TRUE),dimLocales_v2[Distrito],"")</f>
        <v>Independencia</v>
      </c>
      <c r="H136" s="115" t="str" cm="1">
        <f t="array" ref="H136">_xlfn.XLOOKUP(1,(dimLocales_v2[IdUniversidad]=$A136)*(dimLocales_v2[SedePrincipal]=TRUE),dimLocales_v2[Direccion],"")</f>
        <v>Av. Universitaria S/N</v>
      </c>
      <c r="I136" s="115" cm="1">
        <f t="array" ref="I136">_xlfn.XLOOKUP(1,(dimLocales_v2[IdUniversidad]=$A136)*(dimLocales_v2[SedePrincipal]=TRUE),dimLocales_v2[Latitud],"")</f>
        <v>-9.5176405656000007</v>
      </c>
      <c r="J136" s="115" cm="1">
        <f t="array" ref="J136">_xlfn.XLOOKUP(1,(dimLocales_v2[IdUniversidad]=$A136)*(dimLocales_v2[SedePrincipal]=TRUE),dimLocales_v2[Longitud],"")</f>
        <v>-77.524566680999996</v>
      </c>
      <c r="K136" s="115" cm="1">
        <f t="array" ref="K136">_xlfn.XLOOKUP(1,(dimLocales_v2[IdUniversidad]=$A136)*(dimLocales_v2[SedePrincipal]=TRUE),dimLocales_v2[UbigeoRENIEC],"")</f>
        <v>20102</v>
      </c>
      <c r="L136" s="115" cm="1">
        <f t="array" ref="L136">_xlfn.XLOOKUP(1,(dimLocales_v2[IdUniversidad]=$A136)*(dimLocales_v2[SedePrincipal]=TRUE),dimLocales_v2[UbigeoINEI],"")</f>
        <v>20105</v>
      </c>
    </row>
    <row r="137" spans="1:12" x14ac:dyDescent="0.25">
      <c r="A137" s="114">
        <v>141</v>
      </c>
      <c r="B137" s="115" t="s">
        <v>879</v>
      </c>
      <c r="C137" s="114" t="s">
        <v>518</v>
      </c>
      <c r="D137" s="114" t="s">
        <v>295</v>
      </c>
      <c r="E137" s="115" t="str" cm="1">
        <f t="array" ref="E137">_xlfn.XLOOKUP(1,(dimLocales_v2[IdUniversidad]=$A137)*(dimLocales_v2[SedePrincipal]=TRUE),dimLocales_v2[Departamento],"")</f>
        <v>Lima</v>
      </c>
      <c r="F137" s="115" t="str" cm="1">
        <f t="array" ref="F137">_xlfn.XLOOKUP(1,(dimLocales_v2[IdUniversidad]=$A137)*(dimLocales_v2[SedePrincipal]=TRUE),dimLocales_v2[Provincia],"")</f>
        <v>Lima</v>
      </c>
      <c r="G137" s="115" t="str" cm="1">
        <f t="array" ref="G137">_xlfn.XLOOKUP(1,(dimLocales_v2[IdUniversidad]=$A137)*(dimLocales_v2[SedePrincipal]=TRUE),dimLocales_v2[Distrito],"")</f>
        <v>San Juan de Lurigancho</v>
      </c>
      <c r="H137" s="115" t="str" cm="1">
        <f t="array" ref="H137">_xlfn.XLOOKUP(1,(dimLocales_v2[IdUniversidad]=$A137)*(dimLocales_v2[SedePrincipal]=TRUE),dimLocales_v2[Direccion],"")</f>
        <v>Avenida Canto Bello N° 431, Urbanización Canto Bello</v>
      </c>
      <c r="I137" s="115" cm="1">
        <f t="array" ref="I137">_xlfn.XLOOKUP(1,(dimLocales_v2[IdUniversidad]=$A137)*(dimLocales_v2[SedePrincipal]=TRUE),dimLocales_v2[Latitud],"")</f>
        <v>-11.978324465495801</v>
      </c>
      <c r="J137" s="115" cm="1">
        <f t="array" ref="J137">_xlfn.XLOOKUP(1,(dimLocales_v2[IdUniversidad]=$A137)*(dimLocales_v2[SedePrincipal]=TRUE),dimLocales_v2[Longitud],"")</f>
        <v>-77.016799948462094</v>
      </c>
      <c r="K137" s="115" cm="1">
        <f t="array" ref="K137">_xlfn.XLOOKUP(1,(dimLocales_v2[IdUniversidad]=$A137)*(dimLocales_v2[SedePrincipal]=TRUE),dimLocales_v2[UbigeoRENIEC],"")</f>
        <v>140137</v>
      </c>
      <c r="L137" s="115" cm="1">
        <f t="array" ref="L137">_xlfn.XLOOKUP(1,(dimLocales_v2[IdUniversidad]=$A137)*(dimLocales_v2[SedePrincipal]=TRUE),dimLocales_v2[UbigeoINEI],"")</f>
        <v>150132</v>
      </c>
    </row>
    <row r="138" spans="1:12" x14ac:dyDescent="0.25">
      <c r="A138" s="114">
        <v>142</v>
      </c>
      <c r="B138" s="115" t="s">
        <v>878</v>
      </c>
      <c r="C138" s="114" t="s">
        <v>877</v>
      </c>
      <c r="D138" s="114" t="s">
        <v>295</v>
      </c>
      <c r="E138" s="115" t="str" cm="1">
        <f t="array" ref="E138">_xlfn.XLOOKUP(1,(dimLocales_v2[IdUniversidad]=$A138)*(dimLocales_v2[SedePrincipal]=TRUE),dimLocales_v2[Departamento],"")</f>
        <v>Callao</v>
      </c>
      <c r="F138" s="115" t="str" cm="1">
        <f t="array" ref="F138">_xlfn.XLOOKUP(1,(dimLocales_v2[IdUniversidad]=$A138)*(dimLocales_v2[SedePrincipal]=TRUE),dimLocales_v2[Provincia],"")</f>
        <v>Prov. Const. del Callao</v>
      </c>
      <c r="G138" s="115" t="str" cm="1">
        <f t="array" ref="G138">_xlfn.XLOOKUP(1,(dimLocales_v2[IdUniversidad]=$A138)*(dimLocales_v2[SedePrincipal]=TRUE),dimLocales_v2[Distrito],"")</f>
        <v>Callao</v>
      </c>
      <c r="H138" s="115" t="str" cm="1">
        <f t="array" ref="H138">_xlfn.XLOOKUP(1,(dimLocales_v2[IdUniversidad]=$A138)*(dimLocales_v2[SedePrincipal]=TRUE),dimLocales_v2[Direccion],"")</f>
        <v>Av. Saenz Peña N° 111</v>
      </c>
      <c r="I138" s="115" cm="1">
        <f t="array" ref="I138">_xlfn.XLOOKUP(1,(dimLocales_v2[IdUniversidad]=$A138)*(dimLocales_v2[SedePrincipal]=TRUE),dimLocales_v2[Latitud],"")</f>
        <v>-12.0614969</v>
      </c>
      <c r="J138" s="115" cm="1">
        <f t="array" ref="J138">_xlfn.XLOOKUP(1,(dimLocales_v2[IdUniversidad]=$A138)*(dimLocales_v2[SedePrincipal]=TRUE),dimLocales_v2[Longitud],"")</f>
        <v>-77.147176900000005</v>
      </c>
      <c r="K138" s="115" cm="1">
        <f t="array" ref="K138">_xlfn.XLOOKUP(1,(dimLocales_v2[IdUniversidad]=$A138)*(dimLocales_v2[SedePrincipal]=TRUE),dimLocales_v2[UbigeoRENIEC],"")</f>
        <v>240101</v>
      </c>
      <c r="L138" s="115" cm="1">
        <f t="array" ref="L138">_xlfn.XLOOKUP(1,(dimLocales_v2[IdUniversidad]=$A138)*(dimLocales_v2[SedePrincipal]=TRUE),dimLocales_v2[UbigeoINEI],"")</f>
        <v>70101</v>
      </c>
    </row>
    <row r="139" spans="1:12" x14ac:dyDescent="0.25">
      <c r="A139" s="114">
        <v>143</v>
      </c>
      <c r="B139" s="115" t="s">
        <v>876</v>
      </c>
      <c r="C139" s="114" t="s">
        <v>875</v>
      </c>
      <c r="D139" s="114" t="s">
        <v>295</v>
      </c>
      <c r="E139" s="115" t="str" cm="1">
        <f t="array" ref="E139">_xlfn.XLOOKUP(1,(dimLocales_v2[IdUniversidad]=$A139)*(dimLocales_v2[SedePrincipal]=TRUE),dimLocales_v2[Departamento],"")</f>
        <v>Lima</v>
      </c>
      <c r="F139" s="115" t="str" cm="1">
        <f t="array" ref="F139">_xlfn.XLOOKUP(1,(dimLocales_v2[IdUniversidad]=$A139)*(dimLocales_v2[SedePrincipal]=TRUE),dimLocales_v2[Provincia],"")</f>
        <v>Lima</v>
      </c>
      <c r="G139" s="115" t="str" cm="1">
        <f t="array" ref="G139">_xlfn.XLOOKUP(1,(dimLocales_v2[IdUniversidad]=$A139)*(dimLocales_v2[SedePrincipal]=TRUE),dimLocales_v2[Distrito],"")</f>
        <v>Los Olivos</v>
      </c>
      <c r="H139" s="115" t="str" cm="1">
        <f t="array" ref="H139">_xlfn.XLOOKUP(1,(dimLocales_v2[IdUniversidad]=$A139)*(dimLocales_v2[SedePrincipal]=TRUE),dimLocales_v2[Direccion],"")</f>
        <v>Avenida Universitaria Norte N° 5175</v>
      </c>
      <c r="I139" s="115" cm="1">
        <f t="array" ref="I139">_xlfn.XLOOKUP(1,(dimLocales_v2[IdUniversidad]=$A139)*(dimLocales_v2[SedePrincipal]=TRUE),dimLocales_v2[Latitud],"")</f>
        <v>-11.961509700000001</v>
      </c>
      <c r="J139" s="115" cm="1">
        <f t="array" ref="J139">_xlfn.XLOOKUP(1,(dimLocales_v2[IdUniversidad]=$A139)*(dimLocales_v2[SedePrincipal]=TRUE),dimLocales_v2[Longitud],"")</f>
        <v>-77.065592100000003</v>
      </c>
      <c r="K139" s="115" cm="1">
        <f t="array" ref="K139">_xlfn.XLOOKUP(1,(dimLocales_v2[IdUniversidad]=$A139)*(dimLocales_v2[SedePrincipal]=TRUE),dimLocales_v2[UbigeoRENIEC],"")</f>
        <v>140142</v>
      </c>
      <c r="L139" s="115" cm="1">
        <f t="array" ref="L139">_xlfn.XLOOKUP(1,(dimLocales_v2[IdUniversidad]=$A139)*(dimLocales_v2[SedePrincipal]=TRUE),dimLocales_v2[UbigeoINEI],"")</f>
        <v>150117</v>
      </c>
    </row>
    <row r="140" spans="1:12" x14ac:dyDescent="0.25">
      <c r="A140" s="114">
        <v>144</v>
      </c>
      <c r="B140" s="115" t="s">
        <v>874</v>
      </c>
      <c r="C140" s="114" t="s">
        <v>873</v>
      </c>
      <c r="D140" s="114" t="s">
        <v>295</v>
      </c>
      <c r="E140" s="115" t="str" cm="1">
        <f t="array" ref="E140">_xlfn.XLOOKUP(1,(dimLocales_v2[IdUniversidad]=$A140)*(dimLocales_v2[SedePrincipal]=TRUE),dimLocales_v2[Departamento],"")</f>
        <v>Lima</v>
      </c>
      <c r="F140" s="115" t="str" cm="1">
        <f t="array" ref="F140">_xlfn.XLOOKUP(1,(dimLocales_v2[IdUniversidad]=$A140)*(dimLocales_v2[SedePrincipal]=TRUE),dimLocales_v2[Provincia],"")</f>
        <v>Lima</v>
      </c>
      <c r="G140" s="115" t="str" cm="1">
        <f t="array" ref="G140">_xlfn.XLOOKUP(1,(dimLocales_v2[IdUniversidad]=$A140)*(dimLocales_v2[SedePrincipal]=TRUE),dimLocales_v2[Distrito],"")</f>
        <v>Jesús María</v>
      </c>
      <c r="H140" s="115" t="str" cm="1">
        <f t="array" ref="H140">_xlfn.XLOOKUP(1,(dimLocales_v2[IdUniversidad]=$A140)*(dimLocales_v2[SedePrincipal]=TRUE),dimLocales_v2[Direccion],"")</f>
        <v>Jirón Río de Janeiro N° 560</v>
      </c>
      <c r="I140" s="115" cm="1">
        <f t="array" ref="I140">_xlfn.XLOOKUP(1,(dimLocales_v2[IdUniversidad]=$A140)*(dimLocales_v2[SedePrincipal]=TRUE),dimLocales_v2[Latitud],"")</f>
        <v>-12.084955600000001</v>
      </c>
      <c r="J140" s="115" cm="1">
        <f t="array" ref="J140">_xlfn.XLOOKUP(1,(dimLocales_v2[IdUniversidad]=$A140)*(dimLocales_v2[SedePrincipal]=TRUE),dimLocales_v2[Longitud],"")</f>
        <v>-77.054740600000002</v>
      </c>
      <c r="K140" s="115" cm="1">
        <f t="array" ref="K140">_xlfn.XLOOKUP(1,(dimLocales_v2[IdUniversidad]=$A140)*(dimLocales_v2[SedePrincipal]=TRUE),dimLocales_v2[UbigeoRENIEC],"")</f>
        <v>140133</v>
      </c>
      <c r="L140" s="115" cm="1">
        <f t="array" ref="L140">_xlfn.XLOOKUP(1,(dimLocales_v2[IdUniversidad]=$A140)*(dimLocales_v2[SedePrincipal]=TRUE),dimLocales_v2[UbigeoINEI],"")</f>
        <v>150113</v>
      </c>
    </row>
    <row r="141" spans="1:12" x14ac:dyDescent="0.25">
      <c r="A141" s="114">
        <v>145</v>
      </c>
      <c r="B141" s="115" t="s">
        <v>872</v>
      </c>
      <c r="C141" s="114" t="s">
        <v>871</v>
      </c>
      <c r="D141" s="114" t="s">
        <v>295</v>
      </c>
      <c r="E141" s="115" t="str" cm="1">
        <f t="array" ref="E141">_xlfn.XLOOKUP(1,(dimLocales_v2[IdUniversidad]=$A141)*(dimLocales_v2[SedePrincipal]=TRUE),dimLocales_v2[Departamento],"")</f>
        <v>Lima</v>
      </c>
      <c r="F141" s="115" t="str" cm="1">
        <f t="array" ref="F141">_xlfn.XLOOKUP(1,(dimLocales_v2[IdUniversidad]=$A141)*(dimLocales_v2[SedePrincipal]=TRUE),dimLocales_v2[Provincia],"")</f>
        <v>Lima</v>
      </c>
      <c r="G141" s="115" t="str" cm="1">
        <f t="array" ref="G141">_xlfn.XLOOKUP(1,(dimLocales_v2[IdUniversidad]=$A141)*(dimLocales_v2[SedePrincipal]=TRUE),dimLocales_v2[Distrito],"")</f>
        <v>Pueblo Libre</v>
      </c>
      <c r="H141" s="115" t="str" cm="1">
        <f t="array" ref="H141">_xlfn.XLOOKUP(1,(dimLocales_v2[IdUniversidad]=$A141)*(dimLocales_v2[SedePrincipal]=TRUE),dimLocales_v2[Direccion],"")</f>
        <v>Avenida Juan Pablo Fernandini N° 1140, Jirón Pedro Ruiz N° 251, Avenida Colombia N° 240</v>
      </c>
      <c r="I141" s="115" cm="1">
        <f t="array" ref="I141">_xlfn.XLOOKUP(1,(dimLocales_v2[IdUniversidad]=$A141)*(dimLocales_v2[SedePrincipal]=TRUE),dimLocales_v2[Latitud],"")</f>
        <v>-12.069728400000001</v>
      </c>
      <c r="J141" s="115" cm="1">
        <f t="array" ref="J141">_xlfn.XLOOKUP(1,(dimLocales_v2[IdUniversidad]=$A141)*(dimLocales_v2[SedePrincipal]=TRUE),dimLocales_v2[Longitud],"")</f>
        <v>-77.051358500000006</v>
      </c>
      <c r="K141" s="115" cm="1">
        <f t="array" ref="K141">_xlfn.XLOOKUP(1,(dimLocales_v2[IdUniversidad]=$A141)*(dimLocales_v2[SedePrincipal]=TRUE),dimLocales_v2[UbigeoRENIEC],"")</f>
        <v>140117</v>
      </c>
      <c r="L141" s="115" cm="1">
        <f t="array" ref="L141">_xlfn.XLOOKUP(1,(dimLocales_v2[IdUniversidad]=$A141)*(dimLocales_v2[SedePrincipal]=TRUE),dimLocales_v2[UbigeoINEI],"")</f>
        <v>150121</v>
      </c>
    </row>
    <row r="142" spans="1:12" x14ac:dyDescent="0.25">
      <c r="A142" s="114">
        <v>146</v>
      </c>
      <c r="B142" s="115" t="s">
        <v>870</v>
      </c>
      <c r="C142" s="114" t="s">
        <v>869</v>
      </c>
      <c r="D142" s="114" t="s">
        <v>295</v>
      </c>
      <c r="E142" s="115" t="str" cm="1">
        <f t="array" ref="E142">_xlfn.XLOOKUP(1,(dimLocales_v2[IdUniversidad]=$A142)*(dimLocales_v2[SedePrincipal]=TRUE),dimLocales_v2[Departamento],"")</f>
        <v>Áncash</v>
      </c>
      <c r="F142" s="115" t="str" cm="1">
        <f t="array" ref="F142">_xlfn.XLOOKUP(1,(dimLocales_v2[IdUniversidad]=$A142)*(dimLocales_v2[SedePrincipal]=TRUE),dimLocales_v2[Provincia],"")</f>
        <v>Santa</v>
      </c>
      <c r="G142" s="115" t="str" cm="1">
        <f t="array" ref="G142">_xlfn.XLOOKUP(1,(dimLocales_v2[IdUniversidad]=$A142)*(dimLocales_v2[SedePrincipal]=TRUE),dimLocales_v2[Distrito],"")</f>
        <v>Nuevo Chimbote</v>
      </c>
      <c r="H142" s="115" t="str" cm="1">
        <f t="array" ref="H142">_xlfn.XLOOKUP(1,(dimLocales_v2[IdUniversidad]=$A142)*(dimLocales_v2[SedePrincipal]=TRUE),dimLocales_v2[Direccion],"")</f>
        <v>Programa de Vivienda Zona Semi Urbana II del Núcleo Urbano Buenos Aires Mz. F Lotes 2A, 2A Unidad Bloque B, 2B y 3</v>
      </c>
      <c r="I142" s="115" cm="1">
        <f t="array" ref="I142">_xlfn.XLOOKUP(1,(dimLocales_v2[IdUniversidad]=$A142)*(dimLocales_v2[SedePrincipal]=TRUE),dimLocales_v2[Latitud],"")</f>
        <v>-9.1052648000000005</v>
      </c>
      <c r="J142" s="115" cm="1">
        <f t="array" ref="J142">_xlfn.XLOOKUP(1,(dimLocales_v2[IdUniversidad]=$A142)*(dimLocales_v2[SedePrincipal]=TRUE),dimLocales_v2[Longitud],"")</f>
        <v>-78.445126000000002</v>
      </c>
      <c r="K142" s="115" cm="1">
        <f t="array" ref="K142">_xlfn.XLOOKUP(1,(dimLocales_v2[IdUniversidad]=$A142)*(dimLocales_v2[SedePrincipal]=TRUE),dimLocales_v2[UbigeoRENIEC],"")</f>
        <v>21309</v>
      </c>
      <c r="L142" s="115" cm="1">
        <f t="array" ref="L142">_xlfn.XLOOKUP(1,(dimLocales_v2[IdUniversidad]=$A142)*(dimLocales_v2[SedePrincipal]=TRUE),dimLocales_v2[UbigeoINEI],"")</f>
        <v>21809</v>
      </c>
    </row>
    <row r="143" spans="1:12" x14ac:dyDescent="0.25">
      <c r="A143" s="114">
        <v>147</v>
      </c>
      <c r="B143" s="115" t="s">
        <v>868</v>
      </c>
      <c r="C143" s="114" t="s">
        <v>491</v>
      </c>
      <c r="D143" s="114" t="s">
        <v>266</v>
      </c>
      <c r="E143" s="115" t="str" cm="1">
        <f t="array" ref="E143">_xlfn.XLOOKUP(1,(dimLocales_v2[IdUniversidad]=$A143)*(dimLocales_v2[SedePrincipal]=TRUE),dimLocales_v2[Departamento],"")</f>
        <v>Lima</v>
      </c>
      <c r="F143" s="115" t="str" cm="1">
        <f t="array" ref="F143">_xlfn.XLOOKUP(1,(dimLocales_v2[IdUniversidad]=$A143)*(dimLocales_v2[SedePrincipal]=TRUE),dimLocales_v2[Provincia],"")</f>
        <v>Lima</v>
      </c>
      <c r="G143" s="115" t="str" cm="1">
        <f t="array" ref="G143">_xlfn.XLOOKUP(1,(dimLocales_v2[IdUniversidad]=$A143)*(dimLocales_v2[SedePrincipal]=TRUE),dimLocales_v2[Distrito],"")</f>
        <v>Lima</v>
      </c>
      <c r="H143" s="115" t="str" cm="1">
        <f t="array" ref="H143">_xlfn.XLOOKUP(1,(dimLocales_v2[IdUniversidad]=$A143)*(dimLocales_v2[SedePrincipal]=TRUE),dimLocales_v2[Direccion],"")</f>
        <v>Jirón Carabaya 421- 429 - 435</v>
      </c>
      <c r="I143" s="115" cm="1">
        <f t="array" ref="I143">_xlfn.XLOOKUP(1,(dimLocales_v2[IdUniversidad]=$A143)*(dimLocales_v2[SedePrincipal]=TRUE),dimLocales_v2[Latitud],"")</f>
        <v>-12.0479877</v>
      </c>
      <c r="J143" s="115" cm="1">
        <f t="array" ref="J143">_xlfn.XLOOKUP(1,(dimLocales_v2[IdUniversidad]=$A143)*(dimLocales_v2[SedePrincipal]=TRUE),dimLocales_v2[Longitud],"")</f>
        <v>-77.031203199999993</v>
      </c>
      <c r="K143" s="115" cm="1">
        <f t="array" ref="K143">_xlfn.XLOOKUP(1,(dimLocales_v2[IdUniversidad]=$A143)*(dimLocales_v2[SedePrincipal]=TRUE),dimLocales_v2[UbigeoRENIEC],"")</f>
        <v>140101</v>
      </c>
      <c r="L143" s="115" cm="1">
        <f t="array" ref="L143">_xlfn.XLOOKUP(1,(dimLocales_v2[IdUniversidad]=$A143)*(dimLocales_v2[SedePrincipal]=TRUE),dimLocales_v2[UbigeoINEI],"")</f>
        <v>150101</v>
      </c>
    </row>
    <row r="144" spans="1:12" x14ac:dyDescent="0.25">
      <c r="A144" s="114">
        <v>148</v>
      </c>
      <c r="B144" s="115" t="s">
        <v>867</v>
      </c>
      <c r="C144" s="114" t="s">
        <v>866</v>
      </c>
      <c r="D144" s="114" t="s">
        <v>266</v>
      </c>
      <c r="E144" s="115" t="str" cm="1">
        <f t="array" ref="E144">_xlfn.XLOOKUP(1,(dimLocales_v2[IdUniversidad]=$A144)*(dimLocales_v2[SedePrincipal]=TRUE),dimLocales_v2[Departamento],"")</f>
        <v>Huánuco</v>
      </c>
      <c r="F144" s="115" t="str" cm="1">
        <f t="array" ref="F144">_xlfn.XLOOKUP(1,(dimLocales_v2[IdUniversidad]=$A144)*(dimLocales_v2[SedePrincipal]=TRUE),dimLocales_v2[Provincia],"")</f>
        <v>Huánuco</v>
      </c>
      <c r="G144" s="115" t="str" cm="1">
        <f t="array" ref="G144">_xlfn.XLOOKUP(1,(dimLocales_v2[IdUniversidad]=$A144)*(dimLocales_v2[SedePrincipal]=TRUE),dimLocales_v2[Distrito],"")</f>
        <v>Huanuco</v>
      </c>
      <c r="H144" s="115" t="str" cm="1">
        <f t="array" ref="H144">_xlfn.XLOOKUP(1,(dimLocales_v2[IdUniversidad]=$A144)*(dimLocales_v2[SedePrincipal]=TRUE),dimLocales_v2[Direccion],"")</f>
        <v>Jr. General Prado N° 634</v>
      </c>
      <c r="I144" s="115" cm="1">
        <f t="array" ref="I144">_xlfn.XLOOKUP(1,(dimLocales_v2[IdUniversidad]=$A144)*(dimLocales_v2[SedePrincipal]=TRUE),dimLocales_v2[Latitud],"")</f>
        <v>-9.9207648000000006</v>
      </c>
      <c r="J144" s="115" cm="1">
        <f t="array" ref="J144">_xlfn.XLOOKUP(1,(dimLocales_v2[IdUniversidad]=$A144)*(dimLocales_v2[SedePrincipal]=TRUE),dimLocales_v2[Longitud],"")</f>
        <v>-76.241084299999997</v>
      </c>
      <c r="K144" s="115" cm="1">
        <f t="array" ref="K144">_xlfn.XLOOKUP(1,(dimLocales_v2[IdUniversidad]=$A144)*(dimLocales_v2[SedePrincipal]=TRUE),dimLocales_v2[UbigeoRENIEC],"")</f>
        <v>90101</v>
      </c>
      <c r="L144" s="115" cm="1">
        <f t="array" ref="L144">_xlfn.XLOOKUP(1,(dimLocales_v2[IdUniversidad]=$A144)*(dimLocales_v2[SedePrincipal]=TRUE),dimLocales_v2[UbigeoINEI],"")</f>
        <v>100101</v>
      </c>
    </row>
    <row r="145" spans="1:12" x14ac:dyDescent="0.25">
      <c r="A145" s="114">
        <v>149</v>
      </c>
      <c r="B145" s="115" t="s">
        <v>865</v>
      </c>
      <c r="C145" s="114" t="s">
        <v>864</v>
      </c>
      <c r="D145" s="114" t="s">
        <v>266</v>
      </c>
      <c r="E145" s="115" t="str" cm="1">
        <f t="array" ref="E145">_xlfn.XLOOKUP(1,(dimLocales_v2[IdUniversidad]=$A145)*(dimLocales_v2[SedePrincipal]=TRUE),dimLocales_v2[Departamento],"")</f>
        <v>Cajamarca</v>
      </c>
      <c r="F145" s="115" t="str" cm="1">
        <f t="array" ref="F145">_xlfn.XLOOKUP(1,(dimLocales_v2[IdUniversidad]=$A145)*(dimLocales_v2[SedePrincipal]=TRUE),dimLocales_v2[Provincia],"")</f>
        <v>San Ignacio</v>
      </c>
      <c r="G145" s="115" t="str" cm="1">
        <f t="array" ref="G145">_xlfn.XLOOKUP(1,(dimLocales_v2[IdUniversidad]=$A145)*(dimLocales_v2[SedePrincipal]=TRUE),dimLocales_v2[Distrito],"")</f>
        <v>San Ignacio</v>
      </c>
      <c r="H145" s="115" t="str" cm="1">
        <f t="array" ref="H145">_xlfn.XLOOKUP(1,(dimLocales_v2[IdUniversidad]=$A145)*(dimLocales_v2[SedePrincipal]=TRUE),dimLocales_v2[Direccion],"")</f>
        <v>Calle las Granadillas Mz. C Sub Lotes 1-A, 1-B y 1-C, Sector San Luis</v>
      </c>
      <c r="I145" s="115" cm="1">
        <f t="array" ref="I145">_xlfn.XLOOKUP(1,(dimLocales_v2[IdUniversidad]=$A145)*(dimLocales_v2[SedePrincipal]=TRUE),dimLocales_v2[Latitud],"")</f>
        <v>-5.1516055999999999</v>
      </c>
      <c r="J145" s="115" cm="1">
        <f t="array" ref="J145">_xlfn.XLOOKUP(1,(dimLocales_v2[IdUniversidad]=$A145)*(dimLocales_v2[SedePrincipal]=TRUE),dimLocales_v2[Longitud],"")</f>
        <v>-78.996688800000001</v>
      </c>
      <c r="K145" s="115" cm="1">
        <f t="array" ref="K145">_xlfn.XLOOKUP(1,(dimLocales_v2[IdUniversidad]=$A145)*(dimLocales_v2[SedePrincipal]=TRUE),dimLocales_v2[UbigeoRENIEC],"")</f>
        <v>61101</v>
      </c>
      <c r="L145" s="115" cm="1">
        <f t="array" ref="L145">_xlfn.XLOOKUP(1,(dimLocales_v2[IdUniversidad]=$A145)*(dimLocales_v2[SedePrincipal]=TRUE),dimLocales_v2[UbigeoINEI],"")</f>
        <v>60901</v>
      </c>
    </row>
    <row r="146" spans="1:12" x14ac:dyDescent="0.25">
      <c r="A146" s="114">
        <v>150</v>
      </c>
      <c r="B146" s="115" t="s">
        <v>863</v>
      </c>
      <c r="C146" s="114" t="s">
        <v>862</v>
      </c>
      <c r="D146" s="114" t="s">
        <v>295</v>
      </c>
      <c r="E146" s="115" t="str" cm="1">
        <f t="array" ref="E146">_xlfn.XLOOKUP(1,(dimLocales_v2[IdUniversidad]=$A146)*(dimLocales_v2[SedePrincipal]=TRUE),dimLocales_v2[Departamento],"")</f>
        <v>Lima</v>
      </c>
      <c r="F146" s="115" t="str" cm="1">
        <f t="array" ref="F146">_xlfn.XLOOKUP(1,(dimLocales_v2[IdUniversidad]=$A146)*(dimLocales_v2[SedePrincipal]=TRUE),dimLocales_v2[Provincia],"")</f>
        <v>Lima</v>
      </c>
      <c r="G146" s="115" t="str" cm="1">
        <f t="array" ref="G146">_xlfn.XLOOKUP(1,(dimLocales_v2[IdUniversidad]=$A146)*(dimLocales_v2[SedePrincipal]=TRUE),dimLocales_v2[Distrito],"")</f>
        <v>La Molina</v>
      </c>
      <c r="H146" s="115" t="str" cm="1">
        <f t="array" ref="H146">_xlfn.XLOOKUP(1,(dimLocales_v2[IdUniversidad]=$A146)*(dimLocales_v2[SedePrincipal]=TRUE),dimLocales_v2[Direccion],"")</f>
        <v>Av. La Fontana 550</v>
      </c>
      <c r="I146" s="115" cm="1">
        <f t="array" ref="I146">_xlfn.XLOOKUP(1,(dimLocales_v2[IdUniversidad]=$A146)*(dimLocales_v2[SedePrincipal]=TRUE),dimLocales_v2[Latitud],"")</f>
        <v>-12.073291923949601</v>
      </c>
      <c r="J146" s="115" cm="1">
        <f t="array" ref="J146">_xlfn.XLOOKUP(1,(dimLocales_v2[IdUniversidad]=$A146)*(dimLocales_v2[SedePrincipal]=TRUE),dimLocales_v2[Longitud],"")</f>
        <v>-76.953844218138101</v>
      </c>
      <c r="K146" s="115" cm="1">
        <f t="array" ref="K146">_xlfn.XLOOKUP(1,(dimLocales_v2[IdUniversidad]=$A146)*(dimLocales_v2[SedePrincipal]=TRUE),dimLocales_v2[UbigeoRENIEC],"")</f>
        <v>140110</v>
      </c>
      <c r="L146" s="115" cm="1">
        <f t="array" ref="L146">_xlfn.XLOOKUP(1,(dimLocales_v2[IdUniversidad]=$A146)*(dimLocales_v2[SedePrincipal]=TRUE),dimLocales_v2[UbigeoINEI],"")</f>
        <v>150114</v>
      </c>
    </row>
    <row r="147" spans="1:12" x14ac:dyDescent="0.25">
      <c r="A147" s="114">
        <v>151</v>
      </c>
      <c r="B147" s="115" t="s">
        <v>861</v>
      </c>
      <c r="C147" s="114" t="s">
        <v>860</v>
      </c>
      <c r="D147" s="114" t="s">
        <v>295</v>
      </c>
      <c r="E147" s="115" t="str" cm="1">
        <f t="array" ref="E147">_xlfn.XLOOKUP(1,(dimLocales_v2[IdUniversidad]=$A147)*(dimLocales_v2[SedePrincipal]=TRUE),dimLocales_v2[Departamento],"")</f>
        <v>Tacna</v>
      </c>
      <c r="F147" s="115" t="str" cm="1">
        <f t="array" ref="F147">_xlfn.XLOOKUP(1,(dimLocales_v2[IdUniversidad]=$A147)*(dimLocales_v2[SedePrincipal]=TRUE),dimLocales_v2[Provincia],"")</f>
        <v>Tacna</v>
      </c>
      <c r="G147" s="115" t="str" cm="1">
        <f t="array" ref="G147">_xlfn.XLOOKUP(1,(dimLocales_v2[IdUniversidad]=$A147)*(dimLocales_v2[SedePrincipal]=TRUE),dimLocales_v2[Distrito],"")</f>
        <v>Tacna</v>
      </c>
      <c r="H147" s="115" t="str" cm="1">
        <f t="array" ref="H147">_xlfn.XLOOKUP(1,(dimLocales_v2[IdUniversidad]=$A147)*(dimLocales_v2[SedePrincipal]=TRUE),dimLocales_v2[Direccion],"")</f>
        <v>Avenida Bolognesi N° 987</v>
      </c>
      <c r="I147" s="115" cm="1">
        <f t="array" ref="I147">_xlfn.XLOOKUP(1,(dimLocales_v2[IdUniversidad]=$A147)*(dimLocales_v2[SedePrincipal]=TRUE),dimLocales_v2[Latitud],"")</f>
        <v>-18.010345000000001</v>
      </c>
      <c r="J147" s="115" cm="1">
        <f t="array" ref="J147">_xlfn.XLOOKUP(1,(dimLocales_v2[IdUniversidad]=$A147)*(dimLocales_v2[SedePrincipal]=TRUE),dimLocales_v2[Longitud],"")</f>
        <v>-70.244167000000004</v>
      </c>
      <c r="K147" s="115" cm="1">
        <f t="array" ref="K147">_xlfn.XLOOKUP(1,(dimLocales_v2[IdUniversidad]=$A147)*(dimLocales_v2[SedePrincipal]=TRUE),dimLocales_v2[UbigeoRENIEC],"")</f>
        <v>220101</v>
      </c>
      <c r="L147" s="115" cm="1">
        <f t="array" ref="L147">_xlfn.XLOOKUP(1,(dimLocales_v2[IdUniversidad]=$A147)*(dimLocales_v2[SedePrincipal]=TRUE),dimLocales_v2[UbigeoINEI],"")</f>
        <v>230101</v>
      </c>
    </row>
    <row r="148" spans="1:12" x14ac:dyDescent="0.25">
      <c r="A148" s="114">
        <v>152</v>
      </c>
      <c r="B148" s="115" t="s">
        <v>859</v>
      </c>
      <c r="C148" s="114" t="s">
        <v>858</v>
      </c>
      <c r="D148" s="114" t="s">
        <v>295</v>
      </c>
      <c r="E148" s="115" t="str" cm="1">
        <f t="array" ref="E148">_xlfn.XLOOKUP(1,(dimLocales_v2[IdUniversidad]=$A148)*(dimLocales_v2[SedePrincipal]=TRUE),dimLocales_v2[Departamento],"")</f>
        <v>Lima</v>
      </c>
      <c r="F148" s="115" t="str" cm="1">
        <f t="array" ref="F148">_xlfn.XLOOKUP(1,(dimLocales_v2[IdUniversidad]=$A148)*(dimLocales_v2[SedePrincipal]=TRUE),dimLocales_v2[Provincia],"")</f>
        <v>Lima</v>
      </c>
      <c r="G148" s="115" t="str" cm="1">
        <f t="array" ref="G148">_xlfn.XLOOKUP(1,(dimLocales_v2[IdUniversidad]=$A148)*(dimLocales_v2[SedePrincipal]=TRUE),dimLocales_v2[Distrito],"")</f>
        <v>Santiago de Surco</v>
      </c>
      <c r="H148" s="115" t="str" cm="1">
        <f t="array" ref="H148">_xlfn.XLOOKUP(1,(dimLocales_v2[IdUniversidad]=$A148)*(dimLocales_v2[SedePrincipal]=TRUE),dimLocales_v2[Direccion],"")</f>
        <v>Avenida Primavera N° 1050</v>
      </c>
      <c r="I148" s="115" cm="1">
        <f t="array" ref="I148">_xlfn.XLOOKUP(1,(dimLocales_v2[IdUniversidad]=$A148)*(dimLocales_v2[SedePrincipal]=TRUE),dimLocales_v2[Latitud],"")</f>
        <v>-12.110641016557</v>
      </c>
      <c r="J148" s="115" cm="1">
        <f t="array" ref="J148">_xlfn.XLOOKUP(1,(dimLocales_v2[IdUniversidad]=$A148)*(dimLocales_v2[SedePrincipal]=TRUE),dimLocales_v2[Longitud],"")</f>
        <v>-76.980609999999999</v>
      </c>
      <c r="K148" s="115" cm="1">
        <f t="array" ref="K148">_xlfn.XLOOKUP(1,(dimLocales_v2[IdUniversidad]=$A148)*(dimLocales_v2[SedePrincipal]=TRUE),dimLocales_v2[UbigeoRENIEC],"")</f>
        <v>140130</v>
      </c>
      <c r="L148" s="115" cm="1">
        <f t="array" ref="L148">_xlfn.XLOOKUP(1,(dimLocales_v2[IdUniversidad]=$A148)*(dimLocales_v2[SedePrincipal]=TRUE),dimLocales_v2[UbigeoINEI],"")</f>
        <v>150140</v>
      </c>
    </row>
    <row r="149" spans="1:12" x14ac:dyDescent="0.25">
      <c r="A149" s="114">
        <v>153</v>
      </c>
      <c r="B149" s="115" t="s">
        <v>857</v>
      </c>
      <c r="C149" s="114" t="s">
        <v>856</v>
      </c>
      <c r="D149" s="114" t="s">
        <v>295</v>
      </c>
      <c r="E149" s="115" t="str" cm="1">
        <f t="array" ref="E149">_xlfn.XLOOKUP(1,(dimLocales_v2[IdUniversidad]=$A149)*(dimLocales_v2[SedePrincipal]=TRUE),dimLocales_v2[Departamento],"")</f>
        <v>Arequipa</v>
      </c>
      <c r="F149" s="115" t="str" cm="1">
        <f t="array" ref="F149">_xlfn.XLOOKUP(1,(dimLocales_v2[IdUniversidad]=$A149)*(dimLocales_v2[SedePrincipal]=TRUE),dimLocales_v2[Provincia],"")</f>
        <v>Arequipa</v>
      </c>
      <c r="G149" s="115" t="str" cm="1">
        <f t="array" ref="G149">_xlfn.XLOOKUP(1,(dimLocales_v2[IdUniversidad]=$A149)*(dimLocales_v2[SedePrincipal]=TRUE),dimLocales_v2[Distrito],"")</f>
        <v>Yanahuara</v>
      </c>
      <c r="H149" s="115" t="str" cm="1">
        <f t="array" ref="H149">_xlfn.XLOOKUP(1,(dimLocales_v2[IdUniversidad]=$A149)*(dimLocales_v2[SedePrincipal]=TRUE),dimLocales_v2[Direccion],"")</f>
        <v>Calle Misti 412</v>
      </c>
      <c r="I149" s="115" cm="1">
        <f t="array" ref="I149">_xlfn.XLOOKUP(1,(dimLocales_v2[IdUniversidad]=$A149)*(dimLocales_v2[SedePrincipal]=TRUE),dimLocales_v2[Latitud],"")</f>
        <v>-16.3864719</v>
      </c>
      <c r="J149" s="115" cm="1">
        <f t="array" ref="J149">_xlfn.XLOOKUP(1,(dimLocales_v2[IdUniversidad]=$A149)*(dimLocales_v2[SedePrincipal]=TRUE),dimLocales_v2[Longitud],"")</f>
        <v>-71.539537800000005</v>
      </c>
      <c r="K149" s="115" cm="1">
        <f t="array" ref="K149">_xlfn.XLOOKUP(1,(dimLocales_v2[IdUniversidad]=$A149)*(dimLocales_v2[SedePrincipal]=TRUE),dimLocales_v2[UbigeoRENIEC],"")</f>
        <v>40123</v>
      </c>
      <c r="L149" s="115" cm="1">
        <f t="array" ref="L149">_xlfn.XLOOKUP(1,(dimLocales_v2[IdUniversidad]=$A149)*(dimLocales_v2[SedePrincipal]=TRUE),dimLocales_v2[UbigeoINEI],"")</f>
        <v>40126</v>
      </c>
    </row>
    <row r="150" spans="1:12" x14ac:dyDescent="0.25">
      <c r="A150" s="114">
        <v>154</v>
      </c>
      <c r="B150" s="115" t="s">
        <v>855</v>
      </c>
      <c r="C150" s="114" t="s">
        <v>854</v>
      </c>
      <c r="D150" s="114" t="s">
        <v>295</v>
      </c>
      <c r="E150" s="115" t="str" cm="1">
        <f t="array" ref="E150">_xlfn.XLOOKUP(1,(dimLocales_v2[IdUniversidad]=$A150)*(dimLocales_v2[SedePrincipal]=TRUE),dimLocales_v2[Departamento],"")</f>
        <v>Lima</v>
      </c>
      <c r="F150" s="115" t="str" cm="1">
        <f t="array" ref="F150">_xlfn.XLOOKUP(1,(dimLocales_v2[IdUniversidad]=$A150)*(dimLocales_v2[SedePrincipal]=TRUE),dimLocales_v2[Provincia],"")</f>
        <v>Lima</v>
      </c>
      <c r="G150" s="115" t="str" cm="1">
        <f t="array" ref="G150">_xlfn.XLOOKUP(1,(dimLocales_v2[IdUniversidad]=$A150)*(dimLocales_v2[SedePrincipal]=TRUE),dimLocales_v2[Distrito],"")</f>
        <v>Lima</v>
      </c>
      <c r="H150" s="115" t="str" cm="1">
        <f t="array" ref="H150">_xlfn.XLOOKUP(1,(dimLocales_v2[IdUniversidad]=$A150)*(dimLocales_v2[SedePrincipal]=TRUE),dimLocales_v2[Direccion],"")</f>
        <v>Jirón Junín N° 421, 425, 429, 435, 441</v>
      </c>
      <c r="I150" s="115" cm="1">
        <f t="array" ref="I150">_xlfn.XLOOKUP(1,(dimLocales_v2[IdUniversidad]=$A150)*(dimLocales_v2[SedePrincipal]=TRUE),dimLocales_v2[Latitud],"")</f>
        <v>-12.047264999999999</v>
      </c>
      <c r="J150" s="115" cm="1">
        <f t="array" ref="J150">_xlfn.XLOOKUP(1,(dimLocales_v2[IdUniversidad]=$A150)*(dimLocales_v2[SedePrincipal]=TRUE),dimLocales_v2[Longitud],"")</f>
        <v>-77.027326000000002</v>
      </c>
      <c r="K150" s="115" cm="1">
        <f t="array" ref="K150">_xlfn.XLOOKUP(1,(dimLocales_v2[IdUniversidad]=$A150)*(dimLocales_v2[SedePrincipal]=TRUE),dimLocales_v2[UbigeoRENIEC],"")</f>
        <v>140101</v>
      </c>
      <c r="L150" s="115" cm="1">
        <f t="array" ref="L150">_xlfn.XLOOKUP(1,(dimLocales_v2[IdUniversidad]=$A150)*(dimLocales_v2[SedePrincipal]=TRUE),dimLocales_v2[UbigeoINEI],"")</f>
        <v>150101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129E-4261-403D-802B-A76B0BEF5BE7}">
  <sheetPr>
    <tabColor rgb="FFFFFF00"/>
  </sheetPr>
  <dimension ref="A1:M849"/>
  <sheetViews>
    <sheetView workbookViewId="0">
      <selection activeCell="D854" sqref="D854"/>
    </sheetView>
  </sheetViews>
  <sheetFormatPr baseColWidth="10" defaultRowHeight="15" x14ac:dyDescent="0.25"/>
  <cols>
    <col min="1" max="2" width="8.42578125" style="120" customWidth="1"/>
    <col min="3" max="3" width="43" style="117" customWidth="1"/>
    <col min="4" max="4" width="11.7109375" style="117" customWidth="1"/>
    <col min="5" max="5" width="15.7109375" style="119" bestFit="1" customWidth="1"/>
    <col min="6" max="6" width="16.28515625" style="117" bestFit="1" customWidth="1"/>
    <col min="7" max="7" width="22.85546875" style="117" bestFit="1" customWidth="1"/>
    <col min="8" max="8" width="21" style="117" customWidth="1"/>
    <col min="9" max="9" width="59.5703125" style="117" customWidth="1"/>
    <col min="10" max="11" width="11.28515625" style="118" bestFit="1" customWidth="1"/>
    <col min="12" max="12" width="16.5703125" style="117" bestFit="1" customWidth="1"/>
    <col min="13" max="13" width="13.28515625" style="117" bestFit="1" customWidth="1"/>
    <col min="14" max="16384" width="11.42578125" style="117"/>
  </cols>
  <sheetData>
    <row r="1" spans="1:13" x14ac:dyDescent="0.25">
      <c r="A1" s="124" t="s">
        <v>2272</v>
      </c>
      <c r="B1" s="124" t="s">
        <v>1108</v>
      </c>
      <c r="C1" s="121" t="s">
        <v>2271</v>
      </c>
      <c r="D1" s="121" t="s">
        <v>2270</v>
      </c>
      <c r="E1" s="123" t="s">
        <v>2269</v>
      </c>
      <c r="F1" s="121" t="s">
        <v>1104</v>
      </c>
      <c r="G1" s="121" t="s">
        <v>754</v>
      </c>
      <c r="H1" s="121" t="s">
        <v>753</v>
      </c>
      <c r="I1" s="121" t="s">
        <v>1103</v>
      </c>
      <c r="J1" s="122" t="s">
        <v>1102</v>
      </c>
      <c r="K1" s="122" t="s">
        <v>1101</v>
      </c>
      <c r="L1" s="121" t="s">
        <v>1100</v>
      </c>
      <c r="M1" s="121" t="s">
        <v>1099</v>
      </c>
    </row>
    <row r="2" spans="1:13" x14ac:dyDescent="0.25">
      <c r="A2" s="120">
        <v>1</v>
      </c>
      <c r="B2" s="120">
        <v>1</v>
      </c>
      <c r="C2" s="117" t="str">
        <f>_xlfn.XLOOKUP(B2,dimUniversidades!$A:$A,dimUniversidades!$B:$B,"(sin universidad)")</f>
        <v>Universidad de Lima</v>
      </c>
      <c r="D2" s="117" t="s">
        <v>324</v>
      </c>
      <c r="E2" s="119" t="b">
        <v>1</v>
      </c>
      <c r="F2" s="117" t="s">
        <v>385</v>
      </c>
      <c r="G2" s="117" t="s">
        <v>385</v>
      </c>
      <c r="H2" s="117" t="s">
        <v>542</v>
      </c>
      <c r="I2" s="117" t="s">
        <v>2268</v>
      </c>
      <c r="J2" s="118">
        <v>-12.0839636959617</v>
      </c>
      <c r="K2" s="118">
        <v>-76.970644719573997</v>
      </c>
      <c r="L2" s="117">
        <v>140130</v>
      </c>
      <c r="M2" s="117">
        <v>150140</v>
      </c>
    </row>
    <row r="3" spans="1:13" x14ac:dyDescent="0.25">
      <c r="A3" s="120">
        <v>2</v>
      </c>
      <c r="B3" s="120">
        <v>1</v>
      </c>
      <c r="C3" s="117" t="str">
        <f>_xlfn.XLOOKUP(B3,dimUniversidades!$A:$A,dimUniversidades!$B:$B,"(sin universidad)")</f>
        <v>Universidad de Lima</v>
      </c>
      <c r="D3" s="117" t="s">
        <v>399</v>
      </c>
      <c r="E3" s="115" t="b">
        <v>0</v>
      </c>
      <c r="F3" s="115" t="s">
        <v>385</v>
      </c>
      <c r="G3" s="115" t="s">
        <v>385</v>
      </c>
      <c r="H3" s="115" t="s">
        <v>1277</v>
      </c>
      <c r="I3" s="117" t="s">
        <v>2267</v>
      </c>
      <c r="J3" s="118">
        <v>-12.0673277</v>
      </c>
      <c r="K3" s="118">
        <v>-76.957533900000001</v>
      </c>
      <c r="L3" s="117">
        <v>140103</v>
      </c>
      <c r="M3" s="117">
        <v>150103</v>
      </c>
    </row>
    <row r="4" spans="1:13" x14ac:dyDescent="0.25">
      <c r="A4" s="120">
        <v>3</v>
      </c>
      <c r="B4" s="120">
        <v>2</v>
      </c>
      <c r="C4" s="117" t="str">
        <f>_xlfn.XLOOKUP(B4,dimUniversidades!$A:$A,dimUniversidades!$B:$B,"(sin universidad)")</f>
        <v>Universidad Nacional Federico Villarreal</v>
      </c>
      <c r="D4" s="117" t="s">
        <v>324</v>
      </c>
      <c r="E4" s="115" t="b">
        <v>1</v>
      </c>
      <c r="F4" s="115" t="s">
        <v>385</v>
      </c>
      <c r="G4" s="115" t="s">
        <v>385</v>
      </c>
      <c r="H4" s="115" t="s">
        <v>385</v>
      </c>
      <c r="I4" s="117" t="s">
        <v>2266</v>
      </c>
      <c r="J4" s="118">
        <v>-12.047542399999999</v>
      </c>
      <c r="K4" s="118">
        <v>-77.040569399999995</v>
      </c>
      <c r="L4" s="117">
        <v>140101</v>
      </c>
      <c r="M4" s="117">
        <v>150101</v>
      </c>
    </row>
    <row r="5" spans="1:13" x14ac:dyDescent="0.25">
      <c r="A5" s="120">
        <v>4</v>
      </c>
      <c r="B5" s="120">
        <v>2</v>
      </c>
      <c r="C5" s="117" t="str">
        <f>_xlfn.XLOOKUP(B5,dimUniversidades!$A:$A,dimUniversidades!$B:$B,"(sin universidad)")</f>
        <v>Universidad Nacional Federico Villarreal</v>
      </c>
      <c r="D5" s="117" t="s">
        <v>399</v>
      </c>
      <c r="E5" s="115" t="b">
        <v>0</v>
      </c>
      <c r="F5" s="115" t="s">
        <v>385</v>
      </c>
      <c r="G5" s="115" t="s">
        <v>385</v>
      </c>
      <c r="H5" s="115" t="s">
        <v>385</v>
      </c>
      <c r="I5" s="117" t="s">
        <v>2265</v>
      </c>
      <c r="J5" s="118">
        <v>-12.0473804</v>
      </c>
      <c r="K5" s="118">
        <v>-77.041429199999996</v>
      </c>
      <c r="L5" s="117">
        <v>140101</v>
      </c>
      <c r="M5" s="117">
        <v>150101</v>
      </c>
    </row>
    <row r="6" spans="1:13" x14ac:dyDescent="0.25">
      <c r="A6" s="120">
        <v>5</v>
      </c>
      <c r="B6" s="120">
        <v>2</v>
      </c>
      <c r="C6" s="117" t="str">
        <f>_xlfn.XLOOKUP(B6,dimUniversidades!$A:$A,dimUniversidades!$B:$B,"(sin universidad)")</f>
        <v>Universidad Nacional Federico Villarreal</v>
      </c>
      <c r="D6" s="117" t="s">
        <v>735</v>
      </c>
      <c r="E6" s="115" t="b">
        <v>0</v>
      </c>
      <c r="F6" s="115" t="s">
        <v>385</v>
      </c>
      <c r="G6" s="115" t="s">
        <v>385</v>
      </c>
      <c r="H6" s="115" t="s">
        <v>385</v>
      </c>
      <c r="I6" s="117" t="s">
        <v>2264</v>
      </c>
      <c r="J6" s="118">
        <v>-12.0542672</v>
      </c>
      <c r="K6" s="118">
        <v>-77.037604000000002</v>
      </c>
      <c r="L6" s="117">
        <v>140101</v>
      </c>
      <c r="M6" s="117">
        <v>150101</v>
      </c>
    </row>
    <row r="7" spans="1:13" x14ac:dyDescent="0.25">
      <c r="A7" s="120">
        <v>6</v>
      </c>
      <c r="B7" s="120">
        <v>2</v>
      </c>
      <c r="C7" s="117" t="str">
        <f>_xlfn.XLOOKUP(B7,dimUniversidades!$A:$A,dimUniversidades!$B:$B,"(sin universidad)")</f>
        <v>Universidad Nacional Federico Villarreal</v>
      </c>
      <c r="D7" s="117" t="s">
        <v>500</v>
      </c>
      <c r="E7" s="115" t="b">
        <v>0</v>
      </c>
      <c r="F7" s="115" t="s">
        <v>385</v>
      </c>
      <c r="G7" s="115" t="s">
        <v>385</v>
      </c>
      <c r="H7" s="115" t="s">
        <v>1182</v>
      </c>
      <c r="I7" s="117" t="s">
        <v>2263</v>
      </c>
      <c r="J7" s="118">
        <v>-12.085923214747501</v>
      </c>
      <c r="K7" s="118">
        <v>-77.0587232491348</v>
      </c>
      <c r="L7" s="117">
        <v>140133</v>
      </c>
      <c r="M7" s="117">
        <v>150113</v>
      </c>
    </row>
    <row r="8" spans="1:13" x14ac:dyDescent="0.25">
      <c r="A8" s="120">
        <v>7</v>
      </c>
      <c r="B8" s="120">
        <v>2</v>
      </c>
      <c r="C8" s="117" t="str">
        <f>_xlfn.XLOOKUP(B8,dimUniversidades!$A:$A,dimUniversidades!$B:$B,"(sin universidad)")</f>
        <v>Universidad Nacional Federico Villarreal</v>
      </c>
      <c r="D8" s="117" t="s">
        <v>1117</v>
      </c>
      <c r="E8" s="115" t="b">
        <v>0</v>
      </c>
      <c r="F8" s="115" t="s">
        <v>385</v>
      </c>
      <c r="G8" s="115" t="s">
        <v>385</v>
      </c>
      <c r="H8" s="115" t="s">
        <v>664</v>
      </c>
      <c r="I8" s="117" t="s">
        <v>2262</v>
      </c>
      <c r="J8" s="118">
        <v>-12.1217621822247</v>
      </c>
      <c r="K8" s="118">
        <v>-77.038105386508207</v>
      </c>
      <c r="L8" s="117">
        <v>140115</v>
      </c>
      <c r="M8" s="117">
        <v>150122</v>
      </c>
    </row>
    <row r="9" spans="1:13" x14ac:dyDescent="0.25">
      <c r="A9" s="120">
        <v>8</v>
      </c>
      <c r="B9" s="120">
        <v>2</v>
      </c>
      <c r="C9" s="117" t="str">
        <f>_xlfn.XLOOKUP(B9,dimUniversidades!$A:$A,dimUniversidades!$B:$B,"(sin universidad)")</f>
        <v>Universidad Nacional Federico Villarreal</v>
      </c>
      <c r="D9" s="117" t="s">
        <v>1232</v>
      </c>
      <c r="E9" s="115" t="b">
        <v>0</v>
      </c>
      <c r="F9" s="115" t="s">
        <v>385</v>
      </c>
      <c r="G9" s="115" t="s">
        <v>385</v>
      </c>
      <c r="H9" s="115" t="s">
        <v>1119</v>
      </c>
      <c r="I9" s="117" t="s">
        <v>2261</v>
      </c>
      <c r="J9" s="118">
        <v>-12.0942463240625</v>
      </c>
      <c r="K9" s="118">
        <v>-77.077148026827999</v>
      </c>
      <c r="L9" s="117">
        <v>140114</v>
      </c>
      <c r="M9" s="117">
        <v>150120</v>
      </c>
    </row>
    <row r="10" spans="1:13" x14ac:dyDescent="0.25">
      <c r="A10" s="120">
        <v>9</v>
      </c>
      <c r="B10" s="120">
        <v>2</v>
      </c>
      <c r="C10" s="117" t="str">
        <f>_xlfn.XLOOKUP(B10,dimUniversidades!$A:$A,dimUniversidades!$B:$B,"(sin universidad)")</f>
        <v>Universidad Nacional Federico Villarreal</v>
      </c>
      <c r="D10" s="117" t="s">
        <v>1230</v>
      </c>
      <c r="E10" s="115" t="b">
        <v>0</v>
      </c>
      <c r="F10" s="115" t="s">
        <v>385</v>
      </c>
      <c r="G10" s="115" t="s">
        <v>385</v>
      </c>
      <c r="H10" s="115" t="s">
        <v>385</v>
      </c>
      <c r="I10" s="117" t="s">
        <v>2260</v>
      </c>
      <c r="J10" s="118">
        <v>-12.046063568817599</v>
      </c>
      <c r="K10" s="118">
        <v>-77.047775095275895</v>
      </c>
      <c r="L10" s="117">
        <v>140101</v>
      </c>
      <c r="M10" s="117">
        <v>150101</v>
      </c>
    </row>
    <row r="11" spans="1:13" x14ac:dyDescent="0.25">
      <c r="A11" s="120">
        <v>10</v>
      </c>
      <c r="B11" s="120">
        <v>2</v>
      </c>
      <c r="C11" s="117" t="str">
        <f>_xlfn.XLOOKUP(B11,dimUniversidades!$A:$A,dimUniversidades!$B:$B,"(sin universidad)")</f>
        <v>Universidad Nacional Federico Villarreal</v>
      </c>
      <c r="D11" s="117" t="s">
        <v>1227</v>
      </c>
      <c r="E11" s="115" t="b">
        <v>0</v>
      </c>
      <c r="F11" s="115" t="s">
        <v>385</v>
      </c>
      <c r="G11" s="115" t="s">
        <v>385</v>
      </c>
      <c r="H11" s="115" t="s">
        <v>1465</v>
      </c>
      <c r="I11" s="117" t="s">
        <v>2259</v>
      </c>
      <c r="J11" s="118">
        <v>-12.0521709055506</v>
      </c>
      <c r="K11" s="118">
        <v>-77.043913043891905</v>
      </c>
      <c r="L11" s="117">
        <v>140104</v>
      </c>
      <c r="M11" s="117">
        <v>150105</v>
      </c>
    </row>
    <row r="12" spans="1:13" x14ac:dyDescent="0.25">
      <c r="A12" s="120">
        <v>11</v>
      </c>
      <c r="B12" s="120">
        <v>2</v>
      </c>
      <c r="C12" s="117" t="str">
        <f>_xlfn.XLOOKUP(B12,dimUniversidades!$A:$A,dimUniversidades!$B:$B,"(sin universidad)")</f>
        <v>Universidad Nacional Federico Villarreal</v>
      </c>
      <c r="D12" s="117" t="s">
        <v>1419</v>
      </c>
      <c r="E12" s="115" t="b">
        <v>0</v>
      </c>
      <c r="F12" s="115" t="s">
        <v>385</v>
      </c>
      <c r="G12" s="115" t="s">
        <v>385</v>
      </c>
      <c r="H12" s="115" t="s">
        <v>1179</v>
      </c>
      <c r="I12" s="117" t="s">
        <v>2258</v>
      </c>
      <c r="J12" s="118">
        <v>-12.0797487</v>
      </c>
      <c r="K12" s="118">
        <v>-77.071443400000007</v>
      </c>
      <c r="L12" s="117">
        <v>140117</v>
      </c>
      <c r="M12" s="117">
        <v>150121</v>
      </c>
    </row>
    <row r="13" spans="1:13" x14ac:dyDescent="0.25">
      <c r="A13" s="120">
        <v>12</v>
      </c>
      <c r="B13" s="120">
        <v>2</v>
      </c>
      <c r="C13" s="117" t="str">
        <f>_xlfn.XLOOKUP(B13,dimUniversidades!$A:$A,dimUniversidades!$B:$B,"(sin universidad)")</f>
        <v>Universidad Nacional Federico Villarreal</v>
      </c>
      <c r="D13" s="117" t="s">
        <v>643</v>
      </c>
      <c r="E13" s="115" t="b">
        <v>0</v>
      </c>
      <c r="F13" s="115" t="s">
        <v>385</v>
      </c>
      <c r="G13" s="115" t="s">
        <v>385</v>
      </c>
      <c r="H13" s="115" t="s">
        <v>641</v>
      </c>
      <c r="I13" s="117" t="s">
        <v>2257</v>
      </c>
      <c r="J13" s="118">
        <v>-12.0344341232607</v>
      </c>
      <c r="K13" s="118">
        <v>-76.987772147815704</v>
      </c>
      <c r="L13" s="117">
        <v>140135</v>
      </c>
      <c r="M13" s="117">
        <v>150111</v>
      </c>
    </row>
    <row r="14" spans="1:13" x14ac:dyDescent="0.25">
      <c r="A14" s="120">
        <v>13</v>
      </c>
      <c r="B14" s="120">
        <v>3</v>
      </c>
      <c r="C14" s="117" t="str">
        <f>_xlfn.XLOOKUP(B14,dimUniversidades!$A:$A,dimUniversidades!$B:$B,"(sin universidad)")</f>
        <v>Universidad Nacional de Trujillo</v>
      </c>
      <c r="D14" s="117" t="s">
        <v>324</v>
      </c>
      <c r="E14" s="115" t="b">
        <v>1</v>
      </c>
      <c r="F14" s="115" t="s">
        <v>397</v>
      </c>
      <c r="G14" s="115" t="s">
        <v>396</v>
      </c>
      <c r="H14" s="115" t="s">
        <v>396</v>
      </c>
      <c r="I14" s="117" t="s">
        <v>2256</v>
      </c>
      <c r="J14" s="118">
        <v>-8.1143778142324106</v>
      </c>
      <c r="K14" s="118">
        <v>-79.037901431213399</v>
      </c>
      <c r="L14" s="117">
        <v>120101</v>
      </c>
      <c r="M14" s="117">
        <v>130101</v>
      </c>
    </row>
    <row r="15" spans="1:13" x14ac:dyDescent="0.25">
      <c r="A15" s="120">
        <v>14</v>
      </c>
      <c r="B15" s="120">
        <v>3</v>
      </c>
      <c r="C15" s="117" t="str">
        <f>_xlfn.XLOOKUP(B15,dimUniversidades!$A:$A,dimUniversidades!$B:$B,"(sin universidad)")</f>
        <v>Universidad Nacional de Trujillo</v>
      </c>
      <c r="D15" s="117" t="s">
        <v>399</v>
      </c>
      <c r="E15" s="115" t="b">
        <v>0</v>
      </c>
      <c r="F15" s="115" t="s">
        <v>397</v>
      </c>
      <c r="G15" s="115" t="s">
        <v>396</v>
      </c>
      <c r="H15" s="115" t="s">
        <v>396</v>
      </c>
      <c r="I15" s="117" t="s">
        <v>2255</v>
      </c>
      <c r="J15" s="118">
        <v>-8.1071950685945602</v>
      </c>
      <c r="K15" s="118">
        <v>-79.035884357147197</v>
      </c>
      <c r="L15" s="117">
        <v>120101</v>
      </c>
      <c r="M15" s="117">
        <v>130101</v>
      </c>
    </row>
    <row r="16" spans="1:13" x14ac:dyDescent="0.25">
      <c r="A16" s="120">
        <v>15</v>
      </c>
      <c r="B16" s="120">
        <v>3</v>
      </c>
      <c r="C16" s="117" t="str">
        <f>_xlfn.XLOOKUP(B16,dimUniversidades!$A:$A,dimUniversidades!$B:$B,"(sin universidad)")</f>
        <v>Universidad Nacional de Trujillo</v>
      </c>
      <c r="D16" s="117" t="s">
        <v>735</v>
      </c>
      <c r="E16" s="115" t="b">
        <v>0</v>
      </c>
      <c r="F16" s="115" t="s">
        <v>397</v>
      </c>
      <c r="G16" s="115" t="s">
        <v>396</v>
      </c>
      <c r="H16" s="115" t="s">
        <v>1256</v>
      </c>
      <c r="I16" s="117" t="s">
        <v>2254</v>
      </c>
      <c r="J16" s="118">
        <v>-8.1689021120530398</v>
      </c>
      <c r="K16" s="118">
        <v>-79.005303158752497</v>
      </c>
      <c r="L16" s="117">
        <v>120104</v>
      </c>
      <c r="M16" s="117">
        <v>130107</v>
      </c>
    </row>
    <row r="17" spans="1:13" x14ac:dyDescent="0.25">
      <c r="A17" s="120">
        <v>16</v>
      </c>
      <c r="B17" s="120">
        <v>3</v>
      </c>
      <c r="C17" s="117" t="str">
        <f>_xlfn.XLOOKUP(B17,dimUniversidades!$A:$A,dimUniversidades!$B:$B,"(sin universidad)")</f>
        <v>Universidad Nacional de Trujillo</v>
      </c>
      <c r="D17" s="117" t="s">
        <v>500</v>
      </c>
      <c r="E17" s="115" t="b">
        <v>0</v>
      </c>
      <c r="F17" s="115" t="s">
        <v>397</v>
      </c>
      <c r="G17" s="115" t="s">
        <v>396</v>
      </c>
      <c r="H17" s="115" t="s">
        <v>396</v>
      </c>
      <c r="I17" s="117" t="s">
        <v>2253</v>
      </c>
      <c r="J17" s="118">
        <v>-8.0914868832597495</v>
      </c>
      <c r="K17" s="118">
        <v>-79.038671292030699</v>
      </c>
      <c r="L17" s="117">
        <v>120101</v>
      </c>
      <c r="M17" s="117">
        <v>130101</v>
      </c>
    </row>
    <row r="18" spans="1:13" x14ac:dyDescent="0.25">
      <c r="A18" s="120">
        <v>17</v>
      </c>
      <c r="B18" s="120">
        <v>3</v>
      </c>
      <c r="C18" s="117" t="str">
        <f>_xlfn.XLOOKUP(B18,dimUniversidades!$A:$A,dimUniversidades!$B:$B,"(sin universidad)")</f>
        <v>Universidad Nacional de Trujillo</v>
      </c>
      <c r="D18" s="117" t="s">
        <v>579</v>
      </c>
      <c r="E18" s="115" t="b">
        <v>0</v>
      </c>
      <c r="F18" s="115" t="s">
        <v>397</v>
      </c>
      <c r="G18" s="115" t="s">
        <v>2247</v>
      </c>
      <c r="H18" s="115" t="s">
        <v>2246</v>
      </c>
      <c r="I18" s="117" t="s">
        <v>2252</v>
      </c>
      <c r="J18" s="118">
        <v>-7.23764226877051</v>
      </c>
      <c r="K18" s="118">
        <v>-79.4595767231568</v>
      </c>
      <c r="L18" s="117">
        <v>120503</v>
      </c>
      <c r="M18" s="117">
        <v>130702</v>
      </c>
    </row>
    <row r="19" spans="1:13" x14ac:dyDescent="0.25">
      <c r="A19" s="120">
        <v>18</v>
      </c>
      <c r="B19" s="120">
        <v>3</v>
      </c>
      <c r="C19" s="117" t="str">
        <f>_xlfn.XLOOKUP(B19,dimUniversidades!$A:$A,dimUniversidades!$B:$B,"(sin universidad)")</f>
        <v>Universidad Nacional de Trujillo</v>
      </c>
      <c r="D19" s="117" t="s">
        <v>1165</v>
      </c>
      <c r="E19" s="115" t="b">
        <v>0</v>
      </c>
      <c r="F19" s="115" t="s">
        <v>397</v>
      </c>
      <c r="G19" s="115" t="s">
        <v>2247</v>
      </c>
      <c r="H19" s="115" t="s">
        <v>2246</v>
      </c>
      <c r="I19" s="117" t="s">
        <v>2245</v>
      </c>
      <c r="J19" s="118">
        <v>-7.2433736764682397</v>
      </c>
      <c r="K19" s="118">
        <v>-79.469492849884801</v>
      </c>
      <c r="L19" s="117">
        <v>120503</v>
      </c>
      <c r="M19" s="117">
        <v>130702</v>
      </c>
    </row>
    <row r="20" spans="1:13" x14ac:dyDescent="0.25">
      <c r="A20" s="120">
        <v>19</v>
      </c>
      <c r="B20" s="120">
        <v>3</v>
      </c>
      <c r="C20" s="117" t="str">
        <f>_xlfn.XLOOKUP(B20,dimUniversidades!$A:$A,dimUniversidades!$B:$B,"(sin universidad)")</f>
        <v>Universidad Nacional de Trujillo</v>
      </c>
      <c r="D20" s="117" t="s">
        <v>1344</v>
      </c>
      <c r="E20" s="115" t="b">
        <v>0</v>
      </c>
      <c r="F20" s="115" t="s">
        <v>397</v>
      </c>
      <c r="G20" s="115" t="s">
        <v>2247</v>
      </c>
      <c r="H20" s="115" t="s">
        <v>2246</v>
      </c>
      <c r="I20" s="117" t="s">
        <v>2251</v>
      </c>
      <c r="J20" s="118">
        <v>-7.2452522000000004</v>
      </c>
      <c r="K20" s="118">
        <v>-79.476013300000005</v>
      </c>
      <c r="L20" s="117">
        <v>120503</v>
      </c>
      <c r="M20" s="117">
        <v>130702</v>
      </c>
    </row>
    <row r="21" spans="1:13" x14ac:dyDescent="0.25">
      <c r="A21" s="120">
        <v>20</v>
      </c>
      <c r="B21" s="120">
        <v>3</v>
      </c>
      <c r="C21" s="117" t="str">
        <f>_xlfn.XLOOKUP(B21,dimUniversidades!$A:$A,dimUniversidades!$B:$B,"(sin universidad)")</f>
        <v>Universidad Nacional de Trujillo</v>
      </c>
      <c r="D21" s="117" t="s">
        <v>2178</v>
      </c>
      <c r="E21" s="115" t="b">
        <v>0</v>
      </c>
      <c r="F21" s="115" t="s">
        <v>397</v>
      </c>
      <c r="G21" s="115" t="s">
        <v>2247</v>
      </c>
      <c r="H21" s="115" t="s">
        <v>2250</v>
      </c>
      <c r="I21" s="117" t="s">
        <v>2249</v>
      </c>
      <c r="J21" s="118">
        <v>-7.4323314914572398</v>
      </c>
      <c r="K21" s="118">
        <v>-79.505126571758296</v>
      </c>
      <c r="L21" s="117">
        <v>120501</v>
      </c>
      <c r="M21" s="117">
        <v>130701</v>
      </c>
    </row>
    <row r="22" spans="1:13" x14ac:dyDescent="0.25">
      <c r="A22" s="120">
        <v>21</v>
      </c>
      <c r="B22" s="120">
        <v>3</v>
      </c>
      <c r="C22" s="117" t="str">
        <f>_xlfn.XLOOKUP(B22,dimUniversidades!$A:$A,dimUniversidades!$B:$B,"(sin universidad)")</f>
        <v>Universidad Nacional de Trujillo</v>
      </c>
      <c r="D22" s="117" t="s">
        <v>2248</v>
      </c>
      <c r="E22" s="115" t="b">
        <v>0</v>
      </c>
      <c r="F22" s="115" t="s">
        <v>397</v>
      </c>
      <c r="G22" s="115" t="s">
        <v>2247</v>
      </c>
      <c r="H22" s="115" t="s">
        <v>2246</v>
      </c>
      <c r="I22" s="117" t="s">
        <v>2245</v>
      </c>
      <c r="J22" s="118">
        <v>-7.2433335993555401</v>
      </c>
      <c r="K22" s="118">
        <v>-79.469565233720004</v>
      </c>
      <c r="L22" s="117">
        <v>120503</v>
      </c>
      <c r="M22" s="117">
        <v>130702</v>
      </c>
    </row>
    <row r="23" spans="1:13" x14ac:dyDescent="0.25">
      <c r="A23" s="120">
        <v>22</v>
      </c>
      <c r="B23" s="120">
        <v>3</v>
      </c>
      <c r="C23" s="117" t="str">
        <f>_xlfn.XLOOKUP(B23,dimUniversidades!$A:$A,dimUniversidades!$B:$B,"(sin universidad)")</f>
        <v>Universidad Nacional de Trujillo</v>
      </c>
      <c r="D23" s="117" t="s">
        <v>1160</v>
      </c>
      <c r="E23" s="115" t="b">
        <v>0</v>
      </c>
      <c r="F23" s="115" t="s">
        <v>397</v>
      </c>
      <c r="G23" s="115" t="s">
        <v>1680</v>
      </c>
      <c r="H23" s="115" t="s">
        <v>572</v>
      </c>
      <c r="I23" s="117" t="s">
        <v>2244</v>
      </c>
      <c r="J23" s="118">
        <v>-7.8281516143926</v>
      </c>
      <c r="K23" s="118">
        <v>-78.053826383605994</v>
      </c>
      <c r="L23" s="117">
        <v>120301</v>
      </c>
      <c r="M23" s="117">
        <v>130901</v>
      </c>
    </row>
    <row r="24" spans="1:13" x14ac:dyDescent="0.25">
      <c r="A24" s="120">
        <v>23</v>
      </c>
      <c r="B24" s="120">
        <v>3</v>
      </c>
      <c r="C24" s="117" t="str">
        <f>_xlfn.XLOOKUP(B24,dimUniversidades!$A:$A,dimUniversidades!$B:$B,"(sin universidad)")</f>
        <v>Universidad Nacional de Trujillo</v>
      </c>
      <c r="D24" s="117" t="s">
        <v>1480</v>
      </c>
      <c r="E24" s="115" t="b">
        <v>0</v>
      </c>
      <c r="F24" s="115" t="s">
        <v>397</v>
      </c>
      <c r="G24" s="115" t="s">
        <v>1680</v>
      </c>
      <c r="H24" s="115" t="s">
        <v>572</v>
      </c>
      <c r="I24" s="117" t="s">
        <v>2243</v>
      </c>
      <c r="J24" s="118">
        <v>-7.8167035572865604</v>
      </c>
      <c r="K24" s="118">
        <v>-78.043738517790999</v>
      </c>
      <c r="L24" s="117">
        <v>120301</v>
      </c>
      <c r="M24" s="117">
        <v>130901</v>
      </c>
    </row>
    <row r="25" spans="1:13" x14ac:dyDescent="0.25">
      <c r="A25" s="120">
        <v>24</v>
      </c>
      <c r="B25" s="120">
        <v>3</v>
      </c>
      <c r="C25" s="117" t="str">
        <f>_xlfn.XLOOKUP(B25,dimUniversidades!$A:$A,dimUniversidades!$B:$B,"(sin universidad)")</f>
        <v>Universidad Nacional de Trujillo</v>
      </c>
      <c r="D25" s="117" t="s">
        <v>599</v>
      </c>
      <c r="E25" s="115" t="b">
        <v>0</v>
      </c>
      <c r="F25" s="115" t="s">
        <v>397</v>
      </c>
      <c r="G25" s="115" t="s">
        <v>2241</v>
      </c>
      <c r="H25" s="115" t="s">
        <v>2241</v>
      </c>
      <c r="I25" s="117" t="s">
        <v>2242</v>
      </c>
      <c r="J25" s="118">
        <v>-7.90510065376521</v>
      </c>
      <c r="K25" s="118">
        <v>-78.560599464418004</v>
      </c>
      <c r="L25" s="117">
        <v>120401</v>
      </c>
      <c r="M25" s="117">
        <v>130601</v>
      </c>
    </row>
    <row r="26" spans="1:13" x14ac:dyDescent="0.25">
      <c r="A26" s="120">
        <v>25</v>
      </c>
      <c r="B26" s="120">
        <v>3</v>
      </c>
      <c r="C26" s="117" t="str">
        <f>_xlfn.XLOOKUP(B26,dimUniversidades!$A:$A,dimUniversidades!$B:$B,"(sin universidad)")</f>
        <v>Universidad Nacional de Trujillo</v>
      </c>
      <c r="D26" s="117" t="s">
        <v>1361</v>
      </c>
      <c r="E26" s="115" t="b">
        <v>0</v>
      </c>
      <c r="F26" s="115" t="s">
        <v>397</v>
      </c>
      <c r="G26" s="115" t="s">
        <v>2241</v>
      </c>
      <c r="H26" s="115" t="s">
        <v>2241</v>
      </c>
      <c r="I26" s="117" t="s">
        <v>2240</v>
      </c>
      <c r="J26" s="118">
        <v>-7.9075076355918501</v>
      </c>
      <c r="K26" s="118">
        <v>-78.563890534879306</v>
      </c>
      <c r="L26" s="117">
        <v>120401</v>
      </c>
      <c r="M26" s="117">
        <v>130601</v>
      </c>
    </row>
    <row r="27" spans="1:13" x14ac:dyDescent="0.25">
      <c r="A27" s="120">
        <v>26</v>
      </c>
      <c r="B27" s="120">
        <v>3</v>
      </c>
      <c r="C27" s="117" t="str">
        <f>_xlfn.XLOOKUP(B27,dimUniversidades!$A:$A,dimUniversidades!$B:$B,"(sin universidad)")</f>
        <v>Universidad Nacional de Trujillo</v>
      </c>
      <c r="D27" s="117" t="s">
        <v>678</v>
      </c>
      <c r="E27" s="115" t="b">
        <v>0</v>
      </c>
      <c r="F27" s="115" t="s">
        <v>397</v>
      </c>
      <c r="G27" s="115" t="s">
        <v>2239</v>
      </c>
      <c r="H27" s="115" t="s">
        <v>2239</v>
      </c>
      <c r="I27" s="117" t="s">
        <v>2238</v>
      </c>
      <c r="J27" s="118">
        <v>-8.1454338908016606</v>
      </c>
      <c r="K27" s="118">
        <v>-78.174975452600904</v>
      </c>
      <c r="L27" s="117">
        <v>120701</v>
      </c>
      <c r="M27" s="117">
        <v>131001</v>
      </c>
    </row>
    <row r="28" spans="1:13" x14ac:dyDescent="0.25">
      <c r="A28" s="120">
        <v>27</v>
      </c>
      <c r="B28" s="120">
        <v>3</v>
      </c>
      <c r="C28" s="117" t="str">
        <f>_xlfn.XLOOKUP(B28,dimUniversidades!$A:$A,dimUniversidades!$B:$B,"(sin universidad)")</f>
        <v>Universidad Nacional de Trujillo</v>
      </c>
      <c r="D28" s="117" t="s">
        <v>1707</v>
      </c>
      <c r="E28" s="115" t="b">
        <v>0</v>
      </c>
      <c r="F28" s="115" t="s">
        <v>397</v>
      </c>
      <c r="G28" s="115" t="s">
        <v>2239</v>
      </c>
      <c r="H28" s="115" t="s">
        <v>2239</v>
      </c>
      <c r="I28" s="117" t="s">
        <v>2238</v>
      </c>
      <c r="J28" s="118">
        <v>-8.1468968757010192</v>
      </c>
      <c r="K28" s="118">
        <v>-78.172118900000001</v>
      </c>
      <c r="L28" s="117">
        <v>120701</v>
      </c>
      <c r="M28" s="117">
        <v>131001</v>
      </c>
    </row>
    <row r="29" spans="1:13" x14ac:dyDescent="0.25">
      <c r="A29" s="120">
        <v>28</v>
      </c>
      <c r="B29" s="120">
        <v>3</v>
      </c>
      <c r="C29" s="117" t="str">
        <f>_xlfn.XLOOKUP(B29,dimUniversidades!$A:$A,dimUniversidades!$B:$B,"(sin universidad)")</f>
        <v>Universidad Nacional de Trujillo</v>
      </c>
      <c r="D29" s="117" t="s">
        <v>392</v>
      </c>
      <c r="E29" s="115" t="b">
        <v>0</v>
      </c>
      <c r="F29" s="115" t="s">
        <v>397</v>
      </c>
      <c r="G29" s="115" t="s">
        <v>2237</v>
      </c>
      <c r="H29" s="115" t="s">
        <v>2236</v>
      </c>
      <c r="I29" s="117" t="s">
        <v>2235</v>
      </c>
      <c r="J29" s="118">
        <v>-8.4215211733553907</v>
      </c>
      <c r="K29" s="118">
        <v>-78.775990023461901</v>
      </c>
      <c r="L29" s="117">
        <v>121201</v>
      </c>
      <c r="M29" s="117">
        <v>131201</v>
      </c>
    </row>
    <row r="30" spans="1:13" x14ac:dyDescent="0.25">
      <c r="A30" s="120">
        <v>29</v>
      </c>
      <c r="B30" s="120">
        <v>3</v>
      </c>
      <c r="C30" s="117" t="str">
        <f>_xlfn.XLOOKUP(B30,dimUniversidades!$A:$A,dimUniversidades!$B:$B,"(sin universidad)")</f>
        <v>Universidad Nacional de Trujillo</v>
      </c>
      <c r="D30" s="117" t="s">
        <v>1153</v>
      </c>
      <c r="E30" s="115" t="b">
        <v>0</v>
      </c>
      <c r="F30" s="115" t="s">
        <v>420</v>
      </c>
      <c r="G30" s="115" t="s">
        <v>420</v>
      </c>
      <c r="H30" s="115" t="s">
        <v>420</v>
      </c>
      <c r="I30" s="117" t="s">
        <v>2234</v>
      </c>
      <c r="J30" s="118">
        <v>-7.1656505852194297</v>
      </c>
      <c r="K30" s="118">
        <v>-78.494168287227595</v>
      </c>
      <c r="L30" s="117">
        <v>60101</v>
      </c>
      <c r="M30" s="117">
        <v>60101</v>
      </c>
    </row>
    <row r="31" spans="1:13" x14ac:dyDescent="0.25">
      <c r="A31" s="120">
        <v>30</v>
      </c>
      <c r="B31" s="120">
        <v>3</v>
      </c>
      <c r="C31" s="117" t="str">
        <f>_xlfn.XLOOKUP(B31,dimUniversidades!$A:$A,dimUniversidades!$B:$B,"(sin universidad)")</f>
        <v>Universidad Nacional de Trujillo</v>
      </c>
      <c r="D31" s="117" t="s">
        <v>1148</v>
      </c>
      <c r="E31" s="115" t="b">
        <v>0</v>
      </c>
      <c r="F31" s="115" t="s">
        <v>589</v>
      </c>
      <c r="G31" s="115" t="s">
        <v>1222</v>
      </c>
      <c r="H31" s="115" t="s">
        <v>1222</v>
      </c>
      <c r="I31" s="117" t="s">
        <v>2233</v>
      </c>
      <c r="J31" s="118">
        <v>-6.7750831710543897</v>
      </c>
      <c r="K31" s="118">
        <v>-79.844378540032594</v>
      </c>
      <c r="L31" s="117">
        <v>130101</v>
      </c>
      <c r="M31" s="117">
        <v>140101</v>
      </c>
    </row>
    <row r="32" spans="1:13" x14ac:dyDescent="0.25">
      <c r="A32" s="120">
        <v>31</v>
      </c>
      <c r="B32" s="120">
        <v>3</v>
      </c>
      <c r="C32" s="117" t="str">
        <f>_xlfn.XLOOKUP(B32,dimUniversidades!$A:$A,dimUniversidades!$B:$B,"(sin universidad)")</f>
        <v>Universidad Nacional de Trujillo</v>
      </c>
      <c r="D32" s="117" t="s">
        <v>1145</v>
      </c>
      <c r="E32" s="115" t="b">
        <v>0</v>
      </c>
      <c r="F32" s="115" t="s">
        <v>1307</v>
      </c>
      <c r="G32" s="115" t="s">
        <v>1408</v>
      </c>
      <c r="H32" s="115" t="s">
        <v>1408</v>
      </c>
      <c r="I32" s="117" t="s">
        <v>2232</v>
      </c>
      <c r="J32" s="118">
        <v>-6.2304509000000001</v>
      </c>
      <c r="K32" s="118">
        <v>-77.866594800000001</v>
      </c>
      <c r="L32" s="117">
        <v>10101</v>
      </c>
      <c r="M32" s="117">
        <v>10101</v>
      </c>
    </row>
    <row r="33" spans="1:13" x14ac:dyDescent="0.25">
      <c r="A33" s="120">
        <v>32</v>
      </c>
      <c r="B33" s="120">
        <v>3</v>
      </c>
      <c r="C33" s="117" t="str">
        <f>_xlfn.XLOOKUP(B33,dimUniversidades!$A:$A,dimUniversidades!$B:$B,"(sin universidad)")</f>
        <v>Universidad Nacional de Trujillo</v>
      </c>
      <c r="D33" s="117" t="s">
        <v>1143</v>
      </c>
      <c r="E33" s="115" t="b">
        <v>0</v>
      </c>
      <c r="F33" s="115" t="s">
        <v>374</v>
      </c>
      <c r="G33" s="115" t="s">
        <v>374</v>
      </c>
      <c r="H33" s="115" t="s">
        <v>374</v>
      </c>
      <c r="I33" s="117" t="s">
        <v>2231</v>
      </c>
      <c r="J33" s="118">
        <v>-13.5271595154269</v>
      </c>
      <c r="K33" s="118">
        <v>-71.966216713912601</v>
      </c>
      <c r="L33" s="117">
        <v>70101</v>
      </c>
      <c r="M33" s="117">
        <v>80101</v>
      </c>
    </row>
    <row r="34" spans="1:13" x14ac:dyDescent="0.25">
      <c r="A34" s="120">
        <v>33</v>
      </c>
      <c r="B34" s="120">
        <v>3</v>
      </c>
      <c r="C34" s="117" t="str">
        <f>_xlfn.XLOOKUP(B34,dimUniversidades!$A:$A,dimUniversidades!$B:$B,"(sin universidad)")</f>
        <v>Universidad Nacional de Trujillo</v>
      </c>
      <c r="D34" s="117" t="s">
        <v>1139</v>
      </c>
      <c r="E34" s="115" t="b">
        <v>0</v>
      </c>
      <c r="F34" s="115" t="s">
        <v>397</v>
      </c>
      <c r="G34" s="115" t="s">
        <v>2228</v>
      </c>
      <c r="H34" s="115" t="s">
        <v>2230</v>
      </c>
      <c r="I34" s="117" t="s">
        <v>2229</v>
      </c>
      <c r="J34" s="118">
        <v>-7.7915317044196701</v>
      </c>
      <c r="K34" s="118">
        <v>-79.220223079831698</v>
      </c>
      <c r="L34" s="117">
        <v>120803</v>
      </c>
      <c r="M34" s="117">
        <v>130203</v>
      </c>
    </row>
    <row r="35" spans="1:13" x14ac:dyDescent="0.25">
      <c r="A35" s="120">
        <v>34</v>
      </c>
      <c r="B35" s="120">
        <v>3</v>
      </c>
      <c r="C35" s="117" t="str">
        <f>_xlfn.XLOOKUP(B35,dimUniversidades!$A:$A,dimUniversidades!$B:$B,"(sin universidad)")</f>
        <v>Universidad Nacional de Trujillo</v>
      </c>
      <c r="D35" s="117" t="s">
        <v>1137</v>
      </c>
      <c r="E35" s="115" t="b">
        <v>0</v>
      </c>
      <c r="F35" s="115" t="s">
        <v>397</v>
      </c>
      <c r="G35" s="115" t="s">
        <v>2228</v>
      </c>
      <c r="H35" s="115" t="s">
        <v>2227</v>
      </c>
      <c r="I35" s="117" t="s">
        <v>2226</v>
      </c>
      <c r="J35" s="118">
        <v>-7.7467821463788198</v>
      </c>
      <c r="K35" s="118">
        <v>-79.189589917790997</v>
      </c>
      <c r="L35" s="117">
        <v>120808</v>
      </c>
      <c r="M35" s="117">
        <v>130208</v>
      </c>
    </row>
    <row r="36" spans="1:13" x14ac:dyDescent="0.25">
      <c r="A36" s="120">
        <v>35</v>
      </c>
      <c r="B36" s="120">
        <v>3</v>
      </c>
      <c r="C36" s="117" t="str">
        <f>_xlfn.XLOOKUP(B36,dimUniversidades!$A:$A,dimUniversidades!$B:$B,"(sin universidad)")</f>
        <v>Universidad Nacional de Trujillo</v>
      </c>
      <c r="D36" s="117" t="s">
        <v>1353</v>
      </c>
      <c r="E36" s="115" t="b">
        <v>0</v>
      </c>
      <c r="F36" s="115" t="s">
        <v>622</v>
      </c>
      <c r="G36" s="115" t="s">
        <v>622</v>
      </c>
      <c r="H36" s="115" t="s">
        <v>622</v>
      </c>
      <c r="I36" s="117" t="s">
        <v>2225</v>
      </c>
      <c r="J36" s="118">
        <v>-5.1946176137400002</v>
      </c>
      <c r="K36" s="118">
        <v>-80.625056671336395</v>
      </c>
      <c r="L36" s="117">
        <v>190101</v>
      </c>
      <c r="M36" s="117">
        <v>200101</v>
      </c>
    </row>
    <row r="37" spans="1:13" x14ac:dyDescent="0.25">
      <c r="A37" s="120">
        <v>36</v>
      </c>
      <c r="B37" s="120">
        <v>3</v>
      </c>
      <c r="C37" s="117" t="str">
        <f>_xlfn.XLOOKUP(B37,dimUniversidades!$A:$A,dimUniversidades!$B:$B,"(sin universidad)")</f>
        <v>Universidad Nacional de Trujillo</v>
      </c>
      <c r="D37" s="117" t="s">
        <v>1955</v>
      </c>
      <c r="E37" s="115" t="b">
        <v>0</v>
      </c>
      <c r="F37" s="115" t="s">
        <v>1318</v>
      </c>
      <c r="G37" s="115" t="s">
        <v>1318</v>
      </c>
      <c r="H37" s="115" t="s">
        <v>1329</v>
      </c>
      <c r="I37" s="117" t="s">
        <v>2224</v>
      </c>
      <c r="J37" s="118">
        <v>-6.4884686</v>
      </c>
      <c r="K37" s="118">
        <v>-76.358654400000006</v>
      </c>
      <c r="L37" s="117">
        <v>210601</v>
      </c>
      <c r="M37" s="117">
        <v>220901</v>
      </c>
    </row>
    <row r="38" spans="1:13" x14ac:dyDescent="0.25">
      <c r="A38" s="120">
        <v>37</v>
      </c>
      <c r="B38" s="120">
        <v>3</v>
      </c>
      <c r="C38" s="117" t="str">
        <f>_xlfn.XLOOKUP(B38,dimUniversidades!$A:$A,dimUniversidades!$B:$B,"(sin universidad)")</f>
        <v>Universidad Nacional de Trujillo</v>
      </c>
      <c r="D38" s="117" t="s">
        <v>1950</v>
      </c>
      <c r="E38" s="115" t="b">
        <v>0</v>
      </c>
      <c r="F38" s="115" t="s">
        <v>1318</v>
      </c>
      <c r="G38" s="115" t="s">
        <v>1327</v>
      </c>
      <c r="H38" s="115" t="s">
        <v>1327</v>
      </c>
      <c r="I38" s="117" t="s">
        <v>2223</v>
      </c>
      <c r="J38" s="118">
        <v>-6.0317838000000004</v>
      </c>
      <c r="K38" s="118">
        <v>-76.961955099999997</v>
      </c>
      <c r="L38" s="117">
        <v>210101</v>
      </c>
      <c r="M38" s="117">
        <v>220101</v>
      </c>
    </row>
    <row r="39" spans="1:13" x14ac:dyDescent="0.25">
      <c r="A39" s="120">
        <v>38</v>
      </c>
      <c r="B39" s="120">
        <v>3</v>
      </c>
      <c r="C39" s="117" t="str">
        <f>_xlfn.XLOOKUP(B39,dimUniversidades!$A:$A,dimUniversidades!$B:$B,"(sin universidad)")</f>
        <v>Universidad Nacional de Trujillo</v>
      </c>
      <c r="D39" s="117" t="s">
        <v>2222</v>
      </c>
      <c r="E39" s="115" t="b">
        <v>0</v>
      </c>
      <c r="F39" s="115" t="s">
        <v>397</v>
      </c>
      <c r="G39" s="115" t="s">
        <v>2221</v>
      </c>
      <c r="H39" s="115" t="s">
        <v>2220</v>
      </c>
      <c r="I39" s="117" t="s">
        <v>2219</v>
      </c>
      <c r="J39" s="118">
        <v>-7.4781142148141102</v>
      </c>
      <c r="K39" s="118">
        <v>-78.820417305834894</v>
      </c>
      <c r="L39" s="117">
        <v>121101</v>
      </c>
      <c r="M39" s="117">
        <v>131101</v>
      </c>
    </row>
    <row r="40" spans="1:13" x14ac:dyDescent="0.25">
      <c r="A40" s="120">
        <v>39</v>
      </c>
      <c r="B40" s="120">
        <v>3</v>
      </c>
      <c r="C40" s="117" t="str">
        <f>_xlfn.XLOOKUP(B40,dimUniversidades!$A:$A,dimUniversidades!$B:$B,"(sin universidad)")</f>
        <v>Universidad Nacional de Trujillo</v>
      </c>
      <c r="D40" s="117" t="s">
        <v>2218</v>
      </c>
      <c r="E40" s="115" t="b">
        <v>0</v>
      </c>
      <c r="F40" s="115" t="s">
        <v>1312</v>
      </c>
      <c r="G40" s="115" t="s">
        <v>1400</v>
      </c>
      <c r="H40" s="115" t="s">
        <v>1470</v>
      </c>
      <c r="I40" s="117" t="s">
        <v>2217</v>
      </c>
      <c r="J40" s="118">
        <v>-3.7436734999999999</v>
      </c>
      <c r="K40" s="118">
        <v>-73.251632599999994</v>
      </c>
      <c r="L40" s="117">
        <v>150101</v>
      </c>
      <c r="M40" s="117">
        <v>160101</v>
      </c>
    </row>
    <row r="41" spans="1:13" x14ac:dyDescent="0.25">
      <c r="A41" s="120">
        <v>40</v>
      </c>
      <c r="B41" s="120">
        <v>3</v>
      </c>
      <c r="C41" s="117" t="str">
        <f>_xlfn.XLOOKUP(B41,dimUniversidades!$A:$A,dimUniversidades!$B:$B,"(sin universidad)")</f>
        <v>Universidad Nacional de Trujillo</v>
      </c>
      <c r="D41" s="117" t="s">
        <v>2216</v>
      </c>
      <c r="E41" s="115" t="b">
        <v>0</v>
      </c>
      <c r="F41" s="115" t="s">
        <v>385</v>
      </c>
      <c r="G41" s="115" t="s">
        <v>385</v>
      </c>
      <c r="H41" s="115" t="s">
        <v>385</v>
      </c>
      <c r="I41" s="117" t="s">
        <v>2215</v>
      </c>
      <c r="J41" s="118">
        <v>-12.0742361914865</v>
      </c>
      <c r="K41" s="118">
        <v>-77.037267499999999</v>
      </c>
      <c r="L41" s="117">
        <v>140101</v>
      </c>
      <c r="M41" s="117">
        <v>150101</v>
      </c>
    </row>
    <row r="42" spans="1:13" x14ac:dyDescent="0.25">
      <c r="A42" s="120">
        <v>41</v>
      </c>
      <c r="B42" s="120">
        <v>3</v>
      </c>
      <c r="C42" s="117" t="str">
        <f>_xlfn.XLOOKUP(B42,dimUniversidades!$A:$A,dimUniversidades!$B:$B,"(sin universidad)")</f>
        <v>Universidad Nacional de Trujillo</v>
      </c>
      <c r="D42" s="117" t="s">
        <v>2214</v>
      </c>
      <c r="E42" s="115" t="b">
        <v>0</v>
      </c>
      <c r="F42" s="115" t="s">
        <v>606</v>
      </c>
      <c r="G42" s="115" t="s">
        <v>606</v>
      </c>
      <c r="H42" s="115" t="s">
        <v>606</v>
      </c>
      <c r="I42" s="117" t="s">
        <v>326</v>
      </c>
      <c r="J42" s="118">
        <v>-3.5564920999999998</v>
      </c>
      <c r="K42" s="118">
        <v>-80.427088499999996</v>
      </c>
      <c r="L42" s="117">
        <v>230101</v>
      </c>
      <c r="M42" s="117">
        <v>240101</v>
      </c>
    </row>
    <row r="43" spans="1:13" x14ac:dyDescent="0.25">
      <c r="A43" s="120">
        <v>42</v>
      </c>
      <c r="B43" s="120">
        <v>3</v>
      </c>
      <c r="C43" s="117" t="str">
        <f>_xlfn.XLOOKUP(B43,dimUniversidades!$A:$A,dimUniversidades!$B:$B,"(sin universidad)")</f>
        <v>Universidad Nacional de Trujillo</v>
      </c>
      <c r="D43" s="117" t="s">
        <v>2213</v>
      </c>
      <c r="E43" s="115" t="b">
        <v>0</v>
      </c>
      <c r="F43" s="115" t="s">
        <v>420</v>
      </c>
      <c r="G43" s="115" t="s">
        <v>676</v>
      </c>
      <c r="H43" s="115" t="s">
        <v>676</v>
      </c>
      <c r="I43" s="117" t="s">
        <v>2212</v>
      </c>
      <c r="J43" s="118">
        <v>-6.5579437473876503</v>
      </c>
      <c r="K43" s="118">
        <v>-78.638827579098503</v>
      </c>
      <c r="L43" s="117">
        <v>60601</v>
      </c>
      <c r="M43" s="117">
        <v>60401</v>
      </c>
    </row>
    <row r="44" spans="1:13" x14ac:dyDescent="0.25">
      <c r="A44" s="120">
        <v>43</v>
      </c>
      <c r="B44" s="120">
        <v>3</v>
      </c>
      <c r="C44" s="117" t="str">
        <f>_xlfn.XLOOKUP(B44,dimUniversidades!$A:$A,dimUniversidades!$B:$B,"(sin universidad)")</f>
        <v>Universidad Nacional de Trujillo</v>
      </c>
      <c r="D44" s="117" t="s">
        <v>2211</v>
      </c>
      <c r="E44" s="115" t="b">
        <v>0</v>
      </c>
      <c r="F44" s="115" t="s">
        <v>1152</v>
      </c>
      <c r="G44" s="115" t="s">
        <v>1151</v>
      </c>
      <c r="H44" s="115" t="s">
        <v>1586</v>
      </c>
      <c r="I44" s="117" t="s">
        <v>2210</v>
      </c>
      <c r="J44" s="118">
        <v>-8.3792389353450698</v>
      </c>
      <c r="K44" s="118">
        <v>-74.557257620562794</v>
      </c>
      <c r="L44" s="117">
        <v>250102</v>
      </c>
      <c r="M44" s="117">
        <v>250105</v>
      </c>
    </row>
    <row r="45" spans="1:13" x14ac:dyDescent="0.25">
      <c r="A45" s="120">
        <v>44</v>
      </c>
      <c r="B45" s="120">
        <v>3</v>
      </c>
      <c r="C45" s="117" t="str">
        <f>_xlfn.XLOOKUP(B45,dimUniversidades!$A:$A,dimUniversidades!$B:$B,"(sin universidad)")</f>
        <v>Universidad Nacional de Trujillo</v>
      </c>
      <c r="D45" s="117" t="s">
        <v>1135</v>
      </c>
      <c r="E45" s="115" t="b">
        <v>0</v>
      </c>
      <c r="F45" s="115" t="s">
        <v>397</v>
      </c>
      <c r="G45" s="115" t="s">
        <v>2209</v>
      </c>
      <c r="H45" s="115" t="s">
        <v>2208</v>
      </c>
      <c r="I45" s="117" t="s">
        <v>2207</v>
      </c>
      <c r="J45" s="118">
        <v>-8.0461127000000001</v>
      </c>
      <c r="K45" s="118">
        <v>-78.489780999999994</v>
      </c>
      <c r="L45" s="117">
        <v>121001</v>
      </c>
      <c r="M45" s="117">
        <v>130501</v>
      </c>
    </row>
    <row r="46" spans="1:13" x14ac:dyDescent="0.25">
      <c r="A46" s="120">
        <v>45</v>
      </c>
      <c r="B46" s="120">
        <v>4</v>
      </c>
      <c r="C46" s="117" t="str">
        <f>_xlfn.XLOOKUP(B46,dimUniversidades!$A:$A,dimUniversidades!$B:$B,"(sin universidad)")</f>
        <v>Universidad Nacional del Altiplano</v>
      </c>
      <c r="D46" s="117" t="s">
        <v>324</v>
      </c>
      <c r="E46" s="115" t="b">
        <v>1</v>
      </c>
      <c r="F46" s="115" t="s">
        <v>322</v>
      </c>
      <c r="G46" s="115" t="s">
        <v>322</v>
      </c>
      <c r="H46" s="115" t="s">
        <v>322</v>
      </c>
      <c r="I46" s="117" t="s">
        <v>323</v>
      </c>
      <c r="J46" s="118">
        <v>-15.8243805</v>
      </c>
      <c r="K46" s="118">
        <v>-70.016254399999994</v>
      </c>
      <c r="L46" s="117">
        <v>200101</v>
      </c>
      <c r="M46" s="117">
        <v>210101</v>
      </c>
    </row>
    <row r="47" spans="1:13" x14ac:dyDescent="0.25">
      <c r="A47" s="120">
        <v>46</v>
      </c>
      <c r="B47" s="120">
        <v>4</v>
      </c>
      <c r="C47" s="117" t="str">
        <f>_xlfn.XLOOKUP(B47,dimUniversidades!$A:$A,dimUniversidades!$B:$B,"(sin universidad)")</f>
        <v>Universidad Nacional del Altiplano</v>
      </c>
      <c r="D47" s="117" t="s">
        <v>399</v>
      </c>
      <c r="E47" s="115" t="b">
        <v>0</v>
      </c>
      <c r="F47" s="115" t="s">
        <v>322</v>
      </c>
      <c r="G47" s="115" t="s">
        <v>322</v>
      </c>
      <c r="H47" s="115" t="s">
        <v>2206</v>
      </c>
      <c r="I47" s="117" t="s">
        <v>2205</v>
      </c>
      <c r="J47" s="118">
        <v>-15.9504521630948</v>
      </c>
      <c r="K47" s="118">
        <v>-69.831415913491796</v>
      </c>
      <c r="L47" s="117">
        <v>200114</v>
      </c>
      <c r="M47" s="117">
        <v>210112</v>
      </c>
    </row>
    <row r="48" spans="1:13" x14ac:dyDescent="0.25">
      <c r="A48" s="120">
        <v>47</v>
      </c>
      <c r="B48" s="120">
        <v>4</v>
      </c>
      <c r="C48" s="117" t="str">
        <f>_xlfn.XLOOKUP(B48,dimUniversidades!$A:$A,dimUniversidades!$B:$B,"(sin universidad)")</f>
        <v>Universidad Nacional del Altiplano</v>
      </c>
      <c r="D48" s="117" t="s">
        <v>735</v>
      </c>
      <c r="E48" s="115" t="b">
        <v>0</v>
      </c>
      <c r="F48" s="115" t="s">
        <v>322</v>
      </c>
      <c r="G48" s="115" t="s">
        <v>322</v>
      </c>
      <c r="H48" s="115" t="s">
        <v>2204</v>
      </c>
      <c r="I48" s="117" t="s">
        <v>2203</v>
      </c>
      <c r="J48" s="118">
        <v>-15.892485158748</v>
      </c>
      <c r="K48" s="118">
        <v>-69.888753240228297</v>
      </c>
      <c r="L48" s="117">
        <v>200106</v>
      </c>
      <c r="M48" s="117">
        <v>210106</v>
      </c>
    </row>
    <row r="49" spans="1:13" x14ac:dyDescent="0.25">
      <c r="A49" s="120">
        <v>48</v>
      </c>
      <c r="B49" s="120">
        <v>4</v>
      </c>
      <c r="C49" s="117" t="str">
        <f>_xlfn.XLOOKUP(B49,dimUniversidades!$A:$A,dimUniversidades!$B:$B,"(sin universidad)")</f>
        <v>Universidad Nacional del Altiplano</v>
      </c>
      <c r="D49" s="117" t="s">
        <v>500</v>
      </c>
      <c r="E49" s="115" t="b">
        <v>0</v>
      </c>
      <c r="F49" s="115" t="s">
        <v>322</v>
      </c>
      <c r="G49" s="115" t="s">
        <v>322</v>
      </c>
      <c r="H49" s="115" t="s">
        <v>322</v>
      </c>
      <c r="I49" s="117" t="s">
        <v>2202</v>
      </c>
      <c r="J49" s="118">
        <v>-15.840158199999999</v>
      </c>
      <c r="K49" s="118">
        <v>-70.029112499999997</v>
      </c>
      <c r="L49" s="117">
        <v>200101</v>
      </c>
      <c r="M49" s="117">
        <v>210101</v>
      </c>
    </row>
    <row r="50" spans="1:13" x14ac:dyDescent="0.25">
      <c r="A50" s="120">
        <v>49</v>
      </c>
      <c r="B50" s="120">
        <v>4</v>
      </c>
      <c r="C50" s="117" t="str">
        <f>_xlfn.XLOOKUP(B50,dimUniversidades!$A:$A,dimUniversidades!$B:$B,"(sin universidad)")</f>
        <v>Universidad Nacional del Altiplano</v>
      </c>
      <c r="D50" s="117" t="s">
        <v>579</v>
      </c>
      <c r="E50" s="115" t="b">
        <v>0</v>
      </c>
      <c r="F50" s="115" t="s">
        <v>322</v>
      </c>
      <c r="G50" s="115" t="s">
        <v>1338</v>
      </c>
      <c r="H50" s="115" t="s">
        <v>2201</v>
      </c>
      <c r="I50" s="117" t="s">
        <v>2200</v>
      </c>
      <c r="J50" s="118">
        <v>-15.8246926065266</v>
      </c>
      <c r="K50" s="118">
        <v>-70.016711343872103</v>
      </c>
      <c r="L50" s="117">
        <v>200709</v>
      </c>
      <c r="M50" s="117">
        <v>210809</v>
      </c>
    </row>
    <row r="51" spans="1:13" x14ac:dyDescent="0.25">
      <c r="A51" s="120">
        <v>50</v>
      </c>
      <c r="B51" s="120">
        <v>4</v>
      </c>
      <c r="C51" s="117" t="str">
        <f>_xlfn.XLOOKUP(B51,dimUniversidades!$A:$A,dimUniversidades!$B:$B,"(sin universidad)")</f>
        <v>Universidad Nacional del Altiplano</v>
      </c>
      <c r="D51" s="117" t="s">
        <v>1165</v>
      </c>
      <c r="E51" s="115" t="b">
        <v>0</v>
      </c>
      <c r="F51" s="115" t="s">
        <v>322</v>
      </c>
      <c r="G51" s="115" t="s">
        <v>1338</v>
      </c>
      <c r="H51" s="115" t="s">
        <v>2199</v>
      </c>
      <c r="I51" s="117" t="s">
        <v>2198</v>
      </c>
      <c r="J51" s="118">
        <v>-14.608508003565101</v>
      </c>
      <c r="K51" s="118">
        <v>-70.788976015621998</v>
      </c>
      <c r="L51" s="117">
        <v>200708</v>
      </c>
      <c r="M51" s="117">
        <v>210808</v>
      </c>
    </row>
    <row r="52" spans="1:13" x14ac:dyDescent="0.25">
      <c r="A52" s="120">
        <v>51</v>
      </c>
      <c r="B52" s="120">
        <v>5</v>
      </c>
      <c r="C52" s="117" t="str">
        <f>_xlfn.XLOOKUP(B52,dimUniversidades!$A:$A,dimUniversidades!$B:$B,"(sin universidad)")</f>
        <v>Universidad Ricardo Palma</v>
      </c>
      <c r="D52" s="117" t="s">
        <v>2197</v>
      </c>
      <c r="E52" s="115" t="b">
        <v>1</v>
      </c>
      <c r="F52" s="115" t="s">
        <v>385</v>
      </c>
      <c r="G52" s="115" t="s">
        <v>385</v>
      </c>
      <c r="H52" s="115" t="s">
        <v>542</v>
      </c>
      <c r="I52" s="117" t="s">
        <v>2196</v>
      </c>
      <c r="J52" s="118">
        <v>-12.1313764067937</v>
      </c>
      <c r="K52" s="118">
        <v>-76.9795229183853</v>
      </c>
      <c r="L52" s="117">
        <v>140130</v>
      </c>
      <c r="M52" s="117">
        <v>150140</v>
      </c>
    </row>
    <row r="53" spans="1:13" x14ac:dyDescent="0.25">
      <c r="A53" s="120">
        <v>52</v>
      </c>
      <c r="B53" s="120">
        <v>5</v>
      </c>
      <c r="C53" s="117" t="str">
        <f>_xlfn.XLOOKUP(B53,dimUniversidades!$A:$A,dimUniversidades!$B:$B,"(sin universidad)")</f>
        <v>Universidad Ricardo Palma</v>
      </c>
      <c r="D53" s="117" t="s">
        <v>2195</v>
      </c>
      <c r="E53" s="115" t="b">
        <v>0</v>
      </c>
      <c r="F53" s="115" t="s">
        <v>385</v>
      </c>
      <c r="G53" s="115" t="s">
        <v>385</v>
      </c>
      <c r="H53" s="115" t="s">
        <v>664</v>
      </c>
      <c r="I53" s="117" t="s">
        <v>2194</v>
      </c>
      <c r="J53" s="118">
        <v>-12.117647773536101</v>
      </c>
      <c r="K53" s="118">
        <v>-77.029399699999999</v>
      </c>
      <c r="L53" s="117">
        <v>140115</v>
      </c>
      <c r="M53" s="117">
        <v>150122</v>
      </c>
    </row>
    <row r="54" spans="1:13" x14ac:dyDescent="0.25">
      <c r="A54" s="120">
        <v>53</v>
      </c>
      <c r="B54" s="120">
        <v>5</v>
      </c>
      <c r="C54" s="117" t="str">
        <f>_xlfn.XLOOKUP(B54,dimUniversidades!$A:$A,dimUniversidades!$B:$B,"(sin universidad)")</f>
        <v>Universidad Ricardo Palma</v>
      </c>
      <c r="D54" s="117" t="s">
        <v>2193</v>
      </c>
      <c r="E54" s="115" t="b">
        <v>0</v>
      </c>
      <c r="F54" s="115" t="s">
        <v>385</v>
      </c>
      <c r="G54" s="115" t="s">
        <v>385</v>
      </c>
      <c r="H54" s="115" t="s">
        <v>1896</v>
      </c>
      <c r="I54" s="117" t="s">
        <v>2192</v>
      </c>
      <c r="J54" s="118">
        <v>-12.1610307867972</v>
      </c>
      <c r="K54" s="118">
        <v>-76.982363447607398</v>
      </c>
      <c r="L54" s="117">
        <v>140136</v>
      </c>
      <c r="M54" s="117">
        <v>150133</v>
      </c>
    </row>
    <row r="55" spans="1:13" x14ac:dyDescent="0.25">
      <c r="A55" s="120">
        <v>54</v>
      </c>
      <c r="B55" s="120">
        <v>6</v>
      </c>
      <c r="C55" s="117" t="str">
        <f>_xlfn.XLOOKUP(B55,dimUniversidades!$A:$A,dimUniversidades!$B:$B,"(sin universidad)")</f>
        <v>Universidad de Piura</v>
      </c>
      <c r="D55" s="117" t="s">
        <v>324</v>
      </c>
      <c r="E55" s="115" t="b">
        <v>1</v>
      </c>
      <c r="F55" s="115" t="s">
        <v>622</v>
      </c>
      <c r="G55" s="115" t="s">
        <v>622</v>
      </c>
      <c r="H55" s="115" t="s">
        <v>622</v>
      </c>
      <c r="I55" s="117" t="s">
        <v>2191</v>
      </c>
      <c r="J55" s="118">
        <v>-5.1766923</v>
      </c>
      <c r="K55" s="118">
        <v>-80.634643400000002</v>
      </c>
      <c r="L55" s="117">
        <v>190101</v>
      </c>
      <c r="M55" s="117">
        <v>200101</v>
      </c>
    </row>
    <row r="56" spans="1:13" x14ac:dyDescent="0.25">
      <c r="A56" s="120">
        <v>55</v>
      </c>
      <c r="B56" s="120">
        <v>6</v>
      </c>
      <c r="C56" s="117" t="str">
        <f>_xlfn.XLOOKUP(B56,dimUniversidades!$A:$A,dimUniversidades!$B:$B,"(sin universidad)")</f>
        <v>Universidad de Piura</v>
      </c>
      <c r="D56" s="117" t="s">
        <v>399</v>
      </c>
      <c r="E56" s="115" t="b">
        <v>0</v>
      </c>
      <c r="F56" s="115" t="s">
        <v>589</v>
      </c>
      <c r="G56" s="115" t="s">
        <v>1222</v>
      </c>
      <c r="H56" s="115" t="s">
        <v>1222</v>
      </c>
      <c r="I56" s="117" t="s">
        <v>2190</v>
      </c>
      <c r="J56" s="118">
        <v>-6.7561418</v>
      </c>
      <c r="K56" s="118">
        <v>-79.830284599999999</v>
      </c>
      <c r="L56" s="117">
        <v>130101</v>
      </c>
      <c r="M56" s="117">
        <v>140101</v>
      </c>
    </row>
    <row r="57" spans="1:13" x14ac:dyDescent="0.25">
      <c r="A57" s="120">
        <v>56</v>
      </c>
      <c r="B57" s="120">
        <v>6</v>
      </c>
      <c r="C57" s="117" t="str">
        <f>_xlfn.XLOOKUP(B57,dimUniversidades!$A:$A,dimUniversidades!$B:$B,"(sin universidad)")</f>
        <v>Universidad de Piura</v>
      </c>
      <c r="D57" s="117" t="s">
        <v>735</v>
      </c>
      <c r="E57" s="115" t="b">
        <v>0</v>
      </c>
      <c r="F57" s="115" t="s">
        <v>397</v>
      </c>
      <c r="G57" s="115" t="s">
        <v>396</v>
      </c>
      <c r="H57" s="115" t="s">
        <v>1887</v>
      </c>
      <c r="I57" s="117" t="s">
        <v>2189</v>
      </c>
      <c r="J57" s="118">
        <v>-8.1408456344592199</v>
      </c>
      <c r="K57" s="118">
        <v>-79.030194110416005</v>
      </c>
      <c r="L57" s="117">
        <v>120107</v>
      </c>
      <c r="M57" s="117">
        <v>130111</v>
      </c>
    </row>
    <row r="58" spans="1:13" x14ac:dyDescent="0.25">
      <c r="A58" s="120">
        <v>57</v>
      </c>
      <c r="B58" s="120">
        <v>6</v>
      </c>
      <c r="C58" s="117" t="str">
        <f>_xlfn.XLOOKUP(B58,dimUniversidades!$A:$A,dimUniversidades!$B:$B,"(sin universidad)")</f>
        <v>Universidad de Piura</v>
      </c>
      <c r="D58" s="117" t="s">
        <v>579</v>
      </c>
      <c r="E58" s="115" t="b">
        <v>0</v>
      </c>
      <c r="F58" s="115" t="s">
        <v>385</v>
      </c>
      <c r="G58" s="115" t="s">
        <v>385</v>
      </c>
      <c r="H58" s="115" t="s">
        <v>664</v>
      </c>
      <c r="I58" s="117" t="s">
        <v>2188</v>
      </c>
      <c r="J58" s="118">
        <v>-12.120223621553</v>
      </c>
      <c r="K58" s="118">
        <v>-77.031122158405296</v>
      </c>
      <c r="L58" s="117">
        <v>140115</v>
      </c>
      <c r="M58" s="117">
        <v>150122</v>
      </c>
    </row>
    <row r="59" spans="1:13" x14ac:dyDescent="0.25">
      <c r="A59" s="120">
        <v>58</v>
      </c>
      <c r="B59" s="120">
        <v>6</v>
      </c>
      <c r="C59" s="117" t="str">
        <f>_xlfn.XLOOKUP(B59,dimUniversidades!$A:$A,dimUniversidades!$B:$B,"(sin universidad)")</f>
        <v>Universidad de Piura</v>
      </c>
      <c r="D59" s="117" t="s">
        <v>1165</v>
      </c>
      <c r="E59" s="115" t="b">
        <v>0</v>
      </c>
      <c r="F59" s="115" t="s">
        <v>385</v>
      </c>
      <c r="G59" s="115" t="s">
        <v>385</v>
      </c>
      <c r="H59" s="115" t="s">
        <v>542</v>
      </c>
      <c r="I59" s="117" t="s">
        <v>2187</v>
      </c>
      <c r="J59" s="118">
        <v>-12.1046178918773</v>
      </c>
      <c r="K59" s="118">
        <v>-76.966144905522498</v>
      </c>
      <c r="L59" s="117">
        <v>140130</v>
      </c>
      <c r="M59" s="117">
        <v>150140</v>
      </c>
    </row>
    <row r="60" spans="1:13" x14ac:dyDescent="0.25">
      <c r="A60" s="120">
        <v>59</v>
      </c>
      <c r="B60" s="120">
        <v>7</v>
      </c>
      <c r="C60" s="117" t="str">
        <f>_xlfn.XLOOKUP(B60,dimUniversidades!$A:$A,dimUniversidades!$B:$B,"(sin universidad)")</f>
        <v>Universidad Privada San Juan Bautista S.A.C.</v>
      </c>
      <c r="D60" s="117" t="s">
        <v>324</v>
      </c>
      <c r="E60" s="115" t="b">
        <v>1</v>
      </c>
      <c r="F60" s="115" t="s">
        <v>385</v>
      </c>
      <c r="G60" s="115" t="s">
        <v>385</v>
      </c>
      <c r="H60" s="115" t="s">
        <v>1529</v>
      </c>
      <c r="I60" s="117" t="s">
        <v>2186</v>
      </c>
      <c r="J60" s="118">
        <v>-12.196473978746999</v>
      </c>
      <c r="K60" s="118">
        <v>-77.005582497373297</v>
      </c>
      <c r="L60" s="117">
        <v>140108</v>
      </c>
      <c r="M60" s="117">
        <v>150108</v>
      </c>
    </row>
    <row r="61" spans="1:13" x14ac:dyDescent="0.25">
      <c r="A61" s="120">
        <v>60</v>
      </c>
      <c r="B61" s="120">
        <v>7</v>
      </c>
      <c r="C61" s="117" t="str">
        <f>_xlfn.XLOOKUP(B61,dimUniversidades!$A:$A,dimUniversidades!$B:$B,"(sin universidad)")</f>
        <v>Universidad Privada San Juan Bautista S.A.C.</v>
      </c>
      <c r="D61" s="117" t="s">
        <v>399</v>
      </c>
      <c r="E61" s="115" t="b">
        <v>0</v>
      </c>
      <c r="F61" s="115" t="s">
        <v>385</v>
      </c>
      <c r="G61" s="115" t="s">
        <v>385</v>
      </c>
      <c r="H61" s="115" t="s">
        <v>1302</v>
      </c>
      <c r="I61" s="117" t="s">
        <v>2185</v>
      </c>
      <c r="J61" s="118">
        <v>-12.0879709471943</v>
      </c>
      <c r="K61" s="118">
        <v>-76.996232264417998</v>
      </c>
      <c r="L61" s="117">
        <v>140140</v>
      </c>
      <c r="M61" s="117">
        <v>150130</v>
      </c>
    </row>
    <row r="62" spans="1:13" x14ac:dyDescent="0.25">
      <c r="A62" s="120">
        <v>61</v>
      </c>
      <c r="B62" s="120">
        <v>7</v>
      </c>
      <c r="C62" s="117" t="str">
        <f>_xlfn.XLOOKUP(B62,dimUniversidades!$A:$A,dimUniversidades!$B:$B,"(sin universidad)")</f>
        <v>Universidad Privada San Juan Bautista S.A.C.</v>
      </c>
      <c r="D62" s="117" t="s">
        <v>735</v>
      </c>
      <c r="E62" s="115" t="b">
        <v>0</v>
      </c>
      <c r="F62" s="115" t="s">
        <v>385</v>
      </c>
      <c r="G62" s="115" t="s">
        <v>385</v>
      </c>
      <c r="H62" s="115" t="s">
        <v>1121</v>
      </c>
      <c r="I62" s="117" t="s">
        <v>2184</v>
      </c>
      <c r="J62" s="118">
        <v>-11.98930582805</v>
      </c>
      <c r="K62" s="118">
        <v>-77.060697279133194</v>
      </c>
      <c r="L62" s="117">
        <v>140134</v>
      </c>
      <c r="M62" s="117">
        <v>150112</v>
      </c>
    </row>
    <row r="63" spans="1:13" x14ac:dyDescent="0.25">
      <c r="A63" s="120">
        <v>62</v>
      </c>
      <c r="B63" s="120">
        <v>7</v>
      </c>
      <c r="C63" s="117" t="str">
        <f>_xlfn.XLOOKUP(B63,dimUniversidades!$A:$A,dimUniversidades!$B:$B,"(sin universidad)")</f>
        <v>Universidad Privada San Juan Bautista S.A.C.</v>
      </c>
      <c r="D63" s="117" t="s">
        <v>500</v>
      </c>
      <c r="E63" s="115" t="b">
        <v>0</v>
      </c>
      <c r="F63" s="115" t="s">
        <v>385</v>
      </c>
      <c r="G63" s="115" t="s">
        <v>385</v>
      </c>
      <c r="H63" s="115" t="s">
        <v>1302</v>
      </c>
      <c r="I63" s="117" t="s">
        <v>2183</v>
      </c>
      <c r="J63" s="118">
        <v>-12.0879352185611</v>
      </c>
      <c r="K63" s="118">
        <v>-76.996204712828003</v>
      </c>
      <c r="L63" s="117">
        <v>140140</v>
      </c>
      <c r="M63" s="117">
        <v>150130</v>
      </c>
    </row>
    <row r="64" spans="1:13" x14ac:dyDescent="0.25">
      <c r="A64" s="120">
        <v>63</v>
      </c>
      <c r="B64" s="120">
        <v>7</v>
      </c>
      <c r="C64" s="117" t="str">
        <f>_xlfn.XLOOKUP(B64,dimUniversidades!$A:$A,dimUniversidades!$B:$B,"(sin universidad)")</f>
        <v>Universidad Privada San Juan Bautista S.A.C.</v>
      </c>
      <c r="D64" s="117" t="s">
        <v>579</v>
      </c>
      <c r="E64" s="115" t="b">
        <v>0</v>
      </c>
      <c r="F64" s="115" t="s">
        <v>1417</v>
      </c>
      <c r="G64" s="115" t="s">
        <v>1417</v>
      </c>
      <c r="H64" s="115" t="s">
        <v>1443</v>
      </c>
      <c r="I64" s="117" t="s">
        <v>2182</v>
      </c>
      <c r="J64" s="118">
        <v>-14.030915</v>
      </c>
      <c r="K64" s="118">
        <v>-75.772333000000003</v>
      </c>
      <c r="L64" s="117">
        <v>100110</v>
      </c>
      <c r="M64" s="117">
        <v>110112</v>
      </c>
    </row>
    <row r="65" spans="1:13" x14ac:dyDescent="0.25">
      <c r="A65" s="120">
        <v>64</v>
      </c>
      <c r="B65" s="120">
        <v>7</v>
      </c>
      <c r="C65" s="117" t="str">
        <f>_xlfn.XLOOKUP(B65,dimUniversidades!$A:$A,dimUniversidades!$B:$B,"(sin universidad)")</f>
        <v>Universidad Privada San Juan Bautista S.A.C.</v>
      </c>
      <c r="D65" s="117" t="s">
        <v>1165</v>
      </c>
      <c r="E65" s="115" t="b">
        <v>0</v>
      </c>
      <c r="F65" s="115" t="s">
        <v>1417</v>
      </c>
      <c r="G65" s="115" t="s">
        <v>1417</v>
      </c>
      <c r="H65" s="115" t="s">
        <v>2181</v>
      </c>
      <c r="I65" s="117" t="s">
        <v>2180</v>
      </c>
      <c r="J65" s="118">
        <v>-13.932319100000001</v>
      </c>
      <c r="K65" s="118">
        <v>-75.904841399999995</v>
      </c>
      <c r="L65" s="117">
        <v>100106</v>
      </c>
      <c r="M65" s="117">
        <v>110108</v>
      </c>
    </row>
    <row r="66" spans="1:13" x14ac:dyDescent="0.25">
      <c r="A66" s="120">
        <v>65</v>
      </c>
      <c r="B66" s="120">
        <v>7</v>
      </c>
      <c r="C66" s="117" t="str">
        <f>_xlfn.XLOOKUP(B66,dimUniversidades!$A:$A,dimUniversidades!$B:$B,"(sin universidad)")</f>
        <v>Universidad Privada San Juan Bautista S.A.C.</v>
      </c>
      <c r="D66" s="117" t="s">
        <v>1344</v>
      </c>
      <c r="E66" s="115" t="b">
        <v>0</v>
      </c>
      <c r="F66" s="115" t="s">
        <v>1417</v>
      </c>
      <c r="G66" s="115" t="s">
        <v>1417</v>
      </c>
      <c r="H66" s="115" t="s">
        <v>1399</v>
      </c>
      <c r="I66" s="117" t="s">
        <v>2179</v>
      </c>
      <c r="J66" s="118">
        <v>-14.021311000000001</v>
      </c>
      <c r="K66" s="118">
        <v>-75.743241900000001</v>
      </c>
      <c r="L66" s="117">
        <v>100108</v>
      </c>
      <c r="M66" s="117">
        <v>110110</v>
      </c>
    </row>
    <row r="67" spans="1:13" x14ac:dyDescent="0.25">
      <c r="A67" s="120">
        <v>66</v>
      </c>
      <c r="B67" s="120">
        <v>7</v>
      </c>
      <c r="C67" s="117" t="str">
        <f>_xlfn.XLOOKUP(B67,dimUniversidades!$A:$A,dimUniversidades!$B:$B,"(sin universidad)")</f>
        <v>Universidad Privada San Juan Bautista S.A.C.</v>
      </c>
      <c r="D67" s="117" t="s">
        <v>2178</v>
      </c>
      <c r="E67" s="115" t="b">
        <v>0</v>
      </c>
      <c r="F67" s="115" t="s">
        <v>1417</v>
      </c>
      <c r="G67" s="115" t="s">
        <v>1417</v>
      </c>
      <c r="H67" s="115" t="s">
        <v>1399</v>
      </c>
      <c r="I67" s="117" t="s">
        <v>2177</v>
      </c>
      <c r="J67" s="118">
        <v>-14.021529592626599</v>
      </c>
      <c r="K67" s="118">
        <v>-75.743284815344197</v>
      </c>
      <c r="L67" s="117">
        <v>100108</v>
      </c>
      <c r="M67" s="117">
        <v>110110</v>
      </c>
    </row>
    <row r="68" spans="1:13" x14ac:dyDescent="0.25">
      <c r="A68" s="120">
        <v>67</v>
      </c>
      <c r="B68" s="120">
        <v>7</v>
      </c>
      <c r="C68" s="117" t="str">
        <f>_xlfn.XLOOKUP(B68,dimUniversidades!$A:$A,dimUniversidades!$B:$B,"(sin universidad)")</f>
        <v>Universidad Privada San Juan Bautista S.A.C.</v>
      </c>
      <c r="D68" s="117" t="s">
        <v>1160</v>
      </c>
      <c r="E68" s="115" t="b">
        <v>0</v>
      </c>
      <c r="F68" s="115" t="s">
        <v>1417</v>
      </c>
      <c r="G68" s="115" t="s">
        <v>1416</v>
      </c>
      <c r="H68" s="115" t="s">
        <v>1415</v>
      </c>
      <c r="I68" s="117" t="s">
        <v>2176</v>
      </c>
      <c r="J68" s="118">
        <v>-13.4208243820758</v>
      </c>
      <c r="K68" s="118">
        <v>-76.134108328836106</v>
      </c>
      <c r="L68" s="117">
        <v>100201</v>
      </c>
      <c r="M68" s="117">
        <v>110201</v>
      </c>
    </row>
    <row r="69" spans="1:13" x14ac:dyDescent="0.25">
      <c r="A69" s="120">
        <v>68</v>
      </c>
      <c r="B69" s="120">
        <v>8</v>
      </c>
      <c r="C69" s="117" t="str">
        <f>_xlfn.XLOOKUP(B69,dimUniversidades!$A:$A,dimUniversidades!$B:$B,"(sin universidad)")</f>
        <v>Universidad Nacional de San Agustín de Arequipa</v>
      </c>
      <c r="D69" s="117" t="s">
        <v>324</v>
      </c>
      <c r="E69" s="115" t="b">
        <v>1</v>
      </c>
      <c r="F69" s="115" t="s">
        <v>530</v>
      </c>
      <c r="G69" s="115" t="s">
        <v>530</v>
      </c>
      <c r="H69" s="115" t="s">
        <v>530</v>
      </c>
      <c r="I69" s="117" t="s">
        <v>2175</v>
      </c>
      <c r="J69" s="118">
        <v>-16.403293000268299</v>
      </c>
      <c r="K69" s="118">
        <v>-71.524888556344607</v>
      </c>
      <c r="L69" s="117">
        <v>40101</v>
      </c>
      <c r="M69" s="117">
        <v>40101</v>
      </c>
    </row>
    <row r="70" spans="1:13" x14ac:dyDescent="0.25">
      <c r="A70" s="120">
        <v>69</v>
      </c>
      <c r="B70" s="120">
        <v>8</v>
      </c>
      <c r="C70" s="117" t="str">
        <f>_xlfn.XLOOKUP(B70,dimUniversidades!$A:$A,dimUniversidades!$B:$B,"(sin universidad)")</f>
        <v>Universidad Nacional de San Agustín de Arequipa</v>
      </c>
      <c r="D70" s="117" t="s">
        <v>399</v>
      </c>
      <c r="E70" s="115" t="b">
        <v>0</v>
      </c>
      <c r="F70" s="115" t="s">
        <v>530</v>
      </c>
      <c r="G70" s="115" t="s">
        <v>530</v>
      </c>
      <c r="H70" s="115" t="s">
        <v>530</v>
      </c>
      <c r="I70" s="117" t="s">
        <v>2174</v>
      </c>
      <c r="J70" s="118">
        <v>-16.404995321094599</v>
      </c>
      <c r="K70" s="118">
        <v>-71.526559378820807</v>
      </c>
      <c r="L70" s="117">
        <v>40101</v>
      </c>
      <c r="M70" s="117">
        <v>40101</v>
      </c>
    </row>
    <row r="71" spans="1:13" x14ac:dyDescent="0.25">
      <c r="A71" s="120">
        <v>70</v>
      </c>
      <c r="B71" s="120">
        <v>8</v>
      </c>
      <c r="C71" s="117" t="str">
        <f>_xlfn.XLOOKUP(B71,dimUniversidades!$A:$A,dimUniversidades!$B:$B,"(sin universidad)")</f>
        <v>Universidad Nacional de San Agustín de Arequipa</v>
      </c>
      <c r="D71" s="117" t="s">
        <v>735</v>
      </c>
      <c r="E71" s="115" t="b">
        <v>0</v>
      </c>
      <c r="F71" s="115" t="s">
        <v>530</v>
      </c>
      <c r="G71" s="115" t="s">
        <v>530</v>
      </c>
      <c r="H71" s="115" t="s">
        <v>530</v>
      </c>
      <c r="I71" s="117" t="s">
        <v>2173</v>
      </c>
      <c r="J71" s="118">
        <v>-16.409178710715501</v>
      </c>
      <c r="K71" s="118">
        <v>-71.536665171163904</v>
      </c>
      <c r="L71" s="117">
        <v>40101</v>
      </c>
      <c r="M71" s="117">
        <v>40101</v>
      </c>
    </row>
    <row r="72" spans="1:13" x14ac:dyDescent="0.25">
      <c r="A72" s="120">
        <v>71</v>
      </c>
      <c r="B72" s="120">
        <v>8</v>
      </c>
      <c r="C72" s="117" t="str">
        <f>_xlfn.XLOOKUP(B72,dimUniversidades!$A:$A,dimUniversidades!$B:$B,"(sin universidad)")</f>
        <v>Universidad Nacional de San Agustín de Arequipa</v>
      </c>
      <c r="D72" s="117" t="s">
        <v>500</v>
      </c>
      <c r="E72" s="115" t="b">
        <v>0</v>
      </c>
      <c r="F72" s="115" t="s">
        <v>530</v>
      </c>
      <c r="G72" s="115" t="s">
        <v>530</v>
      </c>
      <c r="H72" s="115" t="s">
        <v>530</v>
      </c>
      <c r="I72" s="117" t="s">
        <v>2172</v>
      </c>
      <c r="J72" s="118">
        <v>-16.400686292286299</v>
      </c>
      <c r="K72" s="118">
        <v>-71.536901392624998</v>
      </c>
      <c r="L72" s="117">
        <v>40101</v>
      </c>
      <c r="M72" s="117">
        <v>40101</v>
      </c>
    </row>
    <row r="73" spans="1:13" x14ac:dyDescent="0.25">
      <c r="A73" s="120">
        <v>72</v>
      </c>
      <c r="B73" s="120">
        <v>8</v>
      </c>
      <c r="C73" s="117" t="str">
        <f>_xlfn.XLOOKUP(B73,dimUniversidades!$A:$A,dimUniversidades!$B:$B,"(sin universidad)")</f>
        <v>Universidad Nacional de San Agustín de Arequipa</v>
      </c>
      <c r="D73" s="117" t="s">
        <v>1117</v>
      </c>
      <c r="E73" s="115" t="b">
        <v>0</v>
      </c>
      <c r="F73" s="115" t="s">
        <v>530</v>
      </c>
      <c r="G73" s="115" t="s">
        <v>530</v>
      </c>
      <c r="H73" s="115" t="s">
        <v>530</v>
      </c>
      <c r="I73" s="117" t="s">
        <v>2171</v>
      </c>
      <c r="J73" s="118">
        <v>-16.398024084854701</v>
      </c>
      <c r="K73" s="118">
        <v>-71.537686517791002</v>
      </c>
      <c r="L73" s="117">
        <v>40101</v>
      </c>
      <c r="M73" s="117">
        <v>40101</v>
      </c>
    </row>
    <row r="74" spans="1:13" x14ac:dyDescent="0.25">
      <c r="A74" s="120">
        <v>73</v>
      </c>
      <c r="B74" s="120">
        <v>8</v>
      </c>
      <c r="C74" s="117" t="str">
        <f>_xlfn.XLOOKUP(B74,dimUniversidades!$A:$A,dimUniversidades!$B:$B,"(sin universidad)")</f>
        <v>Universidad Nacional de San Agustín de Arequipa</v>
      </c>
      <c r="D74" s="117" t="s">
        <v>1232</v>
      </c>
      <c r="E74" s="115" t="b">
        <v>0</v>
      </c>
      <c r="F74" s="115" t="s">
        <v>530</v>
      </c>
      <c r="G74" s="115" t="s">
        <v>530</v>
      </c>
      <c r="H74" s="115" t="s">
        <v>530</v>
      </c>
      <c r="I74" s="117" t="s">
        <v>2170</v>
      </c>
      <c r="J74" s="118">
        <v>-16.3978253126146</v>
      </c>
      <c r="K74" s="118">
        <v>-71.537483085319494</v>
      </c>
      <c r="L74" s="117">
        <v>40101</v>
      </c>
      <c r="M74" s="117">
        <v>40101</v>
      </c>
    </row>
    <row r="75" spans="1:13" x14ac:dyDescent="0.25">
      <c r="A75" s="120">
        <v>74</v>
      </c>
      <c r="B75" s="120">
        <v>8</v>
      </c>
      <c r="C75" s="117" t="str">
        <f>_xlfn.XLOOKUP(B75,dimUniversidades!$A:$A,dimUniversidades!$B:$B,"(sin universidad)")</f>
        <v>Universidad Nacional de San Agustín de Arequipa</v>
      </c>
      <c r="D75" s="117" t="s">
        <v>1230</v>
      </c>
      <c r="E75" s="115" t="b">
        <v>0</v>
      </c>
      <c r="F75" s="115" t="s">
        <v>530</v>
      </c>
      <c r="G75" s="115" t="s">
        <v>530</v>
      </c>
      <c r="H75" s="115" t="s">
        <v>530</v>
      </c>
      <c r="I75" s="117" t="s">
        <v>2169</v>
      </c>
      <c r="J75" s="118">
        <v>-16.3978623</v>
      </c>
      <c r="K75" s="118">
        <v>-71.537825900000001</v>
      </c>
      <c r="L75" s="117">
        <v>40101</v>
      </c>
      <c r="M75" s="117">
        <v>40101</v>
      </c>
    </row>
    <row r="76" spans="1:13" x14ac:dyDescent="0.25">
      <c r="A76" s="120">
        <v>75</v>
      </c>
      <c r="B76" s="120">
        <v>8</v>
      </c>
      <c r="C76" s="117" t="str">
        <f>_xlfn.XLOOKUP(B76,dimUniversidades!$A:$A,dimUniversidades!$B:$B,"(sin universidad)")</f>
        <v>Universidad Nacional de San Agustín de Arequipa</v>
      </c>
      <c r="D76" s="117" t="s">
        <v>1227</v>
      </c>
      <c r="E76" s="115" t="b">
        <v>0</v>
      </c>
      <c r="F76" s="115" t="s">
        <v>530</v>
      </c>
      <c r="G76" s="115" t="s">
        <v>530</v>
      </c>
      <c r="H76" s="115" t="s">
        <v>530</v>
      </c>
      <c r="I76" s="117" t="s">
        <v>2168</v>
      </c>
      <c r="J76" s="118">
        <v>-16.397210438705301</v>
      </c>
      <c r="K76" s="118">
        <v>-71.537002217790999</v>
      </c>
      <c r="L76" s="117">
        <v>40101</v>
      </c>
      <c r="M76" s="117">
        <v>40101</v>
      </c>
    </row>
    <row r="77" spans="1:13" x14ac:dyDescent="0.25">
      <c r="A77" s="120">
        <v>76</v>
      </c>
      <c r="B77" s="120">
        <v>8</v>
      </c>
      <c r="C77" s="117" t="str">
        <f>_xlfn.XLOOKUP(B77,dimUniversidades!$A:$A,dimUniversidades!$B:$B,"(sin universidad)")</f>
        <v>Universidad Nacional de San Agustín de Arequipa</v>
      </c>
      <c r="D77" s="117" t="s">
        <v>1419</v>
      </c>
      <c r="E77" s="115" t="b">
        <v>0</v>
      </c>
      <c r="F77" s="115" t="s">
        <v>530</v>
      </c>
      <c r="G77" s="115" t="s">
        <v>530</v>
      </c>
      <c r="H77" s="115" t="s">
        <v>530</v>
      </c>
      <c r="I77" s="117" t="s">
        <v>2167</v>
      </c>
      <c r="J77" s="118">
        <v>-16.3968715284648</v>
      </c>
      <c r="K77" s="118">
        <v>-71.5377522166023</v>
      </c>
      <c r="L77" s="117">
        <v>40101</v>
      </c>
      <c r="M77" s="117">
        <v>40101</v>
      </c>
    </row>
    <row r="78" spans="1:13" x14ac:dyDescent="0.25">
      <c r="A78" s="120">
        <v>77</v>
      </c>
      <c r="B78" s="120">
        <v>8</v>
      </c>
      <c r="C78" s="117" t="str">
        <f>_xlfn.XLOOKUP(B78,dimUniversidades!$A:$A,dimUniversidades!$B:$B,"(sin universidad)")</f>
        <v>Universidad Nacional de San Agustín de Arequipa</v>
      </c>
      <c r="D78" s="117" t="s">
        <v>643</v>
      </c>
      <c r="E78" s="115" t="b">
        <v>0</v>
      </c>
      <c r="F78" s="115" t="s">
        <v>530</v>
      </c>
      <c r="G78" s="115" t="s">
        <v>530</v>
      </c>
      <c r="H78" s="115" t="s">
        <v>530</v>
      </c>
      <c r="I78" s="117" t="s">
        <v>2166</v>
      </c>
      <c r="J78" s="118">
        <v>-16.395006706013199</v>
      </c>
      <c r="K78" s="118">
        <v>-71.536130339881097</v>
      </c>
      <c r="L78" s="117">
        <v>40101</v>
      </c>
      <c r="M78" s="117">
        <v>40101</v>
      </c>
    </row>
    <row r="79" spans="1:13" x14ac:dyDescent="0.25">
      <c r="A79" s="120">
        <v>78</v>
      </c>
      <c r="B79" s="120">
        <v>8</v>
      </c>
      <c r="C79" s="117" t="str">
        <f>_xlfn.XLOOKUP(B79,dimUniversidades!$A:$A,dimUniversidades!$B:$B,"(sin universidad)")</f>
        <v>Universidad Nacional de San Agustín de Arequipa</v>
      </c>
      <c r="D79" s="117" t="s">
        <v>1649</v>
      </c>
      <c r="E79" s="115" t="b">
        <v>0</v>
      </c>
      <c r="F79" s="115" t="s">
        <v>530</v>
      </c>
      <c r="G79" s="115" t="s">
        <v>530</v>
      </c>
      <c r="H79" s="115" t="s">
        <v>1111</v>
      </c>
      <c r="I79" s="117" t="s">
        <v>2165</v>
      </c>
      <c r="J79" s="118">
        <v>-16.397739099999999</v>
      </c>
      <c r="K79" s="118">
        <v>-71.557558599999993</v>
      </c>
      <c r="L79" s="117">
        <v>40123</v>
      </c>
      <c r="M79" s="117">
        <v>40126</v>
      </c>
    </row>
    <row r="80" spans="1:13" x14ac:dyDescent="0.25">
      <c r="A80" s="120">
        <v>79</v>
      </c>
      <c r="B80" s="120">
        <v>8</v>
      </c>
      <c r="C80" s="117" t="str">
        <f>_xlfn.XLOOKUP(B80,dimUniversidades!$A:$A,dimUniversidades!$B:$B,"(sin universidad)")</f>
        <v>Universidad Nacional de San Agustín de Arequipa</v>
      </c>
      <c r="D80" s="117" t="s">
        <v>1646</v>
      </c>
      <c r="E80" s="115" t="b">
        <v>0</v>
      </c>
      <c r="F80" s="115" t="s">
        <v>530</v>
      </c>
      <c r="G80" s="115" t="s">
        <v>530</v>
      </c>
      <c r="H80" s="115" t="s">
        <v>2149</v>
      </c>
      <c r="I80" s="117" t="s">
        <v>2164</v>
      </c>
      <c r="J80" s="118">
        <v>-16.393530999999999</v>
      </c>
      <c r="K80" s="118">
        <v>-71.566078099999999</v>
      </c>
      <c r="L80" s="117">
        <v>40103</v>
      </c>
      <c r="M80" s="117">
        <v>40104</v>
      </c>
    </row>
    <row r="81" spans="1:13" x14ac:dyDescent="0.25">
      <c r="A81" s="120">
        <v>80</v>
      </c>
      <c r="B81" s="120">
        <v>8</v>
      </c>
      <c r="C81" s="117" t="str">
        <f>_xlfn.XLOOKUP(B81,dimUniversidades!$A:$A,dimUniversidades!$B:$B,"(sin universidad)")</f>
        <v>Universidad Nacional de San Agustín de Arequipa</v>
      </c>
      <c r="D81" s="117" t="s">
        <v>1718</v>
      </c>
      <c r="E81" s="115" t="b">
        <v>0</v>
      </c>
      <c r="F81" s="115" t="s">
        <v>530</v>
      </c>
      <c r="G81" s="115" t="s">
        <v>530</v>
      </c>
      <c r="H81" s="115" t="s">
        <v>2163</v>
      </c>
      <c r="I81" s="117" t="s">
        <v>2162</v>
      </c>
      <c r="J81" s="118">
        <v>-16.407207149764599</v>
      </c>
      <c r="K81" s="118">
        <v>-71.486220756639099</v>
      </c>
      <c r="L81" s="117">
        <v>40109</v>
      </c>
      <c r="M81" s="117">
        <v>40112</v>
      </c>
    </row>
    <row r="82" spans="1:13" x14ac:dyDescent="0.25">
      <c r="A82" s="120">
        <v>81</v>
      </c>
      <c r="B82" s="120">
        <v>8</v>
      </c>
      <c r="C82" s="117" t="str">
        <f>_xlfn.XLOOKUP(B82,dimUniversidades!$A:$A,dimUniversidades!$B:$B,"(sin universidad)")</f>
        <v>Universidad Nacional de San Agustín de Arequipa</v>
      </c>
      <c r="D82" s="117" t="s">
        <v>1760</v>
      </c>
      <c r="E82" s="115" t="b">
        <v>0</v>
      </c>
      <c r="F82" s="115" t="s">
        <v>530</v>
      </c>
      <c r="G82" s="115" t="s">
        <v>530</v>
      </c>
      <c r="H82" s="115" t="s">
        <v>530</v>
      </c>
      <c r="I82" s="117" t="s">
        <v>2161</v>
      </c>
      <c r="J82" s="118">
        <v>-16.418688603522</v>
      </c>
      <c r="K82" s="118">
        <v>-71.542469819643401</v>
      </c>
      <c r="L82" s="117">
        <v>40101</v>
      </c>
      <c r="M82" s="117">
        <v>40101</v>
      </c>
    </row>
    <row r="83" spans="1:13" x14ac:dyDescent="0.25">
      <c r="A83" s="120">
        <v>82</v>
      </c>
      <c r="B83" s="120">
        <v>8</v>
      </c>
      <c r="C83" s="117" t="str">
        <f>_xlfn.XLOOKUP(B83,dimUniversidades!$A:$A,dimUniversidades!$B:$B,"(sin universidad)")</f>
        <v>Universidad Nacional de San Agustín de Arequipa</v>
      </c>
      <c r="D83" s="117" t="s">
        <v>1872</v>
      </c>
      <c r="E83" s="115" t="b">
        <v>0</v>
      </c>
      <c r="F83" s="115" t="s">
        <v>530</v>
      </c>
      <c r="G83" s="115" t="s">
        <v>530</v>
      </c>
      <c r="H83" s="115" t="s">
        <v>2149</v>
      </c>
      <c r="I83" s="117" t="s">
        <v>2160</v>
      </c>
      <c r="J83" s="118">
        <v>-16.3902778</v>
      </c>
      <c r="K83" s="118">
        <v>-71.553488900000005</v>
      </c>
      <c r="L83" s="117">
        <v>40103</v>
      </c>
      <c r="M83" s="117">
        <v>40104</v>
      </c>
    </row>
    <row r="84" spans="1:13" x14ac:dyDescent="0.25">
      <c r="A84" s="120">
        <v>83</v>
      </c>
      <c r="B84" s="120">
        <v>8</v>
      </c>
      <c r="C84" s="117" t="str">
        <f>_xlfn.XLOOKUP(B84,dimUniversidades!$A:$A,dimUniversidades!$B:$B,"(sin universidad)")</f>
        <v>Universidad Nacional de San Agustín de Arequipa</v>
      </c>
      <c r="D84" s="117" t="s">
        <v>1716</v>
      </c>
      <c r="E84" s="115" t="b">
        <v>0</v>
      </c>
      <c r="F84" s="115" t="s">
        <v>530</v>
      </c>
      <c r="G84" s="115" t="s">
        <v>530</v>
      </c>
      <c r="H84" s="115" t="s">
        <v>530</v>
      </c>
      <c r="I84" s="117" t="s">
        <v>2159</v>
      </c>
      <c r="J84" s="118">
        <v>-16.402509561148801</v>
      </c>
      <c r="K84" s="118">
        <v>-71.523308377280799</v>
      </c>
      <c r="L84" s="117">
        <v>40101</v>
      </c>
      <c r="M84" s="117">
        <v>40101</v>
      </c>
    </row>
    <row r="85" spans="1:13" x14ac:dyDescent="0.25">
      <c r="A85" s="120">
        <v>84</v>
      </c>
      <c r="B85" s="120">
        <v>8</v>
      </c>
      <c r="C85" s="117" t="str">
        <f>_xlfn.XLOOKUP(B85,dimUniversidades!$A:$A,dimUniversidades!$B:$B,"(sin universidad)")</f>
        <v>Universidad Nacional de San Agustín de Arequipa</v>
      </c>
      <c r="D85" s="117" t="s">
        <v>2158</v>
      </c>
      <c r="E85" s="115" t="b">
        <v>0</v>
      </c>
      <c r="F85" s="115" t="s">
        <v>530</v>
      </c>
      <c r="G85" s="115" t="s">
        <v>530</v>
      </c>
      <c r="H85" s="115" t="s">
        <v>2157</v>
      </c>
      <c r="I85" s="117" t="s">
        <v>2156</v>
      </c>
      <c r="J85" s="118">
        <v>-16.4786529</v>
      </c>
      <c r="K85" s="118">
        <v>-71.513066300000006</v>
      </c>
      <c r="L85" s="117">
        <v>40102</v>
      </c>
      <c r="M85" s="117">
        <v>40103</v>
      </c>
    </row>
    <row r="86" spans="1:13" x14ac:dyDescent="0.25">
      <c r="A86" s="120">
        <v>85</v>
      </c>
      <c r="B86" s="120">
        <v>8</v>
      </c>
      <c r="C86" s="117" t="str">
        <f>_xlfn.XLOOKUP(B86,dimUniversidades!$A:$A,dimUniversidades!$B:$B,"(sin universidad)")</f>
        <v>Universidad Nacional de San Agustín de Arequipa</v>
      </c>
      <c r="D86" s="117" t="s">
        <v>2155</v>
      </c>
      <c r="E86" s="115" t="b">
        <v>0</v>
      </c>
      <c r="F86" s="115" t="s">
        <v>530</v>
      </c>
      <c r="G86" s="115" t="s">
        <v>530</v>
      </c>
      <c r="H86" s="115" t="s">
        <v>2117</v>
      </c>
      <c r="I86" s="117" t="s">
        <v>2154</v>
      </c>
      <c r="J86" s="118">
        <v>-16.428586263977099</v>
      </c>
      <c r="K86" s="118">
        <v>-71.526944860327106</v>
      </c>
      <c r="L86" s="117">
        <v>40127</v>
      </c>
      <c r="M86" s="117">
        <v>40107</v>
      </c>
    </row>
    <row r="87" spans="1:13" x14ac:dyDescent="0.25">
      <c r="A87" s="120">
        <v>86</v>
      </c>
      <c r="B87" s="120">
        <v>8</v>
      </c>
      <c r="C87" s="117" t="str">
        <f>_xlfn.XLOOKUP(B87,dimUniversidades!$A:$A,dimUniversidades!$B:$B,"(sin universidad)")</f>
        <v>Universidad Nacional de San Agustín de Arequipa</v>
      </c>
      <c r="D87" s="117" t="s">
        <v>2153</v>
      </c>
      <c r="E87" s="115" t="b">
        <v>0</v>
      </c>
      <c r="F87" s="115" t="s">
        <v>530</v>
      </c>
      <c r="G87" s="115" t="s">
        <v>530</v>
      </c>
      <c r="H87" s="115" t="s">
        <v>2152</v>
      </c>
      <c r="I87" s="117" t="s">
        <v>2151</v>
      </c>
      <c r="J87" s="118">
        <v>-16.464628699999999</v>
      </c>
      <c r="K87" s="118">
        <v>-71.488640599999997</v>
      </c>
      <c r="L87" s="117">
        <v>40104</v>
      </c>
      <c r="M87" s="117">
        <v>40105</v>
      </c>
    </row>
    <row r="88" spans="1:13" x14ac:dyDescent="0.25">
      <c r="A88" s="120">
        <v>87</v>
      </c>
      <c r="B88" s="120">
        <v>8</v>
      </c>
      <c r="C88" s="117" t="str">
        <f>_xlfn.XLOOKUP(B88,dimUniversidades!$A:$A,dimUniversidades!$B:$B,"(sin universidad)")</f>
        <v>Universidad Nacional de San Agustín de Arequipa</v>
      </c>
      <c r="D88" s="117" t="s">
        <v>2150</v>
      </c>
      <c r="E88" s="115" t="b">
        <v>0</v>
      </c>
      <c r="F88" s="115" t="s">
        <v>530</v>
      </c>
      <c r="G88" s="115" t="s">
        <v>530</v>
      </c>
      <c r="H88" s="115" t="s">
        <v>2149</v>
      </c>
      <c r="I88" s="117" t="s">
        <v>2148</v>
      </c>
      <c r="J88" s="118">
        <v>-16.343089729525499</v>
      </c>
      <c r="K88" s="118">
        <v>-71.581292678648396</v>
      </c>
      <c r="L88" s="117">
        <v>40103</v>
      </c>
      <c r="M88" s="117">
        <v>40104</v>
      </c>
    </row>
    <row r="89" spans="1:13" x14ac:dyDescent="0.25">
      <c r="A89" s="120">
        <v>88</v>
      </c>
      <c r="B89" s="120">
        <v>8</v>
      </c>
      <c r="C89" s="117" t="str">
        <f>_xlfn.XLOOKUP(B89,dimUniversidades!$A:$A,dimUniversidades!$B:$B,"(sin universidad)")</f>
        <v>Universidad Nacional de San Agustín de Arequipa</v>
      </c>
      <c r="D89" s="117" t="s">
        <v>2147</v>
      </c>
      <c r="E89" s="115" t="b">
        <v>0</v>
      </c>
      <c r="F89" s="115" t="s">
        <v>530</v>
      </c>
      <c r="G89" s="115" t="s">
        <v>530</v>
      </c>
      <c r="H89" s="115" t="s">
        <v>530</v>
      </c>
      <c r="I89" s="117" t="s">
        <v>2146</v>
      </c>
      <c r="J89" s="118">
        <v>-16.405850622048799</v>
      </c>
      <c r="K89" s="118">
        <v>-71.519213568925494</v>
      </c>
      <c r="L89" s="117">
        <v>40101</v>
      </c>
      <c r="M89" s="117">
        <v>40101</v>
      </c>
    </row>
    <row r="90" spans="1:13" x14ac:dyDescent="0.25">
      <c r="A90" s="120">
        <v>89</v>
      </c>
      <c r="B90" s="120">
        <v>8</v>
      </c>
      <c r="C90" s="117" t="str">
        <f>_xlfn.XLOOKUP(B90,dimUniversidades!$A:$A,dimUniversidades!$B:$B,"(sin universidad)")</f>
        <v>Universidad Nacional de San Agustín de Arequipa</v>
      </c>
      <c r="D90" s="117" t="s">
        <v>579</v>
      </c>
      <c r="E90" s="115" t="b">
        <v>0</v>
      </c>
      <c r="F90" s="115" t="s">
        <v>530</v>
      </c>
      <c r="G90" s="115" t="s">
        <v>2143</v>
      </c>
      <c r="H90" s="115" t="s">
        <v>2142</v>
      </c>
      <c r="I90" s="117" t="s">
        <v>2145</v>
      </c>
      <c r="J90" s="118">
        <v>-16.620822799999999</v>
      </c>
      <c r="K90" s="118">
        <v>-72.709547299999997</v>
      </c>
      <c r="L90" s="117">
        <v>40308</v>
      </c>
      <c r="M90" s="117">
        <v>40208</v>
      </c>
    </row>
    <row r="91" spans="1:13" x14ac:dyDescent="0.25">
      <c r="A91" s="120">
        <v>90</v>
      </c>
      <c r="B91" s="120">
        <v>8</v>
      </c>
      <c r="C91" s="117" t="str">
        <f>_xlfn.XLOOKUP(B91,dimUniversidades!$A:$A,dimUniversidades!$B:$B,"(sin universidad)")</f>
        <v>Universidad Nacional de San Agustín de Arequipa</v>
      </c>
      <c r="D91" s="117" t="s">
        <v>1165</v>
      </c>
      <c r="E91" s="115" t="b">
        <v>0</v>
      </c>
      <c r="F91" s="115" t="s">
        <v>530</v>
      </c>
      <c r="G91" s="115" t="s">
        <v>2143</v>
      </c>
      <c r="H91" s="115" t="s">
        <v>2142</v>
      </c>
      <c r="I91" s="117" t="s">
        <v>2144</v>
      </c>
      <c r="J91" s="118">
        <v>-16.620822799999999</v>
      </c>
      <c r="K91" s="118">
        <v>-72.709547299999997</v>
      </c>
      <c r="L91" s="117">
        <v>40308</v>
      </c>
      <c r="M91" s="117">
        <v>40208</v>
      </c>
    </row>
    <row r="92" spans="1:13" x14ac:dyDescent="0.25">
      <c r="A92" s="120">
        <v>91</v>
      </c>
      <c r="B92" s="120">
        <v>8</v>
      </c>
      <c r="C92" s="117" t="str">
        <f>_xlfn.XLOOKUP(B92,dimUniversidades!$A:$A,dimUniversidades!$B:$B,"(sin universidad)")</f>
        <v>Universidad Nacional de San Agustín de Arequipa</v>
      </c>
      <c r="D92" s="117" t="s">
        <v>1344</v>
      </c>
      <c r="E92" s="115" t="b">
        <v>0</v>
      </c>
      <c r="F92" s="115" t="s">
        <v>530</v>
      </c>
      <c r="G92" s="115" t="s">
        <v>2143</v>
      </c>
      <c r="H92" s="115" t="s">
        <v>2142</v>
      </c>
      <c r="I92" s="117" t="s">
        <v>2141</v>
      </c>
      <c r="J92" s="118">
        <v>-16.619953500000001</v>
      </c>
      <c r="K92" s="118">
        <v>-72.712883399999996</v>
      </c>
      <c r="L92" s="117">
        <v>40308</v>
      </c>
      <c r="M92" s="117">
        <v>40208</v>
      </c>
    </row>
    <row r="93" spans="1:13" x14ac:dyDescent="0.25">
      <c r="A93" s="120">
        <v>92</v>
      </c>
      <c r="B93" s="120">
        <v>8</v>
      </c>
      <c r="C93" s="117" t="str">
        <f>_xlfn.XLOOKUP(B93,dimUniversidades!$A:$A,dimUniversidades!$B:$B,"(sin universidad)")</f>
        <v>Universidad Nacional de San Agustín de Arequipa</v>
      </c>
      <c r="D93" s="117" t="s">
        <v>1160</v>
      </c>
      <c r="E93" s="115" t="b">
        <v>0</v>
      </c>
      <c r="F93" s="115" t="s">
        <v>530</v>
      </c>
      <c r="G93" s="115" t="s">
        <v>2114</v>
      </c>
      <c r="H93" s="115" t="s">
        <v>2113</v>
      </c>
      <c r="I93" s="117" t="s">
        <v>2140</v>
      </c>
      <c r="J93" s="118">
        <v>-16.239588699999999</v>
      </c>
      <c r="K93" s="118">
        <v>-72.236378999999999</v>
      </c>
      <c r="L93" s="117">
        <v>40220</v>
      </c>
      <c r="M93" s="117">
        <v>40520</v>
      </c>
    </row>
    <row r="94" spans="1:13" x14ac:dyDescent="0.25">
      <c r="A94" s="120">
        <v>93</v>
      </c>
      <c r="B94" s="120">
        <v>8</v>
      </c>
      <c r="C94" s="117" t="str">
        <f>_xlfn.XLOOKUP(B94,dimUniversidades!$A:$A,dimUniversidades!$B:$B,"(sin universidad)")</f>
        <v>Universidad Nacional de San Agustín de Arequipa</v>
      </c>
      <c r="D94" s="117" t="s">
        <v>1480</v>
      </c>
      <c r="E94" s="115" t="b">
        <v>0</v>
      </c>
      <c r="F94" s="115" t="s">
        <v>530</v>
      </c>
      <c r="G94" s="115" t="s">
        <v>2114</v>
      </c>
      <c r="H94" s="115" t="s">
        <v>2113</v>
      </c>
      <c r="I94" s="117" t="s">
        <v>2139</v>
      </c>
      <c r="J94" s="118">
        <v>-16.239588699999999</v>
      </c>
      <c r="K94" s="118">
        <v>-72.236378999999999</v>
      </c>
      <c r="L94" s="117">
        <v>40220</v>
      </c>
      <c r="M94" s="117">
        <v>40520</v>
      </c>
    </row>
    <row r="95" spans="1:13" x14ac:dyDescent="0.25">
      <c r="A95" s="120">
        <v>94</v>
      </c>
      <c r="B95" s="120">
        <v>8</v>
      </c>
      <c r="C95" s="117" t="str">
        <f>_xlfn.XLOOKUP(B95,dimUniversidades!$A:$A,dimUniversidades!$B:$B,"(sin universidad)")</f>
        <v>Universidad Nacional de San Agustín de Arequipa</v>
      </c>
      <c r="D95" s="117" t="s">
        <v>550</v>
      </c>
      <c r="E95" s="115" t="b">
        <v>0</v>
      </c>
      <c r="F95" s="115" t="s">
        <v>530</v>
      </c>
      <c r="G95" s="115" t="s">
        <v>2114</v>
      </c>
      <c r="H95" s="115" t="s">
        <v>2113</v>
      </c>
      <c r="I95" s="117" t="s">
        <v>2138</v>
      </c>
      <c r="J95" s="118">
        <v>-16.239588699999999</v>
      </c>
      <c r="K95" s="118">
        <v>-72.236378999999999</v>
      </c>
      <c r="L95" s="117">
        <v>40220</v>
      </c>
      <c r="M95" s="117">
        <v>40520</v>
      </c>
    </row>
    <row r="96" spans="1:13" x14ac:dyDescent="0.25">
      <c r="A96" s="120">
        <v>95</v>
      </c>
      <c r="B96" s="120">
        <v>8</v>
      </c>
      <c r="C96" s="117" t="str">
        <f>_xlfn.XLOOKUP(B96,dimUniversidades!$A:$A,dimUniversidades!$B:$B,"(sin universidad)")</f>
        <v>Universidad Nacional de San Agustín de Arequipa</v>
      </c>
      <c r="D96" s="117" t="s">
        <v>1607</v>
      </c>
      <c r="E96" s="115" t="b">
        <v>0</v>
      </c>
      <c r="F96" s="115" t="s">
        <v>530</v>
      </c>
      <c r="G96" s="115" t="s">
        <v>2114</v>
      </c>
      <c r="H96" s="115" t="s">
        <v>2113</v>
      </c>
      <c r="I96" s="117" t="s">
        <v>2138</v>
      </c>
      <c r="J96" s="118">
        <v>-16.239588699999999</v>
      </c>
      <c r="K96" s="118">
        <v>-72.236378999999999</v>
      </c>
      <c r="L96" s="117">
        <v>40220</v>
      </c>
      <c r="M96" s="117">
        <v>40520</v>
      </c>
    </row>
    <row r="97" spans="1:13" x14ac:dyDescent="0.25">
      <c r="A97" s="120">
        <v>96</v>
      </c>
      <c r="B97" s="120">
        <v>8</v>
      </c>
      <c r="C97" s="117" t="str">
        <f>_xlfn.XLOOKUP(B97,dimUniversidades!$A:$A,dimUniversidades!$B:$B,"(sin universidad)")</f>
        <v>Universidad Nacional de San Agustín de Arequipa</v>
      </c>
      <c r="D97" s="117" t="s">
        <v>1570</v>
      </c>
      <c r="E97" s="115" t="b">
        <v>0</v>
      </c>
      <c r="F97" s="115" t="s">
        <v>530</v>
      </c>
      <c r="G97" s="115" t="s">
        <v>2114</v>
      </c>
      <c r="H97" s="115" t="s">
        <v>2113</v>
      </c>
      <c r="I97" s="117" t="s">
        <v>2137</v>
      </c>
      <c r="J97" s="118">
        <v>-16.239588699999999</v>
      </c>
      <c r="K97" s="118">
        <v>-72.236378999999999</v>
      </c>
      <c r="L97" s="117">
        <v>40220</v>
      </c>
      <c r="M97" s="117">
        <v>40520</v>
      </c>
    </row>
    <row r="98" spans="1:13" x14ac:dyDescent="0.25">
      <c r="A98" s="120">
        <v>97</v>
      </c>
      <c r="B98" s="120">
        <v>8</v>
      </c>
      <c r="C98" s="117" t="str">
        <f>_xlfn.XLOOKUP(B98,dimUniversidades!$A:$A,dimUniversidades!$B:$B,"(sin universidad)")</f>
        <v>Universidad Nacional de San Agustín de Arequipa</v>
      </c>
      <c r="D98" s="117" t="s">
        <v>599</v>
      </c>
      <c r="E98" s="115" t="b">
        <v>0</v>
      </c>
      <c r="F98" s="115" t="s">
        <v>530</v>
      </c>
      <c r="G98" s="115" t="s">
        <v>2131</v>
      </c>
      <c r="H98" s="115" t="s">
        <v>2130</v>
      </c>
      <c r="I98" s="117" t="s">
        <v>2136</v>
      </c>
      <c r="J98" s="118">
        <v>-17.020633700000001</v>
      </c>
      <c r="K98" s="118">
        <v>-72.017186199999998</v>
      </c>
      <c r="L98" s="117">
        <v>40701</v>
      </c>
      <c r="M98" s="117">
        <v>40701</v>
      </c>
    </row>
    <row r="99" spans="1:13" x14ac:dyDescent="0.25">
      <c r="A99" s="120">
        <v>98</v>
      </c>
      <c r="B99" s="120">
        <v>8</v>
      </c>
      <c r="C99" s="117" t="str">
        <f>_xlfn.XLOOKUP(B99,dimUniversidades!$A:$A,dimUniversidades!$B:$B,"(sin universidad)")</f>
        <v>Universidad Nacional de San Agustín de Arequipa</v>
      </c>
      <c r="D99" s="117" t="s">
        <v>1361</v>
      </c>
      <c r="E99" s="115" t="b">
        <v>0</v>
      </c>
      <c r="F99" s="115" t="s">
        <v>530</v>
      </c>
      <c r="G99" s="115" t="s">
        <v>2131</v>
      </c>
      <c r="H99" s="115" t="s">
        <v>2130</v>
      </c>
      <c r="I99" s="117" t="s">
        <v>2135</v>
      </c>
      <c r="J99" s="118">
        <v>-17.020633700000001</v>
      </c>
      <c r="K99" s="118">
        <v>-72.017186199999998</v>
      </c>
      <c r="L99" s="117">
        <v>40701</v>
      </c>
      <c r="M99" s="117">
        <v>40701</v>
      </c>
    </row>
    <row r="100" spans="1:13" x14ac:dyDescent="0.25">
      <c r="A100" s="120">
        <v>99</v>
      </c>
      <c r="B100" s="120">
        <v>8</v>
      </c>
      <c r="C100" s="117" t="str">
        <f>_xlfn.XLOOKUP(B100,dimUniversidades!$A:$A,dimUniversidades!$B:$B,"(sin universidad)")</f>
        <v>Universidad Nacional de San Agustín de Arequipa</v>
      </c>
      <c r="D100" s="117" t="s">
        <v>1497</v>
      </c>
      <c r="E100" s="115" t="b">
        <v>0</v>
      </c>
      <c r="F100" s="115" t="s">
        <v>530</v>
      </c>
      <c r="G100" s="115" t="s">
        <v>2131</v>
      </c>
      <c r="H100" s="115" t="s">
        <v>2130</v>
      </c>
      <c r="I100" s="117" t="s">
        <v>2134</v>
      </c>
      <c r="J100" s="118">
        <v>-17.020633700000001</v>
      </c>
      <c r="K100" s="118">
        <v>-72.017186199999998</v>
      </c>
      <c r="L100" s="117">
        <v>40701</v>
      </c>
      <c r="M100" s="117">
        <v>40701</v>
      </c>
    </row>
    <row r="101" spans="1:13" x14ac:dyDescent="0.25">
      <c r="A101" s="120">
        <v>100</v>
      </c>
      <c r="B101" s="120">
        <v>8</v>
      </c>
      <c r="C101" s="117" t="str">
        <f>_xlfn.XLOOKUP(B101,dimUniversidades!$A:$A,dimUniversidades!$B:$B,"(sin universidad)")</f>
        <v>Universidad Nacional de San Agustín de Arequipa</v>
      </c>
      <c r="D101" s="117" t="s">
        <v>1495</v>
      </c>
      <c r="E101" s="115" t="b">
        <v>0</v>
      </c>
      <c r="F101" s="115" t="s">
        <v>530</v>
      </c>
      <c r="G101" s="115" t="s">
        <v>2131</v>
      </c>
      <c r="H101" s="115" t="s">
        <v>2130</v>
      </c>
      <c r="I101" s="117" t="s">
        <v>2133</v>
      </c>
      <c r="J101" s="118">
        <v>-17.020633700000001</v>
      </c>
      <c r="K101" s="118">
        <v>-72.017186199999998</v>
      </c>
      <c r="L101" s="117">
        <v>40701</v>
      </c>
      <c r="M101" s="117">
        <v>40701</v>
      </c>
    </row>
    <row r="102" spans="1:13" x14ac:dyDescent="0.25">
      <c r="A102" s="120">
        <v>101</v>
      </c>
      <c r="B102" s="120">
        <v>8</v>
      </c>
      <c r="C102" s="117" t="str">
        <f>_xlfn.XLOOKUP(B102,dimUniversidades!$A:$A,dimUniversidades!$B:$B,"(sin universidad)")</f>
        <v>Universidad Nacional de San Agustín de Arequipa</v>
      </c>
      <c r="D102" s="117" t="s">
        <v>2132</v>
      </c>
      <c r="E102" s="115" t="b">
        <v>0</v>
      </c>
      <c r="F102" s="115" t="s">
        <v>530</v>
      </c>
      <c r="G102" s="115" t="s">
        <v>2131</v>
      </c>
      <c r="H102" s="115" t="s">
        <v>2130</v>
      </c>
      <c r="I102" s="117" t="s">
        <v>2129</v>
      </c>
      <c r="J102" s="118">
        <v>-17.020633700000001</v>
      </c>
      <c r="K102" s="118">
        <v>-72.017186199999998</v>
      </c>
      <c r="L102" s="117">
        <v>40701</v>
      </c>
      <c r="M102" s="117">
        <v>40701</v>
      </c>
    </row>
    <row r="103" spans="1:13" x14ac:dyDescent="0.25">
      <c r="A103" s="120">
        <v>102</v>
      </c>
      <c r="B103" s="120">
        <v>9</v>
      </c>
      <c r="C103" s="117" t="str">
        <f>_xlfn.XLOOKUP(B103,dimUniversidades!$A:$A,dimUniversidades!$B:$B,"(sin universidad)")</f>
        <v>Universidad Nacional Agraria de la Selva</v>
      </c>
      <c r="D103" s="117" t="s">
        <v>324</v>
      </c>
      <c r="E103" s="115" t="b">
        <v>1</v>
      </c>
      <c r="F103" s="115" t="s">
        <v>1128</v>
      </c>
      <c r="G103" s="115" t="s">
        <v>1971</v>
      </c>
      <c r="H103" s="115" t="s">
        <v>2065</v>
      </c>
      <c r="I103" s="117" t="s">
        <v>2128</v>
      </c>
      <c r="J103" s="118">
        <v>-9.3140102126392907</v>
      </c>
      <c r="K103" s="118">
        <v>-75.996625984344206</v>
      </c>
      <c r="L103" s="117">
        <v>90601</v>
      </c>
      <c r="M103" s="117">
        <v>100601</v>
      </c>
    </row>
    <row r="104" spans="1:13" x14ac:dyDescent="0.25">
      <c r="A104" s="120">
        <v>103</v>
      </c>
      <c r="B104" s="120">
        <v>10</v>
      </c>
      <c r="C104" s="117" t="str">
        <f>_xlfn.XLOOKUP(B104,dimUniversidades!$A:$A,dimUniversidades!$B:$B,"(sin universidad)")</f>
        <v>Universidad Privada Peruano Alemana S.A.C.</v>
      </c>
      <c r="D104" s="117" t="s">
        <v>324</v>
      </c>
      <c r="E104" s="115" t="b">
        <v>1</v>
      </c>
      <c r="F104" s="115" t="s">
        <v>385</v>
      </c>
      <c r="G104" s="115" t="s">
        <v>385</v>
      </c>
      <c r="H104" s="115" t="s">
        <v>1529</v>
      </c>
      <c r="I104" s="117" t="s">
        <v>2127</v>
      </c>
      <c r="J104" s="118">
        <v>-12.166198157559901</v>
      </c>
      <c r="K104" s="118">
        <v>-77.023668185995703</v>
      </c>
      <c r="L104" s="117">
        <v>140108</v>
      </c>
      <c r="M104" s="117">
        <v>150108</v>
      </c>
    </row>
    <row r="105" spans="1:13" x14ac:dyDescent="0.25">
      <c r="A105" s="120">
        <v>104</v>
      </c>
      <c r="B105" s="120">
        <v>11</v>
      </c>
      <c r="C105" s="117" t="str">
        <f>_xlfn.XLOOKUP(B105,dimUniversidades!$A:$A,dimUniversidades!$B:$B,"(sin universidad)")</f>
        <v>Universidad Andina del Cusco</v>
      </c>
      <c r="D105" s="117" t="s">
        <v>324</v>
      </c>
      <c r="E105" s="115" t="b">
        <v>1</v>
      </c>
      <c r="F105" s="115" t="s">
        <v>374</v>
      </c>
      <c r="G105" s="115" t="s">
        <v>374</v>
      </c>
      <c r="H105" s="115" t="s">
        <v>1485</v>
      </c>
      <c r="I105" s="117" t="s">
        <v>2126</v>
      </c>
      <c r="J105" s="118">
        <v>-13.5372279810642</v>
      </c>
      <c r="K105" s="118">
        <v>-71.903917678538903</v>
      </c>
      <c r="L105" s="117">
        <v>70104</v>
      </c>
      <c r="M105" s="117">
        <v>80104</v>
      </c>
    </row>
    <row r="106" spans="1:13" x14ac:dyDescent="0.25">
      <c r="A106" s="120">
        <v>105</v>
      </c>
      <c r="B106" s="120">
        <v>11</v>
      </c>
      <c r="C106" s="117" t="str">
        <f>_xlfn.XLOOKUP(B106,dimUniversidades!$A:$A,dimUniversidades!$B:$B,"(sin universidad)")</f>
        <v>Universidad Andina del Cusco</v>
      </c>
      <c r="D106" s="117" t="s">
        <v>399</v>
      </c>
      <c r="E106" s="115" t="b">
        <v>0</v>
      </c>
      <c r="F106" s="115" t="s">
        <v>374</v>
      </c>
      <c r="G106" s="115" t="s">
        <v>374</v>
      </c>
      <c r="H106" s="115" t="s">
        <v>374</v>
      </c>
      <c r="I106" s="117" t="s">
        <v>2125</v>
      </c>
      <c r="J106" s="118">
        <v>-13.519683109334601</v>
      </c>
      <c r="K106" s="118">
        <v>-71.977088743551306</v>
      </c>
      <c r="L106" s="117">
        <v>70101</v>
      </c>
      <c r="M106" s="117">
        <v>80101</v>
      </c>
    </row>
    <row r="107" spans="1:13" x14ac:dyDescent="0.25">
      <c r="A107" s="120">
        <v>106</v>
      </c>
      <c r="B107" s="120">
        <v>11</v>
      </c>
      <c r="C107" s="117" t="str">
        <f>_xlfn.XLOOKUP(B107,dimUniversidades!$A:$A,dimUniversidades!$B:$B,"(sin universidad)")</f>
        <v>Universidad Andina del Cusco</v>
      </c>
      <c r="D107" s="117" t="s">
        <v>735</v>
      </c>
      <c r="E107" s="115" t="b">
        <v>0</v>
      </c>
      <c r="F107" s="115" t="s">
        <v>374</v>
      </c>
      <c r="G107" s="115" t="s">
        <v>374</v>
      </c>
      <c r="H107" s="115" t="s">
        <v>1485</v>
      </c>
      <c r="I107" s="117" t="s">
        <v>2124</v>
      </c>
      <c r="J107" s="118">
        <v>-13.5217517459491</v>
      </c>
      <c r="K107" s="118">
        <v>-71.965122305279493</v>
      </c>
      <c r="L107" s="117">
        <v>70104</v>
      </c>
      <c r="M107" s="117">
        <v>80104</v>
      </c>
    </row>
    <row r="108" spans="1:13" x14ac:dyDescent="0.25">
      <c r="A108" s="120">
        <v>107</v>
      </c>
      <c r="B108" s="120">
        <v>11</v>
      </c>
      <c r="C108" s="117" t="str">
        <f>_xlfn.XLOOKUP(B108,dimUniversidades!$A:$A,dimUniversidades!$B:$B,"(sin universidad)")</f>
        <v>Universidad Andina del Cusco</v>
      </c>
      <c r="D108" s="117" t="s">
        <v>1117</v>
      </c>
      <c r="E108" s="115" t="b">
        <v>0</v>
      </c>
      <c r="F108" s="115" t="s">
        <v>374</v>
      </c>
      <c r="G108" s="115" t="s">
        <v>374</v>
      </c>
      <c r="H108" s="115" t="s">
        <v>2123</v>
      </c>
      <c r="I108" s="117" t="s">
        <v>2122</v>
      </c>
      <c r="J108" s="118">
        <v>-13.529522099999999</v>
      </c>
      <c r="K108" s="118">
        <v>-71.970697900000005</v>
      </c>
      <c r="L108" s="117">
        <v>70106</v>
      </c>
      <c r="M108" s="117">
        <v>80106</v>
      </c>
    </row>
    <row r="109" spans="1:13" x14ac:dyDescent="0.25">
      <c r="A109" s="120">
        <v>108</v>
      </c>
      <c r="B109" s="120">
        <v>11</v>
      </c>
      <c r="C109" s="117" t="str">
        <f>_xlfn.XLOOKUP(B109,dimUniversidades!$A:$A,dimUniversidades!$B:$B,"(sin universidad)")</f>
        <v>Universidad Andina del Cusco</v>
      </c>
      <c r="D109" s="117" t="s">
        <v>579</v>
      </c>
      <c r="E109" s="115" t="b">
        <v>0</v>
      </c>
      <c r="F109" s="115" t="s">
        <v>374</v>
      </c>
      <c r="G109" s="115" t="s">
        <v>577</v>
      </c>
      <c r="H109" s="115" t="s">
        <v>576</v>
      </c>
      <c r="I109" s="117" t="s">
        <v>578</v>
      </c>
      <c r="J109" s="118">
        <v>-14.280732499999999</v>
      </c>
      <c r="K109" s="118">
        <v>-71.220978700000003</v>
      </c>
      <c r="L109" s="117">
        <v>70601</v>
      </c>
      <c r="M109" s="117">
        <v>80601</v>
      </c>
    </row>
    <row r="110" spans="1:13" x14ac:dyDescent="0.25">
      <c r="A110" s="120">
        <v>109</v>
      </c>
      <c r="B110" s="120">
        <v>11</v>
      </c>
      <c r="C110" s="117" t="str">
        <f>_xlfn.XLOOKUP(B110,dimUniversidades!$A:$A,dimUniversidades!$B:$B,"(sin universidad)")</f>
        <v>Universidad Andina del Cusco</v>
      </c>
      <c r="D110" s="117" t="s">
        <v>1160</v>
      </c>
      <c r="E110" s="115" t="b">
        <v>0</v>
      </c>
      <c r="F110" s="115" t="s">
        <v>374</v>
      </c>
      <c r="G110" s="115" t="s">
        <v>1262</v>
      </c>
      <c r="H110" s="115" t="s">
        <v>686</v>
      </c>
      <c r="I110" s="117" t="s">
        <v>2121</v>
      </c>
      <c r="J110" s="118">
        <v>-12.869347899999999</v>
      </c>
      <c r="K110" s="118">
        <v>-72.699401199999997</v>
      </c>
      <c r="L110" s="117">
        <v>70901</v>
      </c>
      <c r="M110" s="117">
        <v>80901</v>
      </c>
    </row>
    <row r="111" spans="1:13" x14ac:dyDescent="0.25">
      <c r="A111" s="120">
        <v>110</v>
      </c>
      <c r="B111" s="120">
        <v>11</v>
      </c>
      <c r="C111" s="117" t="str">
        <f>_xlfn.XLOOKUP(B111,dimUniversidades!$A:$A,dimUniversidades!$B:$B,"(sin universidad)")</f>
        <v>Universidad Andina del Cusco</v>
      </c>
      <c r="D111" s="117" t="s">
        <v>599</v>
      </c>
      <c r="E111" s="115" t="b">
        <v>0</v>
      </c>
      <c r="F111" s="115" t="s">
        <v>597</v>
      </c>
      <c r="G111" s="115" t="s">
        <v>596</v>
      </c>
      <c r="H111" s="115" t="s">
        <v>596</v>
      </c>
      <c r="I111" s="117" t="s">
        <v>2120</v>
      </c>
      <c r="J111" s="118">
        <v>-12.5937088</v>
      </c>
      <c r="K111" s="118">
        <v>-69.181066200000004</v>
      </c>
      <c r="L111" s="117">
        <v>160101</v>
      </c>
      <c r="M111" s="117">
        <v>170101</v>
      </c>
    </row>
    <row r="112" spans="1:13" x14ac:dyDescent="0.25">
      <c r="A112" s="120">
        <v>111</v>
      </c>
      <c r="B112" s="120">
        <v>12</v>
      </c>
      <c r="C112" s="117" t="str">
        <f>_xlfn.XLOOKUP(B112,dimUniversidades!$A:$A,dimUniversidades!$B:$B,"(sin universidad)")</f>
        <v>Universidad Católica de Santa María</v>
      </c>
      <c r="D112" s="117" t="s">
        <v>324</v>
      </c>
      <c r="E112" s="115" t="b">
        <v>1</v>
      </c>
      <c r="F112" s="115" t="s">
        <v>530</v>
      </c>
      <c r="G112" s="115" t="s">
        <v>530</v>
      </c>
      <c r="H112" s="115" t="s">
        <v>530</v>
      </c>
      <c r="I112" s="117" t="s">
        <v>2119</v>
      </c>
      <c r="J112" s="118">
        <v>-16.406178600000001</v>
      </c>
      <c r="K112" s="118">
        <v>-71.547629799999996</v>
      </c>
      <c r="L112" s="117">
        <v>40101</v>
      </c>
      <c r="M112" s="117">
        <v>40101</v>
      </c>
    </row>
    <row r="113" spans="1:13" x14ac:dyDescent="0.25">
      <c r="A113" s="120">
        <v>112</v>
      </c>
      <c r="B113" s="120">
        <v>12</v>
      </c>
      <c r="C113" s="117" t="str">
        <f>_xlfn.XLOOKUP(B113,dimUniversidades!$A:$A,dimUniversidades!$B:$B,"(sin universidad)")</f>
        <v>Universidad Católica de Santa María</v>
      </c>
      <c r="D113" s="117" t="s">
        <v>399</v>
      </c>
      <c r="E113" s="115" t="b">
        <v>0</v>
      </c>
      <c r="F113" s="115" t="s">
        <v>530</v>
      </c>
      <c r="G113" s="115" t="s">
        <v>530</v>
      </c>
      <c r="H113" s="115" t="s">
        <v>530</v>
      </c>
      <c r="I113" s="117" t="s">
        <v>2118</v>
      </c>
      <c r="J113" s="118">
        <v>-16.4050088396497</v>
      </c>
      <c r="K113" s="118">
        <v>-71.549804272387306</v>
      </c>
      <c r="L113" s="117">
        <v>40101</v>
      </c>
      <c r="M113" s="117">
        <v>40101</v>
      </c>
    </row>
    <row r="114" spans="1:13" x14ac:dyDescent="0.25">
      <c r="A114" s="120">
        <v>113</v>
      </c>
      <c r="B114" s="120">
        <v>12</v>
      </c>
      <c r="C114" s="117" t="str">
        <f>_xlfn.XLOOKUP(B114,dimUniversidades!$A:$A,dimUniversidades!$B:$B,"(sin universidad)")</f>
        <v>Universidad Católica de Santa María</v>
      </c>
      <c r="D114" s="117" t="s">
        <v>735</v>
      </c>
      <c r="E114" s="115" t="b">
        <v>0</v>
      </c>
      <c r="F114" s="115" t="s">
        <v>530</v>
      </c>
      <c r="G114" s="115" t="s">
        <v>530</v>
      </c>
      <c r="H114" s="115" t="s">
        <v>2117</v>
      </c>
      <c r="I114" s="117" t="s">
        <v>2116</v>
      </c>
      <c r="J114" s="118">
        <v>-16.451892179413701</v>
      </c>
      <c r="K114" s="118">
        <v>-71.564288844180297</v>
      </c>
      <c r="L114" s="117">
        <v>40127</v>
      </c>
      <c r="M114" s="117">
        <v>40107</v>
      </c>
    </row>
    <row r="115" spans="1:13" x14ac:dyDescent="0.25">
      <c r="A115" s="120">
        <v>114</v>
      </c>
      <c r="B115" s="120">
        <v>12</v>
      </c>
      <c r="C115" s="117" t="str">
        <f>_xlfn.XLOOKUP(B115,dimUniversidades!$A:$A,dimUniversidades!$B:$B,"(sin universidad)")</f>
        <v>Universidad Católica de Santa María</v>
      </c>
      <c r="D115" s="117" t="s">
        <v>500</v>
      </c>
      <c r="E115" s="115" t="b">
        <v>0</v>
      </c>
      <c r="F115" s="115" t="s">
        <v>530</v>
      </c>
      <c r="G115" s="115" t="s">
        <v>530</v>
      </c>
      <c r="H115" s="115" t="s">
        <v>530</v>
      </c>
      <c r="I115" s="117" t="s">
        <v>2115</v>
      </c>
      <c r="J115" s="118">
        <v>-16.420797199999999</v>
      </c>
      <c r="K115" s="118">
        <v>-71.549682599999997</v>
      </c>
      <c r="L115" s="117">
        <v>40101</v>
      </c>
      <c r="M115" s="117">
        <v>40101</v>
      </c>
    </row>
    <row r="116" spans="1:13" x14ac:dyDescent="0.25">
      <c r="A116" s="120">
        <v>115</v>
      </c>
      <c r="B116" s="120">
        <v>12</v>
      </c>
      <c r="C116" s="117" t="str">
        <f>_xlfn.XLOOKUP(B116,dimUniversidades!$A:$A,dimUniversidades!$B:$B,"(sin universidad)")</f>
        <v>Universidad Católica de Santa María</v>
      </c>
      <c r="D116" s="117" t="s">
        <v>1117</v>
      </c>
      <c r="E116" s="115" t="b">
        <v>0</v>
      </c>
      <c r="F116" s="115" t="s">
        <v>530</v>
      </c>
      <c r="G116" s="115" t="s">
        <v>2114</v>
      </c>
      <c r="H116" s="115" t="s">
        <v>2113</v>
      </c>
      <c r="I116" s="117" t="s">
        <v>2112</v>
      </c>
      <c r="J116" s="118">
        <v>-16.239588699999999</v>
      </c>
      <c r="K116" s="118">
        <v>-72.236378999999999</v>
      </c>
      <c r="L116" s="117">
        <v>40220</v>
      </c>
      <c r="M116" s="117">
        <v>40520</v>
      </c>
    </row>
    <row r="117" spans="1:13" x14ac:dyDescent="0.25">
      <c r="A117" s="120">
        <v>116</v>
      </c>
      <c r="B117" s="120">
        <v>12</v>
      </c>
      <c r="C117" s="117" t="str">
        <f>_xlfn.XLOOKUP(B117,dimUniversidades!$A:$A,dimUniversidades!$B:$B,"(sin universidad)")</f>
        <v>Universidad Católica de Santa María</v>
      </c>
      <c r="D117" s="117" t="s">
        <v>1230</v>
      </c>
      <c r="E117" s="115" t="b">
        <v>0</v>
      </c>
      <c r="F117" s="115" t="s">
        <v>530</v>
      </c>
      <c r="G117" s="115" t="s">
        <v>530</v>
      </c>
      <c r="H117" s="115" t="s">
        <v>530</v>
      </c>
      <c r="I117" s="117" t="s">
        <v>2111</v>
      </c>
      <c r="J117" s="118">
        <v>-16.403794900000001</v>
      </c>
      <c r="K117" s="118">
        <v>-71.545828799999995</v>
      </c>
      <c r="L117" s="117">
        <v>40101</v>
      </c>
      <c r="M117" s="117">
        <v>40101</v>
      </c>
    </row>
    <row r="118" spans="1:13" x14ac:dyDescent="0.25">
      <c r="A118" s="120">
        <v>117</v>
      </c>
      <c r="B118" s="120">
        <v>12</v>
      </c>
      <c r="C118" s="117" t="str">
        <f>_xlfn.XLOOKUP(B118,dimUniversidades!$A:$A,dimUniversidades!$B:$B,"(sin universidad)")</f>
        <v>Universidad Católica de Santa María</v>
      </c>
      <c r="D118" s="117" t="s">
        <v>579</v>
      </c>
      <c r="E118" s="115" t="b">
        <v>0</v>
      </c>
      <c r="F118" s="115" t="s">
        <v>385</v>
      </c>
      <c r="G118" s="115" t="s">
        <v>385</v>
      </c>
      <c r="H118" s="115" t="s">
        <v>1226</v>
      </c>
      <c r="I118" s="117" t="s">
        <v>2110</v>
      </c>
      <c r="J118" s="118">
        <v>-12.0977994</v>
      </c>
      <c r="K118" s="118">
        <v>-77.014311800000002</v>
      </c>
      <c r="L118" s="117">
        <v>140124</v>
      </c>
      <c r="M118" s="117">
        <v>150131</v>
      </c>
    </row>
    <row r="119" spans="1:13" x14ac:dyDescent="0.25">
      <c r="A119" s="120">
        <v>118</v>
      </c>
      <c r="B119" s="120">
        <v>13</v>
      </c>
      <c r="C119" s="117" t="str">
        <f>_xlfn.XLOOKUP(B119,dimUniversidades!$A:$A,dimUniversidades!$B:$B,"(sin universidad)")</f>
        <v>Universidad César Vallejo S.A.C.</v>
      </c>
      <c r="D119" s="117" t="s">
        <v>324</v>
      </c>
      <c r="E119" s="115" t="b">
        <v>1</v>
      </c>
      <c r="F119" s="115" t="s">
        <v>397</v>
      </c>
      <c r="G119" s="115" t="s">
        <v>396</v>
      </c>
      <c r="H119" s="115" t="s">
        <v>1887</v>
      </c>
      <c r="I119" s="117" t="s">
        <v>2109</v>
      </c>
      <c r="J119" s="118">
        <v>-8.1293904000000001</v>
      </c>
      <c r="K119" s="118">
        <v>-79.043321300000002</v>
      </c>
      <c r="L119" s="117">
        <v>120107</v>
      </c>
      <c r="M119" s="117">
        <v>130111</v>
      </c>
    </row>
    <row r="120" spans="1:13" x14ac:dyDescent="0.25">
      <c r="A120" s="120">
        <v>119</v>
      </c>
      <c r="B120" s="120">
        <v>13</v>
      </c>
      <c r="C120" s="117" t="str">
        <f>_xlfn.XLOOKUP(B120,dimUniversidades!$A:$A,dimUniversidades!$B:$B,"(sin universidad)")</f>
        <v>Universidad César Vallejo S.A.C.</v>
      </c>
      <c r="D120" s="117" t="s">
        <v>399</v>
      </c>
      <c r="E120" s="115" t="b">
        <v>0</v>
      </c>
      <c r="F120" s="115" t="s">
        <v>397</v>
      </c>
      <c r="G120" s="115" t="s">
        <v>396</v>
      </c>
      <c r="H120" s="115" t="s">
        <v>1887</v>
      </c>
      <c r="I120" s="117" t="s">
        <v>2108</v>
      </c>
      <c r="J120" s="118">
        <v>-8.1299496739458696</v>
      </c>
      <c r="K120" s="118">
        <v>-79.043105346627001</v>
      </c>
      <c r="L120" s="117">
        <v>120107</v>
      </c>
      <c r="M120" s="117">
        <v>130111</v>
      </c>
    </row>
    <row r="121" spans="1:13" x14ac:dyDescent="0.25">
      <c r="A121" s="120">
        <v>120</v>
      </c>
      <c r="B121" s="120">
        <v>13</v>
      </c>
      <c r="C121" s="117" t="str">
        <f>_xlfn.XLOOKUP(B121,dimUniversidades!$A:$A,dimUniversidades!$B:$B,"(sin universidad)")</f>
        <v>Universidad César Vallejo S.A.C.</v>
      </c>
      <c r="D121" s="117" t="s">
        <v>735</v>
      </c>
      <c r="E121" s="115" t="b">
        <v>0</v>
      </c>
      <c r="F121" s="115" t="s">
        <v>397</v>
      </c>
      <c r="G121" s="115" t="s">
        <v>396</v>
      </c>
      <c r="H121" s="115" t="s">
        <v>396</v>
      </c>
      <c r="I121" s="117" t="s">
        <v>2107</v>
      </c>
      <c r="J121" s="118">
        <v>-8.1182470999999996</v>
      </c>
      <c r="K121" s="118">
        <v>-79.033678399999999</v>
      </c>
      <c r="L121" s="117">
        <v>120101</v>
      </c>
      <c r="M121" s="117">
        <v>130101</v>
      </c>
    </row>
    <row r="122" spans="1:13" x14ac:dyDescent="0.25">
      <c r="A122" s="120">
        <v>121</v>
      </c>
      <c r="B122" s="120">
        <v>13</v>
      </c>
      <c r="C122" s="117" t="str">
        <f>_xlfn.XLOOKUP(B122,dimUniversidades!$A:$A,dimUniversidades!$B:$B,"(sin universidad)")</f>
        <v>Universidad César Vallejo S.A.C.</v>
      </c>
      <c r="D122" s="117" t="s">
        <v>500</v>
      </c>
      <c r="E122" s="115" t="b">
        <v>0</v>
      </c>
      <c r="F122" s="115" t="s">
        <v>397</v>
      </c>
      <c r="G122" s="115" t="s">
        <v>396</v>
      </c>
      <c r="H122" s="115" t="s">
        <v>1887</v>
      </c>
      <c r="I122" s="117" t="s">
        <v>2106</v>
      </c>
      <c r="J122" s="118">
        <v>-8.1296463431243993</v>
      </c>
      <c r="K122" s="118">
        <v>-79.042745185844396</v>
      </c>
      <c r="L122" s="117">
        <v>120107</v>
      </c>
      <c r="M122" s="117">
        <v>130111</v>
      </c>
    </row>
    <row r="123" spans="1:13" x14ac:dyDescent="0.25">
      <c r="A123" s="120">
        <v>122</v>
      </c>
      <c r="B123" s="120">
        <v>13</v>
      </c>
      <c r="C123" s="117" t="str">
        <f>_xlfn.XLOOKUP(B123,dimUniversidades!$A:$A,dimUniversidades!$B:$B,"(sin universidad)")</f>
        <v>Universidad César Vallejo S.A.C.</v>
      </c>
      <c r="D123" s="117" t="s">
        <v>1117</v>
      </c>
      <c r="E123" s="115" t="b">
        <v>0</v>
      </c>
      <c r="F123" s="115" t="s">
        <v>397</v>
      </c>
      <c r="G123" s="115" t="s">
        <v>396</v>
      </c>
      <c r="H123" s="115" t="s">
        <v>1256</v>
      </c>
      <c r="I123" s="117" t="s">
        <v>2105</v>
      </c>
      <c r="J123" s="118">
        <v>-8.1665617280014597</v>
      </c>
      <c r="K123" s="118">
        <v>-79.007635339490903</v>
      </c>
      <c r="L123" s="117">
        <v>120104</v>
      </c>
      <c r="M123" s="117">
        <v>130107</v>
      </c>
    </row>
    <row r="124" spans="1:13" x14ac:dyDescent="0.25">
      <c r="A124" s="120">
        <v>123</v>
      </c>
      <c r="B124" s="120">
        <v>13</v>
      </c>
      <c r="C124" s="117" t="str">
        <f>_xlfn.XLOOKUP(B124,dimUniversidades!$A:$A,dimUniversidades!$B:$B,"(sin universidad)")</f>
        <v>Universidad César Vallejo S.A.C.</v>
      </c>
      <c r="D124" s="117" t="s">
        <v>579</v>
      </c>
      <c r="E124" s="115" t="b">
        <v>0</v>
      </c>
      <c r="F124" s="115" t="s">
        <v>622</v>
      </c>
      <c r="G124" s="115" t="s">
        <v>622</v>
      </c>
      <c r="H124" s="115" t="s">
        <v>1892</v>
      </c>
      <c r="I124" s="117" t="s">
        <v>2104</v>
      </c>
      <c r="J124" s="118">
        <v>-5.1749749596268098</v>
      </c>
      <c r="K124" s="118">
        <v>-80.661366729916395</v>
      </c>
      <c r="L124" s="117">
        <v>190115</v>
      </c>
      <c r="M124" s="117">
        <v>200115</v>
      </c>
    </row>
    <row r="125" spans="1:13" x14ac:dyDescent="0.25">
      <c r="A125" s="120">
        <v>124</v>
      </c>
      <c r="B125" s="120">
        <v>13</v>
      </c>
      <c r="C125" s="117" t="str">
        <f>_xlfn.XLOOKUP(B125,dimUniversidades!$A:$A,dimUniversidades!$B:$B,"(sin universidad)")</f>
        <v>Universidad César Vallejo S.A.C.</v>
      </c>
      <c r="D125" s="117" t="s">
        <v>1160</v>
      </c>
      <c r="E125" s="115" t="b">
        <v>0</v>
      </c>
      <c r="F125" s="115" t="s">
        <v>589</v>
      </c>
      <c r="G125" s="115" t="s">
        <v>1222</v>
      </c>
      <c r="H125" s="115" t="s">
        <v>1251</v>
      </c>
      <c r="I125" s="117" t="s">
        <v>2103</v>
      </c>
      <c r="J125" s="118">
        <v>-6.7867629999999997</v>
      </c>
      <c r="K125" s="118">
        <v>-79.879361000000003</v>
      </c>
      <c r="L125" s="117">
        <v>130110</v>
      </c>
      <c r="M125" s="117">
        <v>140112</v>
      </c>
    </row>
    <row r="126" spans="1:13" x14ac:dyDescent="0.25">
      <c r="A126" s="120">
        <v>125</v>
      </c>
      <c r="B126" s="120">
        <v>13</v>
      </c>
      <c r="C126" s="117" t="str">
        <f>_xlfn.XLOOKUP(B126,dimUniversidades!$A:$A,dimUniversidades!$B:$B,"(sin universidad)")</f>
        <v>Universidad César Vallejo S.A.C.</v>
      </c>
      <c r="D126" s="117" t="s">
        <v>599</v>
      </c>
      <c r="E126" s="115" t="b">
        <v>0</v>
      </c>
      <c r="F126" s="115" t="s">
        <v>1318</v>
      </c>
      <c r="G126" s="115" t="s">
        <v>1318</v>
      </c>
      <c r="H126" s="115" t="s">
        <v>2102</v>
      </c>
      <c r="I126" s="117" t="s">
        <v>2101</v>
      </c>
      <c r="J126" s="118">
        <v>-6.4636945097467002</v>
      </c>
      <c r="K126" s="118">
        <v>-76.427492042682601</v>
      </c>
      <c r="L126" s="117">
        <v>210604</v>
      </c>
      <c r="M126" s="117">
        <v>220903</v>
      </c>
    </row>
    <row r="127" spans="1:13" x14ac:dyDescent="0.25">
      <c r="A127" s="120">
        <v>126</v>
      </c>
      <c r="B127" s="120">
        <v>13</v>
      </c>
      <c r="C127" s="117" t="str">
        <f>_xlfn.XLOOKUP(B127,dimUniversidades!$A:$A,dimUniversidades!$B:$B,"(sin universidad)")</f>
        <v>Universidad César Vallejo S.A.C.</v>
      </c>
      <c r="D127" s="117" t="s">
        <v>1361</v>
      </c>
      <c r="E127" s="115" t="b">
        <v>0</v>
      </c>
      <c r="F127" s="115" t="s">
        <v>1318</v>
      </c>
      <c r="G127" s="115" t="s">
        <v>1318</v>
      </c>
      <c r="H127" s="115" t="s">
        <v>1329</v>
      </c>
      <c r="I127" s="117" t="s">
        <v>2100</v>
      </c>
      <c r="J127" s="118">
        <v>-6.4934231148499304</v>
      </c>
      <c r="K127" s="118">
        <v>-76.367499918099199</v>
      </c>
      <c r="L127" s="117">
        <v>210601</v>
      </c>
      <c r="M127" s="117">
        <v>220901</v>
      </c>
    </row>
    <row r="128" spans="1:13" x14ac:dyDescent="0.25">
      <c r="A128" s="120">
        <v>127</v>
      </c>
      <c r="B128" s="120">
        <v>13</v>
      </c>
      <c r="C128" s="117" t="str">
        <f>_xlfn.XLOOKUP(B128,dimUniversidades!$A:$A,dimUniversidades!$B:$B,"(sin universidad)")</f>
        <v>Universidad César Vallejo S.A.C.</v>
      </c>
      <c r="D128" s="117" t="s">
        <v>678</v>
      </c>
      <c r="E128" s="115" t="b">
        <v>0</v>
      </c>
      <c r="F128" s="115" t="s">
        <v>1134</v>
      </c>
      <c r="G128" s="115" t="s">
        <v>362</v>
      </c>
      <c r="H128" s="115" t="s">
        <v>361</v>
      </c>
      <c r="I128" s="117" t="s">
        <v>2099</v>
      </c>
      <c r="J128" s="118">
        <v>-9.1273856999999996</v>
      </c>
      <c r="K128" s="118">
        <v>-78.511251799999997</v>
      </c>
      <c r="L128" s="117">
        <v>21309</v>
      </c>
      <c r="M128" s="117">
        <v>21809</v>
      </c>
    </row>
    <row r="129" spans="1:13" x14ac:dyDescent="0.25">
      <c r="A129" s="120">
        <v>128</v>
      </c>
      <c r="B129" s="120">
        <v>13</v>
      </c>
      <c r="C129" s="117" t="str">
        <f>_xlfn.XLOOKUP(B129,dimUniversidades!$A:$A,dimUniversidades!$B:$B,"(sin universidad)")</f>
        <v>Universidad César Vallejo S.A.C.</v>
      </c>
      <c r="D129" s="117" t="s">
        <v>1707</v>
      </c>
      <c r="E129" s="115" t="b">
        <v>0</v>
      </c>
      <c r="F129" s="115" t="s">
        <v>1134</v>
      </c>
      <c r="G129" s="115" t="s">
        <v>362</v>
      </c>
      <c r="H129" s="115" t="s">
        <v>1168</v>
      </c>
      <c r="I129" s="117" t="s">
        <v>2098</v>
      </c>
      <c r="J129" s="118">
        <v>-9.0764917999999994</v>
      </c>
      <c r="K129" s="118">
        <v>-78.593687700000004</v>
      </c>
      <c r="L129" s="117">
        <v>21301</v>
      </c>
      <c r="M129" s="117">
        <v>21801</v>
      </c>
    </row>
    <row r="130" spans="1:13" x14ac:dyDescent="0.25">
      <c r="A130" s="120">
        <v>129</v>
      </c>
      <c r="B130" s="120">
        <v>13</v>
      </c>
      <c r="C130" s="117" t="str">
        <f>_xlfn.XLOOKUP(B130,dimUniversidades!$A:$A,dimUniversidades!$B:$B,"(sin universidad)")</f>
        <v>Universidad César Vallejo S.A.C.</v>
      </c>
      <c r="D130" s="117" t="s">
        <v>365</v>
      </c>
      <c r="E130" s="115" t="b">
        <v>0</v>
      </c>
      <c r="F130" s="115" t="s">
        <v>1134</v>
      </c>
      <c r="G130" s="115" t="s">
        <v>362</v>
      </c>
      <c r="H130" s="115" t="s">
        <v>361</v>
      </c>
      <c r="I130" s="117" t="s">
        <v>364</v>
      </c>
      <c r="J130" s="118">
        <v>-9.0633364000000007</v>
      </c>
      <c r="K130" s="118">
        <v>-78.589010999999999</v>
      </c>
      <c r="L130" s="117">
        <v>21309</v>
      </c>
      <c r="M130" s="117">
        <v>21809</v>
      </c>
    </row>
    <row r="131" spans="1:13" x14ac:dyDescent="0.25">
      <c r="A131" s="120">
        <v>130</v>
      </c>
      <c r="B131" s="120">
        <v>13</v>
      </c>
      <c r="C131" s="117" t="str">
        <f>_xlfn.XLOOKUP(B131,dimUniversidades!$A:$A,dimUniversidades!$B:$B,"(sin universidad)")</f>
        <v>Universidad César Vallejo S.A.C.</v>
      </c>
      <c r="D131" s="117" t="s">
        <v>392</v>
      </c>
      <c r="E131" s="115" t="b">
        <v>0</v>
      </c>
      <c r="F131" s="115" t="s">
        <v>385</v>
      </c>
      <c r="G131" s="115" t="s">
        <v>385</v>
      </c>
      <c r="H131" s="115" t="s">
        <v>384</v>
      </c>
      <c r="I131" s="117" t="s">
        <v>2097</v>
      </c>
      <c r="J131" s="118">
        <v>-11.955232799999999</v>
      </c>
      <c r="K131" s="118">
        <v>-77.068558499999995</v>
      </c>
      <c r="L131" s="117">
        <v>140142</v>
      </c>
      <c r="M131" s="117">
        <v>150117</v>
      </c>
    </row>
    <row r="132" spans="1:13" x14ac:dyDescent="0.25">
      <c r="A132" s="120">
        <v>131</v>
      </c>
      <c r="B132" s="120">
        <v>13</v>
      </c>
      <c r="C132" s="117" t="str">
        <f>_xlfn.XLOOKUP(B132,dimUniversidades!$A:$A,dimUniversidades!$B:$B,"(sin universidad)")</f>
        <v>Universidad César Vallejo S.A.C.</v>
      </c>
      <c r="D132" s="117" t="s">
        <v>1383</v>
      </c>
      <c r="E132" s="115" t="b">
        <v>0</v>
      </c>
      <c r="F132" s="115" t="s">
        <v>385</v>
      </c>
      <c r="G132" s="115" t="s">
        <v>385</v>
      </c>
      <c r="H132" s="115" t="s">
        <v>514</v>
      </c>
      <c r="I132" s="117" t="s">
        <v>2096</v>
      </c>
      <c r="J132" s="118">
        <v>-11.981492899999999</v>
      </c>
      <c r="K132" s="118">
        <v>-77.000166500000006</v>
      </c>
      <c r="L132" s="117">
        <v>140137</v>
      </c>
      <c r="M132" s="117">
        <v>150132</v>
      </c>
    </row>
    <row r="133" spans="1:13" x14ac:dyDescent="0.25">
      <c r="A133" s="120">
        <v>132</v>
      </c>
      <c r="B133" s="120">
        <v>13</v>
      </c>
      <c r="C133" s="117" t="str">
        <f>_xlfn.XLOOKUP(B133,dimUniversidades!$A:$A,dimUniversidades!$B:$B,"(sin universidad)")</f>
        <v>Universidad César Vallejo S.A.C.</v>
      </c>
      <c r="D133" s="117" t="s">
        <v>1733</v>
      </c>
      <c r="E133" s="115" t="b">
        <v>0</v>
      </c>
      <c r="F133" s="115" t="s">
        <v>385</v>
      </c>
      <c r="G133" s="115" t="s">
        <v>385</v>
      </c>
      <c r="H133" s="115" t="s">
        <v>1277</v>
      </c>
      <c r="I133" s="117" t="s">
        <v>2095</v>
      </c>
      <c r="J133" s="118">
        <v>-12.0230860464206</v>
      </c>
      <c r="K133" s="118">
        <v>-76.910432811639396</v>
      </c>
      <c r="L133" s="117">
        <v>140103</v>
      </c>
      <c r="M133" s="117">
        <v>150103</v>
      </c>
    </row>
    <row r="134" spans="1:13" x14ac:dyDescent="0.25">
      <c r="A134" s="120">
        <v>133</v>
      </c>
      <c r="B134" s="120">
        <v>13</v>
      </c>
      <c r="C134" s="117" t="str">
        <f>_xlfn.XLOOKUP(B134,dimUniversidades!$A:$A,dimUniversidades!$B:$B,"(sin universidad)")</f>
        <v>Universidad César Vallejo S.A.C.</v>
      </c>
      <c r="D134" s="117" t="s">
        <v>2094</v>
      </c>
      <c r="E134" s="115" t="b">
        <v>0</v>
      </c>
      <c r="F134" s="115" t="s">
        <v>385</v>
      </c>
      <c r="G134" s="115" t="s">
        <v>385</v>
      </c>
      <c r="H134" s="115" t="s">
        <v>384</v>
      </c>
      <c r="I134" s="117" t="s">
        <v>2093</v>
      </c>
      <c r="J134" s="118">
        <v>-11.9595337</v>
      </c>
      <c r="K134" s="118">
        <v>-77.064923500000006</v>
      </c>
      <c r="L134" s="117">
        <v>140142</v>
      </c>
      <c r="M134" s="117">
        <v>150117</v>
      </c>
    </row>
    <row r="135" spans="1:13" x14ac:dyDescent="0.25">
      <c r="A135" s="120">
        <v>134</v>
      </c>
      <c r="B135" s="120">
        <v>13</v>
      </c>
      <c r="C135" s="117" t="str">
        <f>_xlfn.XLOOKUP(B135,dimUniversidades!$A:$A,dimUniversidades!$B:$B,"(sin universidad)")</f>
        <v>Universidad César Vallejo S.A.C.</v>
      </c>
      <c r="D135" s="117" t="s">
        <v>1153</v>
      </c>
      <c r="E135" s="115" t="b">
        <v>0</v>
      </c>
      <c r="F135" s="115" t="s">
        <v>397</v>
      </c>
      <c r="G135" s="115" t="s">
        <v>2092</v>
      </c>
      <c r="H135" s="115" t="s">
        <v>2091</v>
      </c>
      <c r="I135" s="117" t="s">
        <v>2090</v>
      </c>
      <c r="J135" s="118">
        <v>-7.23226566951812</v>
      </c>
      <c r="K135" s="118">
        <v>-79.449984855108596</v>
      </c>
      <c r="L135" s="117">
        <v>120901</v>
      </c>
      <c r="M135" s="117">
        <v>130401</v>
      </c>
    </row>
    <row r="136" spans="1:13" x14ac:dyDescent="0.25">
      <c r="A136" s="120">
        <v>135</v>
      </c>
      <c r="B136" s="120">
        <v>13</v>
      </c>
      <c r="C136" s="117" t="str">
        <f>_xlfn.XLOOKUP(B136,dimUniversidades!$A:$A,dimUniversidades!$B:$B,"(sin universidad)")</f>
        <v>Universidad César Vallejo S.A.C.</v>
      </c>
      <c r="D136" s="117" t="s">
        <v>1148</v>
      </c>
      <c r="E136" s="115" t="b">
        <v>0</v>
      </c>
      <c r="F136" s="115" t="s">
        <v>1318</v>
      </c>
      <c r="G136" s="115" t="s">
        <v>1327</v>
      </c>
      <c r="H136" s="115" t="s">
        <v>1327</v>
      </c>
      <c r="I136" s="117" t="s">
        <v>2089</v>
      </c>
      <c r="J136" s="118">
        <v>-6.03039061785221</v>
      </c>
      <c r="K136" s="118">
        <v>-76.975958248040797</v>
      </c>
      <c r="L136" s="117">
        <v>210101</v>
      </c>
      <c r="M136" s="117">
        <v>220101</v>
      </c>
    </row>
    <row r="137" spans="1:13" x14ac:dyDescent="0.25">
      <c r="A137" s="120">
        <v>136</v>
      </c>
      <c r="B137" s="120">
        <v>13</v>
      </c>
      <c r="C137" s="117" t="str">
        <f>_xlfn.XLOOKUP(B137,dimUniversidades!$A:$A,dimUniversidades!$B:$B,"(sin universidad)")</f>
        <v>Universidad César Vallejo S.A.C.</v>
      </c>
      <c r="D137" s="117" t="s">
        <v>1967</v>
      </c>
      <c r="E137" s="115" t="b">
        <v>0</v>
      </c>
      <c r="F137" s="115" t="s">
        <v>1318</v>
      </c>
      <c r="G137" s="115" t="s">
        <v>1327</v>
      </c>
      <c r="H137" s="115" t="s">
        <v>1327</v>
      </c>
      <c r="I137" s="117" t="s">
        <v>2088</v>
      </c>
      <c r="J137" s="118">
        <v>-6.0304208840053803</v>
      </c>
      <c r="K137" s="118">
        <v>-76.972735192451495</v>
      </c>
      <c r="L137" s="117">
        <v>210101</v>
      </c>
      <c r="M137" s="117">
        <v>220101</v>
      </c>
    </row>
    <row r="138" spans="1:13" x14ac:dyDescent="0.25">
      <c r="A138" s="120">
        <v>137</v>
      </c>
      <c r="B138" s="120">
        <v>13</v>
      </c>
      <c r="C138" s="117" t="str">
        <f>_xlfn.XLOOKUP(B138,dimUniversidades!$A:$A,dimUniversidades!$B:$B,"(sin universidad)")</f>
        <v>Universidad César Vallejo S.A.C.</v>
      </c>
      <c r="D138" s="117" t="s">
        <v>2087</v>
      </c>
      <c r="E138" s="115" t="b">
        <v>0</v>
      </c>
      <c r="F138" s="115" t="s">
        <v>1318</v>
      </c>
      <c r="G138" s="115" t="s">
        <v>1327</v>
      </c>
      <c r="H138" s="115" t="s">
        <v>1327</v>
      </c>
      <c r="I138" s="117" t="s">
        <v>2086</v>
      </c>
      <c r="J138" s="118">
        <v>-6.0329654390392102</v>
      </c>
      <c r="K138" s="118">
        <v>-76.9747224149109</v>
      </c>
      <c r="L138" s="117">
        <v>210101</v>
      </c>
      <c r="M138" s="117">
        <v>220101</v>
      </c>
    </row>
    <row r="139" spans="1:13" x14ac:dyDescent="0.25">
      <c r="A139" s="120">
        <v>138</v>
      </c>
      <c r="B139" s="120">
        <v>13</v>
      </c>
      <c r="C139" s="117" t="str">
        <f>_xlfn.XLOOKUP(B139,dimUniversidades!$A:$A,dimUniversidades!$B:$B,"(sin universidad)")</f>
        <v>Universidad César Vallejo S.A.C.</v>
      </c>
      <c r="D139" s="117" t="s">
        <v>2085</v>
      </c>
      <c r="E139" s="115" t="b">
        <v>0</v>
      </c>
      <c r="F139" s="115" t="s">
        <v>1318</v>
      </c>
      <c r="G139" s="115" t="s">
        <v>1327</v>
      </c>
      <c r="H139" s="115" t="s">
        <v>1327</v>
      </c>
      <c r="I139" s="117" t="s">
        <v>2084</v>
      </c>
      <c r="J139" s="118">
        <v>-6.0402053000000002</v>
      </c>
      <c r="K139" s="118">
        <v>-76.976547499999995</v>
      </c>
      <c r="L139" s="117">
        <v>210101</v>
      </c>
      <c r="M139" s="117">
        <v>220101</v>
      </c>
    </row>
    <row r="140" spans="1:13" x14ac:dyDescent="0.25">
      <c r="A140" s="120">
        <v>139</v>
      </c>
      <c r="B140" s="120">
        <v>13</v>
      </c>
      <c r="C140" s="117" t="str">
        <f>_xlfn.XLOOKUP(B140,dimUniversidades!$A:$A,dimUniversidades!$B:$B,"(sin universidad)")</f>
        <v>Universidad César Vallejo S.A.C.</v>
      </c>
      <c r="D140" s="117" t="s">
        <v>1145</v>
      </c>
      <c r="E140" s="115" t="b">
        <v>0</v>
      </c>
      <c r="F140" s="115" t="s">
        <v>1134</v>
      </c>
      <c r="G140" s="115" t="s">
        <v>1133</v>
      </c>
      <c r="H140" s="115" t="s">
        <v>1121</v>
      </c>
      <c r="I140" s="117" t="s">
        <v>2083</v>
      </c>
      <c r="J140" s="118">
        <v>-9.4997255000000003</v>
      </c>
      <c r="K140" s="118">
        <v>-77.536101900000006</v>
      </c>
      <c r="L140" s="117">
        <v>20102</v>
      </c>
      <c r="M140" s="117">
        <v>20105</v>
      </c>
    </row>
    <row r="141" spans="1:13" x14ac:dyDescent="0.25">
      <c r="A141" s="120">
        <v>140</v>
      </c>
      <c r="B141" s="120">
        <v>13</v>
      </c>
      <c r="C141" s="117" t="str">
        <f>_xlfn.XLOOKUP(B141,dimUniversidades!$A:$A,dimUniversidades!$B:$B,"(sin universidad)")</f>
        <v>Universidad César Vallejo S.A.C.</v>
      </c>
      <c r="D141" s="117" t="s">
        <v>1594</v>
      </c>
      <c r="E141" s="115" t="b">
        <v>0</v>
      </c>
      <c r="F141" s="115" t="s">
        <v>1134</v>
      </c>
      <c r="G141" s="115" t="s">
        <v>1133</v>
      </c>
      <c r="H141" s="115" t="s">
        <v>1121</v>
      </c>
      <c r="I141" s="117" t="s">
        <v>2082</v>
      </c>
      <c r="J141" s="118">
        <v>-9.5227692000000008</v>
      </c>
      <c r="K141" s="118">
        <v>-77.527056799999997</v>
      </c>
      <c r="L141" s="117">
        <v>20102</v>
      </c>
      <c r="M141" s="117">
        <v>20105</v>
      </c>
    </row>
    <row r="142" spans="1:13" x14ac:dyDescent="0.25">
      <c r="A142" s="120">
        <v>141</v>
      </c>
      <c r="B142" s="120">
        <v>13</v>
      </c>
      <c r="C142" s="117" t="str">
        <f>_xlfn.XLOOKUP(B142,dimUniversidades!$A:$A,dimUniversidades!$B:$B,"(sin universidad)")</f>
        <v>Universidad César Vallejo S.A.C.</v>
      </c>
      <c r="D142" s="117" t="s">
        <v>1143</v>
      </c>
      <c r="E142" s="115" t="b">
        <v>0</v>
      </c>
      <c r="F142" s="115" t="s">
        <v>1188</v>
      </c>
      <c r="G142" s="115" t="s">
        <v>1187</v>
      </c>
      <c r="H142" s="115" t="s">
        <v>1188</v>
      </c>
      <c r="I142" s="117" t="s">
        <v>2081</v>
      </c>
      <c r="J142" s="118">
        <v>-12.0504343967509</v>
      </c>
      <c r="K142" s="118">
        <v>-77.123552495106495</v>
      </c>
      <c r="L142" s="117">
        <v>240101</v>
      </c>
      <c r="M142" s="117">
        <v>70101</v>
      </c>
    </row>
    <row r="143" spans="1:13" x14ac:dyDescent="0.25">
      <c r="A143" s="120">
        <v>142</v>
      </c>
      <c r="B143" s="120">
        <v>14</v>
      </c>
      <c r="C143" s="117" t="str">
        <f>_xlfn.XLOOKUP(B143,dimUniversidades!$A:$A,dimUniversidades!$B:$B,"(sin universidad)")</f>
        <v>Universidad Continental S.A.C.</v>
      </c>
      <c r="D143" s="117" t="s">
        <v>324</v>
      </c>
      <c r="E143" s="115" t="b">
        <v>1</v>
      </c>
      <c r="F143" s="115" t="s">
        <v>467</v>
      </c>
      <c r="G143" s="115" t="s">
        <v>631</v>
      </c>
      <c r="H143" s="115" t="s">
        <v>631</v>
      </c>
      <c r="I143" s="117" t="s">
        <v>2080</v>
      </c>
      <c r="J143" s="118">
        <v>-12.0477307206784</v>
      </c>
      <c r="K143" s="118">
        <v>-75.198744514680499</v>
      </c>
      <c r="L143" s="117">
        <v>110101</v>
      </c>
      <c r="M143" s="117">
        <v>120101</v>
      </c>
    </row>
    <row r="144" spans="1:13" x14ac:dyDescent="0.25">
      <c r="A144" s="120">
        <v>143</v>
      </c>
      <c r="B144" s="120">
        <v>14</v>
      </c>
      <c r="C144" s="117" t="str">
        <f>_xlfn.XLOOKUP(B144,dimUniversidades!$A:$A,dimUniversidades!$B:$B,"(sin universidad)")</f>
        <v>Universidad Continental S.A.C.</v>
      </c>
      <c r="D144" s="117" t="s">
        <v>579</v>
      </c>
      <c r="E144" s="115" t="b">
        <v>0</v>
      </c>
      <c r="F144" s="115" t="s">
        <v>530</v>
      </c>
      <c r="G144" s="115" t="s">
        <v>530</v>
      </c>
      <c r="H144" s="115" t="s">
        <v>1755</v>
      </c>
      <c r="I144" s="117" t="s">
        <v>2079</v>
      </c>
      <c r="J144" s="118">
        <v>-16.412519695727799</v>
      </c>
      <c r="K144" s="118">
        <v>-71.524404603457597</v>
      </c>
      <c r="L144" s="117">
        <v>40129</v>
      </c>
      <c r="M144" s="117">
        <v>40129</v>
      </c>
    </row>
    <row r="145" spans="1:13" x14ac:dyDescent="0.25">
      <c r="A145" s="120">
        <v>144</v>
      </c>
      <c r="B145" s="120">
        <v>14</v>
      </c>
      <c r="C145" s="117" t="str">
        <f>_xlfn.XLOOKUP(B145,dimUniversidades!$A:$A,dimUniversidades!$B:$B,"(sin universidad)")</f>
        <v>Universidad Continental S.A.C.</v>
      </c>
      <c r="D145" s="117" t="s">
        <v>1165</v>
      </c>
      <c r="E145" s="115" t="b">
        <v>0</v>
      </c>
      <c r="F145" s="115" t="s">
        <v>530</v>
      </c>
      <c r="G145" s="115" t="s">
        <v>530</v>
      </c>
      <c r="H145" s="115" t="s">
        <v>1111</v>
      </c>
      <c r="I145" s="117" t="s">
        <v>2078</v>
      </c>
      <c r="J145" s="118">
        <v>-16.386346850367399</v>
      </c>
      <c r="K145" s="118">
        <v>-71.540522644503497</v>
      </c>
      <c r="L145" s="117">
        <v>40123</v>
      </c>
      <c r="M145" s="117">
        <v>40126</v>
      </c>
    </row>
    <row r="146" spans="1:13" x14ac:dyDescent="0.25">
      <c r="A146" s="120">
        <v>145</v>
      </c>
      <c r="B146" s="120">
        <v>14</v>
      </c>
      <c r="C146" s="117" t="str">
        <f>_xlfn.XLOOKUP(B146,dimUniversidades!$A:$A,dimUniversidades!$B:$B,"(sin universidad)")</f>
        <v>Universidad Continental S.A.C.</v>
      </c>
      <c r="D146" s="117" t="s">
        <v>1160</v>
      </c>
      <c r="E146" s="115" t="b">
        <v>0</v>
      </c>
      <c r="F146" s="115" t="s">
        <v>374</v>
      </c>
      <c r="G146" s="115" t="s">
        <v>374</v>
      </c>
      <c r="H146" s="115" t="s">
        <v>374</v>
      </c>
      <c r="I146" s="117" t="s">
        <v>2077</v>
      </c>
      <c r="J146" s="118">
        <v>-13.5215891846572</v>
      </c>
      <c r="K146" s="118">
        <v>-71.951655671723003</v>
      </c>
      <c r="L146" s="117">
        <v>70101</v>
      </c>
      <c r="M146" s="117">
        <v>80101</v>
      </c>
    </row>
    <row r="147" spans="1:13" x14ac:dyDescent="0.25">
      <c r="A147" s="120">
        <v>146</v>
      </c>
      <c r="B147" s="120">
        <v>14</v>
      </c>
      <c r="C147" s="117" t="str">
        <f>_xlfn.XLOOKUP(B147,dimUniversidades!$A:$A,dimUniversidades!$B:$B,"(sin universidad)")</f>
        <v>Universidad Continental S.A.C.</v>
      </c>
      <c r="D147" s="117" t="s">
        <v>1480</v>
      </c>
      <c r="E147" s="115" t="b">
        <v>0</v>
      </c>
      <c r="F147" s="115" t="s">
        <v>374</v>
      </c>
      <c r="G147" s="115" t="s">
        <v>374</v>
      </c>
      <c r="H147" s="115" t="s">
        <v>374</v>
      </c>
      <c r="I147" s="117" t="s">
        <v>2076</v>
      </c>
      <c r="J147" s="118">
        <v>-13.5188712816083</v>
      </c>
      <c r="K147" s="118">
        <v>-71.966350047850398</v>
      </c>
      <c r="L147" s="117">
        <v>70101</v>
      </c>
      <c r="M147" s="117">
        <v>80101</v>
      </c>
    </row>
    <row r="148" spans="1:13" x14ac:dyDescent="0.25">
      <c r="A148" s="120">
        <v>147</v>
      </c>
      <c r="B148" s="120">
        <v>14</v>
      </c>
      <c r="C148" s="117" t="str">
        <f>_xlfn.XLOOKUP(B148,dimUniversidades!$A:$A,dimUniversidades!$B:$B,"(sin universidad)")</f>
        <v>Universidad Continental S.A.C.</v>
      </c>
      <c r="D148" s="117" t="s">
        <v>550</v>
      </c>
      <c r="E148" s="115" t="b">
        <v>0</v>
      </c>
      <c r="F148" s="115" t="s">
        <v>374</v>
      </c>
      <c r="G148" s="115" t="s">
        <v>374</v>
      </c>
      <c r="H148" s="115" t="s">
        <v>1485</v>
      </c>
      <c r="I148" s="117" t="s">
        <v>2075</v>
      </c>
      <c r="J148" s="118">
        <v>-13.5216298367243</v>
      </c>
      <c r="K148" s="118">
        <v>-71.951649197375502</v>
      </c>
      <c r="L148" s="117">
        <v>70104</v>
      </c>
      <c r="M148" s="117">
        <v>80104</v>
      </c>
    </row>
    <row r="149" spans="1:13" x14ac:dyDescent="0.25">
      <c r="A149" s="120">
        <v>148</v>
      </c>
      <c r="B149" s="120">
        <v>14</v>
      </c>
      <c r="C149" s="117" t="str">
        <f>_xlfn.XLOOKUP(B149,dimUniversidades!$A:$A,dimUniversidades!$B:$B,"(sin universidad)")</f>
        <v>Universidad Continental S.A.C.</v>
      </c>
      <c r="D149" s="117" t="s">
        <v>599</v>
      </c>
      <c r="E149" s="115" t="b">
        <v>0</v>
      </c>
      <c r="F149" s="115" t="s">
        <v>385</v>
      </c>
      <c r="G149" s="115" t="s">
        <v>385</v>
      </c>
      <c r="H149" s="115" t="s">
        <v>664</v>
      </c>
      <c r="I149" s="117" t="s">
        <v>2074</v>
      </c>
      <c r="J149" s="118">
        <v>-12.110292854964101</v>
      </c>
      <c r="K149" s="118">
        <v>-77.027850815938606</v>
      </c>
      <c r="L149" s="117">
        <v>140115</v>
      </c>
      <c r="M149" s="117">
        <v>150122</v>
      </c>
    </row>
    <row r="150" spans="1:13" x14ac:dyDescent="0.25">
      <c r="A150" s="120">
        <v>149</v>
      </c>
      <c r="B150" s="120">
        <v>14</v>
      </c>
      <c r="C150" s="117" t="str">
        <f>_xlfn.XLOOKUP(B150,dimUniversidades!$A:$A,dimUniversidades!$B:$B,"(sin universidad)")</f>
        <v>Universidad Continental S.A.C.</v>
      </c>
      <c r="D150" s="117" t="s">
        <v>1361</v>
      </c>
      <c r="E150" s="115" t="b">
        <v>0</v>
      </c>
      <c r="F150" s="115" t="s">
        <v>385</v>
      </c>
      <c r="G150" s="115" t="s">
        <v>385</v>
      </c>
      <c r="H150" s="115" t="s">
        <v>384</v>
      </c>
      <c r="I150" s="117" t="s">
        <v>2073</v>
      </c>
      <c r="J150" s="118">
        <v>-11.974350299999999</v>
      </c>
      <c r="K150" s="118">
        <v>-77.065808000000004</v>
      </c>
      <c r="L150" s="117">
        <v>140142</v>
      </c>
      <c r="M150" s="117">
        <v>150117</v>
      </c>
    </row>
    <row r="151" spans="1:13" x14ac:dyDescent="0.25">
      <c r="A151" s="120">
        <v>150</v>
      </c>
      <c r="B151" s="120">
        <v>14</v>
      </c>
      <c r="C151" s="117" t="str">
        <f>_xlfn.XLOOKUP(B151,dimUniversidades!$A:$A,dimUniversidades!$B:$B,"(sin universidad)")</f>
        <v>Universidad Continental S.A.C.</v>
      </c>
      <c r="D151" s="117" t="s">
        <v>678</v>
      </c>
      <c r="E151" s="115" t="b">
        <v>0</v>
      </c>
      <c r="F151" s="115" t="s">
        <v>1417</v>
      </c>
      <c r="G151" s="115" t="s">
        <v>1417</v>
      </c>
      <c r="H151" s="115" t="s">
        <v>1417</v>
      </c>
      <c r="I151" s="117" t="s">
        <v>2072</v>
      </c>
      <c r="J151" s="118">
        <v>-14.07546</v>
      </c>
      <c r="K151" s="118">
        <v>-75.734181100000001</v>
      </c>
      <c r="L151" s="117">
        <v>100101</v>
      </c>
      <c r="M151" s="117">
        <v>110101</v>
      </c>
    </row>
    <row r="152" spans="1:13" x14ac:dyDescent="0.25">
      <c r="A152" s="120">
        <v>151</v>
      </c>
      <c r="B152" s="120">
        <v>14</v>
      </c>
      <c r="C152" s="117" t="str">
        <f>_xlfn.XLOOKUP(B152,dimUniversidades!$A:$A,dimUniversidades!$B:$B,"(sin universidad)")</f>
        <v>Universidad Continental S.A.C.</v>
      </c>
      <c r="D152" s="117" t="s">
        <v>392</v>
      </c>
      <c r="E152" s="115" t="b">
        <v>0</v>
      </c>
      <c r="F152" s="115" t="s">
        <v>1164</v>
      </c>
      <c r="G152" s="115" t="s">
        <v>1163</v>
      </c>
      <c r="H152" s="115" t="s">
        <v>1164</v>
      </c>
      <c r="I152" s="117" t="s">
        <v>2071</v>
      </c>
      <c r="J152" s="118">
        <v>-13.1386015</v>
      </c>
      <c r="K152" s="118">
        <v>-74.229299400000002</v>
      </c>
      <c r="L152" s="117">
        <v>50101</v>
      </c>
      <c r="M152" s="117">
        <v>50101</v>
      </c>
    </row>
    <row r="153" spans="1:13" x14ac:dyDescent="0.25">
      <c r="A153" s="120">
        <v>152</v>
      </c>
      <c r="B153" s="120">
        <v>15</v>
      </c>
      <c r="C153" s="117" t="str">
        <f>_xlfn.XLOOKUP(B153,dimUniversidades!$A:$A,dimUniversidades!$B:$B,"(sin universidad)")</f>
        <v>Universidad de Huánuco</v>
      </c>
      <c r="D153" s="117" t="s">
        <v>324</v>
      </c>
      <c r="E153" s="115" t="b">
        <v>1</v>
      </c>
      <c r="F153" s="115" t="s">
        <v>1128</v>
      </c>
      <c r="G153" s="115" t="s">
        <v>1128</v>
      </c>
      <c r="H153" s="115" t="s">
        <v>1127</v>
      </c>
      <c r="I153" s="117" t="s">
        <v>2070</v>
      </c>
      <c r="J153" s="118">
        <v>-9.9283905637000007</v>
      </c>
      <c r="K153" s="118">
        <v>-76.237019599999996</v>
      </c>
      <c r="L153" s="117">
        <v>90101</v>
      </c>
      <c r="M153" s="117">
        <v>100101</v>
      </c>
    </row>
    <row r="154" spans="1:13" x14ac:dyDescent="0.25">
      <c r="A154" s="120">
        <v>153</v>
      </c>
      <c r="B154" s="120">
        <v>15</v>
      </c>
      <c r="C154" s="117" t="str">
        <f>_xlfn.XLOOKUP(B154,dimUniversidades!$A:$A,dimUniversidades!$B:$B,"(sin universidad)")</f>
        <v>Universidad de Huánuco</v>
      </c>
      <c r="D154" s="117" t="s">
        <v>399</v>
      </c>
      <c r="E154" s="115" t="b">
        <v>0</v>
      </c>
      <c r="F154" s="115" t="s">
        <v>1128</v>
      </c>
      <c r="G154" s="115" t="s">
        <v>1128</v>
      </c>
      <c r="H154" s="115" t="s">
        <v>2069</v>
      </c>
      <c r="I154" s="117" t="s">
        <v>2068</v>
      </c>
      <c r="J154" s="118">
        <v>-9.8909204920290801</v>
      </c>
      <c r="K154" s="118">
        <v>-76.218630669414594</v>
      </c>
      <c r="L154" s="117">
        <v>90110</v>
      </c>
      <c r="M154" s="117">
        <v>100102</v>
      </c>
    </row>
    <row r="155" spans="1:13" x14ac:dyDescent="0.25">
      <c r="A155" s="120">
        <v>154</v>
      </c>
      <c r="B155" s="120">
        <v>15</v>
      </c>
      <c r="C155" s="117" t="str">
        <f>_xlfn.XLOOKUP(B155,dimUniversidades!$A:$A,dimUniversidades!$B:$B,"(sin universidad)")</f>
        <v>Universidad de Huánuco</v>
      </c>
      <c r="D155" s="117" t="s">
        <v>735</v>
      </c>
      <c r="E155" s="115" t="b">
        <v>0</v>
      </c>
      <c r="F155" s="115" t="s">
        <v>1128</v>
      </c>
      <c r="G155" s="115" t="s">
        <v>1128</v>
      </c>
      <c r="H155" s="115" t="s">
        <v>1127</v>
      </c>
      <c r="I155" s="117" t="s">
        <v>2067</v>
      </c>
      <c r="J155" s="118">
        <v>-9.9339114566673903</v>
      </c>
      <c r="K155" s="118">
        <v>-76.243438302481394</v>
      </c>
      <c r="L155" s="117">
        <v>90101</v>
      </c>
      <c r="M155" s="117">
        <v>100101</v>
      </c>
    </row>
    <row r="156" spans="1:13" x14ac:dyDescent="0.25">
      <c r="A156" s="120">
        <v>155</v>
      </c>
      <c r="B156" s="120">
        <v>15</v>
      </c>
      <c r="C156" s="117" t="str">
        <f>_xlfn.XLOOKUP(B156,dimUniversidades!$A:$A,dimUniversidades!$B:$B,"(sin universidad)")</f>
        <v>Universidad de Huánuco</v>
      </c>
      <c r="D156" s="117" t="s">
        <v>579</v>
      </c>
      <c r="E156" s="119" t="b">
        <v>0</v>
      </c>
      <c r="F156" s="117" t="s">
        <v>1128</v>
      </c>
      <c r="G156" s="117" t="s">
        <v>1971</v>
      </c>
      <c r="H156" s="117" t="s">
        <v>2065</v>
      </c>
      <c r="I156" s="117" t="s">
        <v>2066</v>
      </c>
      <c r="J156" s="118">
        <v>-9.2955174168604593</v>
      </c>
      <c r="K156" s="118">
        <v>-75.999067233135193</v>
      </c>
      <c r="L156" s="117">
        <v>90601</v>
      </c>
      <c r="M156" s="117">
        <v>100601</v>
      </c>
    </row>
    <row r="157" spans="1:13" x14ac:dyDescent="0.25">
      <c r="A157" s="120">
        <v>156</v>
      </c>
      <c r="B157" s="120">
        <v>15</v>
      </c>
      <c r="C157" s="117" t="str">
        <f>_xlfn.XLOOKUP(B157,dimUniversidades!$A:$A,dimUniversidades!$B:$B,"(sin universidad)")</f>
        <v>Universidad de Huánuco</v>
      </c>
      <c r="D157" s="117" t="s">
        <v>1165</v>
      </c>
      <c r="E157" s="119" t="b">
        <v>0</v>
      </c>
      <c r="F157" s="117" t="s">
        <v>1128</v>
      </c>
      <c r="G157" s="117" t="s">
        <v>1971</v>
      </c>
      <c r="H157" s="117" t="s">
        <v>2065</v>
      </c>
      <c r="I157" s="117" t="s">
        <v>2064</v>
      </c>
      <c r="J157" s="118">
        <v>-9.2955280048090998</v>
      </c>
      <c r="K157" s="118">
        <v>-75.999072597553294</v>
      </c>
      <c r="L157" s="117">
        <v>90601</v>
      </c>
      <c r="M157" s="117">
        <v>100601</v>
      </c>
    </row>
    <row r="158" spans="1:13" x14ac:dyDescent="0.25">
      <c r="A158" s="120">
        <v>157</v>
      </c>
      <c r="B158" s="120">
        <v>15</v>
      </c>
      <c r="C158" s="117" t="str">
        <f>_xlfn.XLOOKUP(B158,dimUniversidades!$A:$A,dimUniversidades!$B:$B,"(sin universidad)")</f>
        <v>Universidad de Huánuco</v>
      </c>
      <c r="D158" s="117" t="s">
        <v>1344</v>
      </c>
      <c r="E158" s="119" t="b">
        <v>0</v>
      </c>
      <c r="F158" s="117" t="s">
        <v>1128</v>
      </c>
      <c r="G158" s="117" t="s">
        <v>1971</v>
      </c>
      <c r="H158" s="117" t="s">
        <v>2063</v>
      </c>
      <c r="I158" s="117" t="s">
        <v>2062</v>
      </c>
      <c r="J158" s="118">
        <v>-9.2803260278620296</v>
      </c>
      <c r="K158" s="118">
        <v>-76.006901965667694</v>
      </c>
      <c r="L158" s="117">
        <v>90608</v>
      </c>
      <c r="M158" s="117">
        <v>100608</v>
      </c>
    </row>
    <row r="159" spans="1:13" x14ac:dyDescent="0.25">
      <c r="A159" s="120">
        <v>158</v>
      </c>
      <c r="B159" s="120">
        <v>15</v>
      </c>
      <c r="C159" s="117" t="str">
        <f>_xlfn.XLOOKUP(B159,dimUniversidades!$A:$A,dimUniversidades!$B:$B,"(sin universidad)")</f>
        <v>Universidad de Huánuco</v>
      </c>
      <c r="D159" s="117" t="s">
        <v>1160</v>
      </c>
      <c r="E159" s="119" t="b">
        <v>0</v>
      </c>
      <c r="F159" s="117" t="s">
        <v>467</v>
      </c>
      <c r="G159" s="117" t="s">
        <v>631</v>
      </c>
      <c r="H159" s="117" t="s">
        <v>1268</v>
      </c>
      <c r="I159" s="117" t="s">
        <v>2061</v>
      </c>
      <c r="J159" s="118">
        <v>-12.062931612519099</v>
      </c>
      <c r="K159" s="118">
        <v>-75.213869816255198</v>
      </c>
      <c r="L159" s="117">
        <v>110113</v>
      </c>
      <c r="M159" s="117">
        <v>120114</v>
      </c>
    </row>
    <row r="160" spans="1:13" x14ac:dyDescent="0.25">
      <c r="A160" s="120">
        <v>159</v>
      </c>
      <c r="B160" s="120">
        <v>15</v>
      </c>
      <c r="C160" s="117" t="str">
        <f>_xlfn.XLOOKUP(B160,dimUniversidades!$A:$A,dimUniversidades!$B:$B,"(sin universidad)")</f>
        <v>Universidad de Huánuco</v>
      </c>
      <c r="D160" s="117" t="s">
        <v>599</v>
      </c>
      <c r="E160" s="119" t="b">
        <v>0</v>
      </c>
      <c r="F160" s="117" t="s">
        <v>467</v>
      </c>
      <c r="G160" s="117" t="s">
        <v>1628</v>
      </c>
      <c r="H160" s="117" t="s">
        <v>1628</v>
      </c>
      <c r="I160" s="117" t="s">
        <v>2060</v>
      </c>
      <c r="J160" s="118">
        <v>-11.0557023</v>
      </c>
      <c r="K160" s="118">
        <v>-75.331346600000003</v>
      </c>
      <c r="L160" s="117">
        <v>110801</v>
      </c>
      <c r="M160" s="117">
        <v>120301</v>
      </c>
    </row>
    <row r="161" spans="1:13" x14ac:dyDescent="0.25">
      <c r="A161" s="120">
        <v>160</v>
      </c>
      <c r="B161" s="120">
        <v>15</v>
      </c>
      <c r="C161" s="117" t="str">
        <f>_xlfn.XLOOKUP(B161,dimUniversidades!$A:$A,dimUniversidades!$B:$B,"(sin universidad)")</f>
        <v>Universidad de Huánuco</v>
      </c>
      <c r="D161" s="117" t="s">
        <v>678</v>
      </c>
      <c r="E161" s="119" t="b">
        <v>0</v>
      </c>
      <c r="F161" s="117" t="s">
        <v>506</v>
      </c>
      <c r="G161" s="117" t="s">
        <v>506</v>
      </c>
      <c r="H161" s="117" t="s">
        <v>505</v>
      </c>
      <c r="I161" s="117" t="s">
        <v>2059</v>
      </c>
      <c r="J161" s="118">
        <v>-10.6637876291034</v>
      </c>
      <c r="K161" s="118">
        <v>-76.254261103041102</v>
      </c>
      <c r="L161" s="117">
        <v>180114</v>
      </c>
      <c r="M161" s="117">
        <v>190113</v>
      </c>
    </row>
    <row r="162" spans="1:13" x14ac:dyDescent="0.25">
      <c r="A162" s="120">
        <v>161</v>
      </c>
      <c r="B162" s="120">
        <v>15</v>
      </c>
      <c r="C162" s="117" t="str">
        <f>_xlfn.XLOOKUP(B162,dimUniversidades!$A:$A,dimUniversidades!$B:$B,"(sin universidad)")</f>
        <v>Universidad de Huánuco</v>
      </c>
      <c r="D162" s="117" t="s">
        <v>392</v>
      </c>
      <c r="E162" s="119" t="b">
        <v>0</v>
      </c>
      <c r="F162" s="117" t="s">
        <v>1152</v>
      </c>
      <c r="G162" s="117" t="s">
        <v>1151</v>
      </c>
      <c r="H162" s="117" t="s">
        <v>1150</v>
      </c>
      <c r="I162" s="117" t="s">
        <v>2058</v>
      </c>
      <c r="J162" s="118">
        <v>-8.3926155870068193</v>
      </c>
      <c r="K162" s="118">
        <v>-74.583090342880297</v>
      </c>
      <c r="L162" s="117">
        <v>250101</v>
      </c>
      <c r="M162" s="117">
        <v>250101</v>
      </c>
    </row>
    <row r="163" spans="1:13" x14ac:dyDescent="0.25">
      <c r="A163" s="120">
        <v>162</v>
      </c>
      <c r="B163" s="120">
        <v>15</v>
      </c>
      <c r="C163" s="117" t="str">
        <f>_xlfn.XLOOKUP(B163,dimUniversidades!$A:$A,dimUniversidades!$B:$B,"(sin universidad)")</f>
        <v>Universidad de Huánuco</v>
      </c>
      <c r="D163" s="117" t="s">
        <v>1153</v>
      </c>
      <c r="E163" s="119" t="b">
        <v>0</v>
      </c>
      <c r="F163" s="117" t="s">
        <v>385</v>
      </c>
      <c r="G163" s="117" t="s">
        <v>385</v>
      </c>
      <c r="H163" s="117" t="s">
        <v>1179</v>
      </c>
      <c r="I163" s="117" t="s">
        <v>2057</v>
      </c>
      <c r="J163" s="118">
        <v>-12.0739489</v>
      </c>
      <c r="K163" s="118">
        <v>-77.055216000000001</v>
      </c>
      <c r="L163" s="117">
        <v>140117</v>
      </c>
      <c r="M163" s="117">
        <v>150121</v>
      </c>
    </row>
    <row r="164" spans="1:13" x14ac:dyDescent="0.25">
      <c r="A164" s="120">
        <v>163</v>
      </c>
      <c r="B164" s="120">
        <v>15</v>
      </c>
      <c r="C164" s="117" t="str">
        <f>_xlfn.XLOOKUP(B164,dimUniversidades!$A:$A,dimUniversidades!$B:$B,"(sin universidad)")</f>
        <v>Universidad de Huánuco</v>
      </c>
      <c r="D164" s="117" t="s">
        <v>1598</v>
      </c>
      <c r="E164" s="119" t="b">
        <v>0</v>
      </c>
      <c r="F164" s="117" t="s">
        <v>385</v>
      </c>
      <c r="G164" s="117" t="s">
        <v>385</v>
      </c>
      <c r="H164" s="117" t="s">
        <v>1236</v>
      </c>
      <c r="I164" s="117" t="s">
        <v>2056</v>
      </c>
      <c r="J164" s="118">
        <v>-12.089917946346601</v>
      </c>
      <c r="K164" s="118">
        <v>-77.034385902867498</v>
      </c>
      <c r="L164" s="117">
        <v>140111</v>
      </c>
      <c r="M164" s="117">
        <v>150116</v>
      </c>
    </row>
    <row r="165" spans="1:13" x14ac:dyDescent="0.25">
      <c r="A165" s="120">
        <v>164</v>
      </c>
      <c r="B165" s="120">
        <v>15</v>
      </c>
      <c r="C165" s="117" t="str">
        <f>_xlfn.XLOOKUP(B165,dimUniversidades!$A:$A,dimUniversidades!$B:$B,"(sin universidad)")</f>
        <v>Universidad de Huánuco</v>
      </c>
      <c r="D165" s="117" t="s">
        <v>2055</v>
      </c>
      <c r="E165" s="119" t="b">
        <v>0</v>
      </c>
      <c r="F165" s="117" t="s">
        <v>385</v>
      </c>
      <c r="G165" s="117" t="s">
        <v>385</v>
      </c>
      <c r="H165" s="117" t="s">
        <v>1785</v>
      </c>
      <c r="I165" s="117" t="s">
        <v>2054</v>
      </c>
      <c r="J165" s="118">
        <v>-12.005214848067</v>
      </c>
      <c r="K165" s="118">
        <v>-77.083090081245402</v>
      </c>
      <c r="L165" s="117">
        <v>140126</v>
      </c>
      <c r="M165" s="117">
        <v>150135</v>
      </c>
    </row>
    <row r="166" spans="1:13" x14ac:dyDescent="0.25">
      <c r="A166" s="120">
        <v>165</v>
      </c>
      <c r="B166" s="120">
        <v>15</v>
      </c>
      <c r="C166" s="117" t="str">
        <f>_xlfn.XLOOKUP(B166,dimUniversidades!$A:$A,dimUniversidades!$B:$B,"(sin universidad)")</f>
        <v>Universidad de Huánuco</v>
      </c>
      <c r="D166" s="117" t="s">
        <v>2053</v>
      </c>
      <c r="E166" s="119" t="b">
        <v>0</v>
      </c>
      <c r="F166" s="117" t="s">
        <v>385</v>
      </c>
      <c r="G166" s="117" t="s">
        <v>385</v>
      </c>
      <c r="H166" s="117" t="s">
        <v>1896</v>
      </c>
      <c r="I166" s="117" t="s">
        <v>2052</v>
      </c>
      <c r="J166" s="118">
        <v>-12.1533319796161</v>
      </c>
      <c r="K166" s="118">
        <v>-76.975607161542101</v>
      </c>
      <c r="L166" s="117">
        <v>140136</v>
      </c>
      <c r="M166" s="117">
        <v>150133</v>
      </c>
    </row>
    <row r="167" spans="1:13" x14ac:dyDescent="0.25">
      <c r="A167" s="120">
        <v>166</v>
      </c>
      <c r="B167" s="120">
        <v>15</v>
      </c>
      <c r="C167" s="117" t="str">
        <f>_xlfn.XLOOKUP(B167,dimUniversidades!$A:$A,dimUniversidades!$B:$B,"(sin universidad)")</f>
        <v>Universidad de Huánuco</v>
      </c>
      <c r="D167" s="117" t="s">
        <v>1148</v>
      </c>
      <c r="E167" s="119" t="b">
        <v>0</v>
      </c>
      <c r="F167" s="117" t="s">
        <v>1188</v>
      </c>
      <c r="G167" s="117" t="s">
        <v>1187</v>
      </c>
      <c r="H167" s="117" t="s">
        <v>1188</v>
      </c>
      <c r="I167" s="117" t="s">
        <v>2051</v>
      </c>
      <c r="J167" s="118">
        <v>-12.0508910696025</v>
      </c>
      <c r="K167" s="118">
        <v>-77.084474433285493</v>
      </c>
      <c r="L167" s="117">
        <v>240101</v>
      </c>
      <c r="M167" s="117">
        <v>70101</v>
      </c>
    </row>
    <row r="168" spans="1:13" x14ac:dyDescent="0.25">
      <c r="A168" s="120">
        <v>167</v>
      </c>
      <c r="B168" s="120">
        <v>15</v>
      </c>
      <c r="C168" s="117" t="str">
        <f>_xlfn.XLOOKUP(B168,dimUniversidades!$A:$A,dimUniversidades!$B:$B,"(sin universidad)")</f>
        <v>Universidad de Huánuco</v>
      </c>
      <c r="D168" s="117" t="s">
        <v>1145</v>
      </c>
      <c r="E168" s="119" t="b">
        <v>0</v>
      </c>
      <c r="F168" s="117" t="s">
        <v>1114</v>
      </c>
      <c r="G168" s="117" t="s">
        <v>1114</v>
      </c>
      <c r="H168" s="117" t="s">
        <v>1114</v>
      </c>
      <c r="I168" s="117" t="s">
        <v>2050</v>
      </c>
      <c r="J168" s="118">
        <v>-18.015255837810599</v>
      </c>
      <c r="K168" s="118">
        <v>-70.253644810372904</v>
      </c>
      <c r="L168" s="117">
        <v>220101</v>
      </c>
      <c r="M168" s="117">
        <v>230101</v>
      </c>
    </row>
    <row r="169" spans="1:13" x14ac:dyDescent="0.25">
      <c r="A169" s="120">
        <v>168</v>
      </c>
      <c r="B169" s="120">
        <v>15</v>
      </c>
      <c r="C169" s="117" t="str">
        <f>_xlfn.XLOOKUP(B169,dimUniversidades!$A:$A,dimUniversidades!$B:$B,"(sin universidad)")</f>
        <v>Universidad de Huánuco</v>
      </c>
      <c r="D169" s="117" t="s">
        <v>1143</v>
      </c>
      <c r="E169" s="119" t="b">
        <v>0</v>
      </c>
      <c r="F169" s="117" t="s">
        <v>589</v>
      </c>
      <c r="G169" s="117" t="s">
        <v>1222</v>
      </c>
      <c r="H169" s="117" t="s">
        <v>1222</v>
      </c>
      <c r="I169" s="117" t="s">
        <v>2049</v>
      </c>
      <c r="J169" s="118">
        <v>-6.7696376577153901</v>
      </c>
      <c r="K169" s="118">
        <v>-79.840412894004004</v>
      </c>
      <c r="L169" s="117">
        <v>130101</v>
      </c>
      <c r="M169" s="117">
        <v>140101</v>
      </c>
    </row>
    <row r="170" spans="1:13" x14ac:dyDescent="0.25">
      <c r="A170" s="120">
        <v>169</v>
      </c>
      <c r="B170" s="120">
        <v>15</v>
      </c>
      <c r="C170" s="117" t="str">
        <f>_xlfn.XLOOKUP(B170,dimUniversidades!$A:$A,dimUniversidades!$B:$B,"(sin universidad)")</f>
        <v>Universidad de Huánuco</v>
      </c>
      <c r="D170" s="117" t="s">
        <v>1139</v>
      </c>
      <c r="E170" s="119" t="b">
        <v>0</v>
      </c>
      <c r="F170" s="117" t="s">
        <v>1417</v>
      </c>
      <c r="G170" s="117" t="s">
        <v>1417</v>
      </c>
      <c r="H170" s="117" t="s">
        <v>1417</v>
      </c>
      <c r="I170" s="117" t="s">
        <v>2048</v>
      </c>
      <c r="J170" s="118">
        <v>-14.066663399999999</v>
      </c>
      <c r="K170" s="118">
        <v>-75.728610900000007</v>
      </c>
      <c r="L170" s="117">
        <v>100101</v>
      </c>
      <c r="M170" s="117">
        <v>110101</v>
      </c>
    </row>
    <row r="171" spans="1:13" x14ac:dyDescent="0.25">
      <c r="A171" s="120">
        <v>170</v>
      </c>
      <c r="B171" s="120">
        <v>16</v>
      </c>
      <c r="C171" s="117" t="str">
        <f>_xlfn.XLOOKUP(B171,dimUniversidades!$A:$A,dimUniversidades!$B:$B,"(sin universidad)")</f>
        <v>Universidad Nacional Autónoma Altoandina de Tarma</v>
      </c>
      <c r="D171" s="117" t="s">
        <v>324</v>
      </c>
      <c r="E171" s="119" t="b">
        <v>1</v>
      </c>
      <c r="F171" s="117" t="s">
        <v>467</v>
      </c>
      <c r="G171" s="117" t="s">
        <v>466</v>
      </c>
      <c r="H171" s="117" t="s">
        <v>466</v>
      </c>
      <c r="I171" s="117" t="s">
        <v>2047</v>
      </c>
      <c r="J171" s="118">
        <v>-11.420016564291799</v>
      </c>
      <c r="K171" s="118">
        <v>-75.689252440475499</v>
      </c>
      <c r="L171" s="117">
        <v>110501</v>
      </c>
      <c r="M171" s="117">
        <v>120701</v>
      </c>
    </row>
    <row r="172" spans="1:13" x14ac:dyDescent="0.25">
      <c r="A172" s="120">
        <v>171</v>
      </c>
      <c r="B172" s="120">
        <v>16</v>
      </c>
      <c r="C172" s="117" t="str">
        <f>_xlfn.XLOOKUP(B172,dimUniversidades!$A:$A,dimUniversidades!$B:$B,"(sin universidad)")</f>
        <v>Universidad Nacional Autónoma Altoandina de Tarma</v>
      </c>
      <c r="D172" s="117" t="s">
        <v>399</v>
      </c>
      <c r="E172" s="119" t="b">
        <v>0</v>
      </c>
      <c r="F172" s="117" t="s">
        <v>467</v>
      </c>
      <c r="G172" s="117" t="s">
        <v>466</v>
      </c>
      <c r="H172" s="117" t="s">
        <v>466</v>
      </c>
      <c r="I172" s="117" t="s">
        <v>2046</v>
      </c>
      <c r="J172" s="118">
        <v>-11.426577099999999</v>
      </c>
      <c r="K172" s="118">
        <v>-75.691710700000002</v>
      </c>
      <c r="L172" s="117">
        <v>110501</v>
      </c>
      <c r="M172" s="117">
        <v>120701</v>
      </c>
    </row>
    <row r="173" spans="1:13" x14ac:dyDescent="0.25">
      <c r="A173" s="120">
        <v>172</v>
      </c>
      <c r="B173" s="120">
        <v>16</v>
      </c>
      <c r="C173" s="117" t="str">
        <f>_xlfn.XLOOKUP(B173,dimUniversidades!$A:$A,dimUniversidades!$B:$B,"(sin universidad)")</f>
        <v>Universidad Nacional Autónoma Altoandina de Tarma</v>
      </c>
      <c r="D173" s="117" t="s">
        <v>735</v>
      </c>
      <c r="E173" s="119" t="b">
        <v>0</v>
      </c>
      <c r="F173" s="117" t="s">
        <v>467</v>
      </c>
      <c r="G173" s="117" t="s">
        <v>466</v>
      </c>
      <c r="H173" s="117" t="s">
        <v>465</v>
      </c>
      <c r="I173" s="117" t="s">
        <v>2045</v>
      </c>
      <c r="J173" s="118">
        <v>-11.3530832</v>
      </c>
      <c r="K173" s="118">
        <v>-75.660083999999998</v>
      </c>
      <c r="L173" s="117">
        <v>110502</v>
      </c>
      <c r="M173" s="117">
        <v>120702</v>
      </c>
    </row>
    <row r="174" spans="1:13" x14ac:dyDescent="0.25">
      <c r="A174" s="120">
        <v>173</v>
      </c>
      <c r="B174" s="120">
        <v>16</v>
      </c>
      <c r="C174" s="117" t="str">
        <f>_xlfn.XLOOKUP(B174,dimUniversidades!$A:$A,dimUniversidades!$B:$B,"(sin universidad)")</f>
        <v>Universidad Nacional Autónoma Altoandina de Tarma</v>
      </c>
      <c r="D174" s="117" t="s">
        <v>500</v>
      </c>
      <c r="E174" s="119" t="b">
        <v>0</v>
      </c>
      <c r="F174" s="117" t="s">
        <v>467</v>
      </c>
      <c r="G174" s="117" t="s">
        <v>466</v>
      </c>
      <c r="H174" s="117" t="s">
        <v>465</v>
      </c>
      <c r="I174" s="117" t="s">
        <v>2044</v>
      </c>
      <c r="J174" s="118">
        <v>-11.3530832</v>
      </c>
      <c r="K174" s="118">
        <v>-75.660083999999998</v>
      </c>
      <c r="L174" s="117">
        <v>110502</v>
      </c>
      <c r="M174" s="117">
        <v>120702</v>
      </c>
    </row>
    <row r="175" spans="1:13" x14ac:dyDescent="0.25">
      <c r="A175" s="120">
        <v>174</v>
      </c>
      <c r="B175" s="120">
        <v>17</v>
      </c>
      <c r="C175" s="117" t="str">
        <f>_xlfn.XLOOKUP(B175,dimUniversidades!$A:$A,dimUniversidades!$B:$B,"(sin universidad)")</f>
        <v>Universidad Nacional de Educación Enrique Guzmán y Valle</v>
      </c>
      <c r="D175" s="117" t="s">
        <v>324</v>
      </c>
      <c r="E175" s="119" t="b">
        <v>1</v>
      </c>
      <c r="F175" s="117" t="s">
        <v>385</v>
      </c>
      <c r="G175" s="117" t="s">
        <v>385</v>
      </c>
      <c r="H175" s="117" t="s">
        <v>695</v>
      </c>
      <c r="I175" s="117" t="s">
        <v>696</v>
      </c>
      <c r="J175" s="118">
        <v>-11.946488418155599</v>
      </c>
      <c r="K175" s="118">
        <v>-76.701316310450693</v>
      </c>
      <c r="L175" s="117">
        <v>140112</v>
      </c>
      <c r="M175" s="117">
        <v>150118</v>
      </c>
    </row>
    <row r="176" spans="1:13" x14ac:dyDescent="0.25">
      <c r="A176" s="120">
        <v>175</v>
      </c>
      <c r="B176" s="120">
        <v>17</v>
      </c>
      <c r="C176" s="117" t="str">
        <f>_xlfn.XLOOKUP(B176,dimUniversidades!$A:$A,dimUniversidades!$B:$B,"(sin universidad)")</f>
        <v>Universidad Nacional de Educación Enrique Guzmán y Valle</v>
      </c>
      <c r="D176" s="117" t="s">
        <v>399</v>
      </c>
      <c r="E176" s="119" t="b">
        <v>0</v>
      </c>
      <c r="F176" s="117" t="s">
        <v>385</v>
      </c>
      <c r="G176" s="117" t="s">
        <v>385</v>
      </c>
      <c r="H176" s="117" t="s">
        <v>428</v>
      </c>
      <c r="I176" s="117" t="s">
        <v>2043</v>
      </c>
      <c r="J176" s="118">
        <v>-12.0662848638976</v>
      </c>
      <c r="K176" s="118">
        <v>-76.953808646627095</v>
      </c>
      <c r="L176" s="117">
        <v>140110</v>
      </c>
      <c r="M176" s="117">
        <v>150114</v>
      </c>
    </row>
    <row r="177" spans="1:13" x14ac:dyDescent="0.25">
      <c r="A177" s="120">
        <v>176</v>
      </c>
      <c r="B177" s="120">
        <v>17</v>
      </c>
      <c r="C177" s="117" t="str">
        <f>_xlfn.XLOOKUP(B177,dimUniversidades!$A:$A,dimUniversidades!$B:$B,"(sin universidad)")</f>
        <v>Universidad Nacional de Educación Enrique Guzmán y Valle</v>
      </c>
      <c r="D177" s="117" t="s">
        <v>735</v>
      </c>
      <c r="E177" s="119" t="b">
        <v>0</v>
      </c>
      <c r="F177" s="117" t="s">
        <v>385</v>
      </c>
      <c r="G177" s="117" t="s">
        <v>385</v>
      </c>
      <c r="H177" s="117" t="s">
        <v>1584</v>
      </c>
      <c r="I177" s="117" t="s">
        <v>2042</v>
      </c>
      <c r="J177" s="118">
        <v>-12.030568669895301</v>
      </c>
      <c r="K177" s="118">
        <v>-77.023961217790998</v>
      </c>
      <c r="L177" s="117">
        <v>140122</v>
      </c>
      <c r="M177" s="117">
        <v>150128</v>
      </c>
    </row>
    <row r="178" spans="1:13" x14ac:dyDescent="0.25">
      <c r="A178" s="120">
        <v>177</v>
      </c>
      <c r="B178" s="120">
        <v>18</v>
      </c>
      <c r="C178" s="117" t="str">
        <f>_xlfn.XLOOKUP(B178,dimUniversidades!$A:$A,dimUniversidades!$B:$B,"(sin universidad)")</f>
        <v>Universidad Nacional de Piura</v>
      </c>
      <c r="D178" s="117" t="s">
        <v>324</v>
      </c>
      <c r="E178" s="119" t="b">
        <v>1</v>
      </c>
      <c r="F178" s="117" t="s">
        <v>622</v>
      </c>
      <c r="G178" s="117" t="s">
        <v>622</v>
      </c>
      <c r="H178" s="117" t="s">
        <v>1363</v>
      </c>
      <c r="I178" s="117" t="s">
        <v>2041</v>
      </c>
      <c r="J178" s="118">
        <v>-5.1793110000000002</v>
      </c>
      <c r="K178" s="118">
        <v>-80.618832499999996</v>
      </c>
      <c r="L178" s="117">
        <v>190103</v>
      </c>
      <c r="M178" s="117">
        <v>200104</v>
      </c>
    </row>
    <row r="179" spans="1:13" x14ac:dyDescent="0.25">
      <c r="A179" s="120">
        <v>178</v>
      </c>
      <c r="B179" s="120">
        <v>18</v>
      </c>
      <c r="C179" s="117" t="str">
        <f>_xlfn.XLOOKUP(B179,dimUniversidades!$A:$A,dimUniversidades!$B:$B,"(sin universidad)")</f>
        <v>Universidad Nacional de Piura</v>
      </c>
      <c r="D179" s="117" t="s">
        <v>399</v>
      </c>
      <c r="E179" s="119" t="b">
        <v>0</v>
      </c>
      <c r="F179" s="117" t="s">
        <v>622</v>
      </c>
      <c r="G179" s="117" t="s">
        <v>622</v>
      </c>
      <c r="H179" s="117" t="s">
        <v>1363</v>
      </c>
      <c r="I179" s="117" t="s">
        <v>2040</v>
      </c>
      <c r="J179" s="118">
        <v>-5.1824299970780903</v>
      </c>
      <c r="K179" s="118">
        <v>-80.618983150540103</v>
      </c>
      <c r="L179" s="117">
        <v>190103</v>
      </c>
      <c r="M179" s="117">
        <v>200104</v>
      </c>
    </row>
    <row r="180" spans="1:13" x14ac:dyDescent="0.25">
      <c r="A180" s="120">
        <v>179</v>
      </c>
      <c r="B180" s="120">
        <v>18</v>
      </c>
      <c r="C180" s="117" t="str">
        <f>_xlfn.XLOOKUP(B180,dimUniversidades!$A:$A,dimUniversidades!$B:$B,"(sin universidad)")</f>
        <v>Universidad Nacional de Piura</v>
      </c>
      <c r="D180" s="117" t="s">
        <v>735</v>
      </c>
      <c r="E180" s="119" t="b">
        <v>0</v>
      </c>
      <c r="F180" s="117" t="s">
        <v>622</v>
      </c>
      <c r="G180" s="117" t="s">
        <v>622</v>
      </c>
      <c r="H180" s="117" t="s">
        <v>622</v>
      </c>
      <c r="I180" s="117" t="s">
        <v>2039</v>
      </c>
      <c r="J180" s="118">
        <v>-5.1983465741597703</v>
      </c>
      <c r="K180" s="118">
        <v>-80.627127847221402</v>
      </c>
      <c r="L180" s="117">
        <v>190101</v>
      </c>
      <c r="M180" s="117">
        <v>200101</v>
      </c>
    </row>
    <row r="181" spans="1:13" x14ac:dyDescent="0.25">
      <c r="A181" s="120">
        <v>180</v>
      </c>
      <c r="B181" s="120">
        <v>18</v>
      </c>
      <c r="C181" s="117" t="str">
        <f>_xlfn.XLOOKUP(B181,dimUniversidades!$A:$A,dimUniversidades!$B:$B,"(sin universidad)")</f>
        <v>Universidad Nacional de Piura</v>
      </c>
      <c r="D181" s="117" t="s">
        <v>500</v>
      </c>
      <c r="E181" s="119" t="b">
        <v>0</v>
      </c>
      <c r="F181" s="117" t="s">
        <v>622</v>
      </c>
      <c r="G181" s="117" t="s">
        <v>622</v>
      </c>
      <c r="H181" s="117" t="s">
        <v>622</v>
      </c>
      <c r="I181" s="117" t="s">
        <v>2038</v>
      </c>
      <c r="J181" s="118">
        <v>-5.1952679000000002</v>
      </c>
      <c r="K181" s="118">
        <v>-80.625332099999994</v>
      </c>
      <c r="L181" s="117">
        <v>190101</v>
      </c>
      <c r="M181" s="117">
        <v>200101</v>
      </c>
    </row>
    <row r="182" spans="1:13" x14ac:dyDescent="0.25">
      <c r="A182" s="120">
        <v>181</v>
      </c>
      <c r="B182" s="120">
        <v>18</v>
      </c>
      <c r="C182" s="117" t="str">
        <f>_xlfn.XLOOKUP(B182,dimUniversidades!$A:$A,dimUniversidades!$B:$B,"(sin universidad)")</f>
        <v>Universidad Nacional de Piura</v>
      </c>
      <c r="D182" s="117" t="s">
        <v>1117</v>
      </c>
      <c r="E182" s="119" t="b">
        <v>0</v>
      </c>
      <c r="F182" s="117" t="s">
        <v>622</v>
      </c>
      <c r="G182" s="117" t="s">
        <v>622</v>
      </c>
      <c r="H182" s="117" t="s">
        <v>622</v>
      </c>
      <c r="I182" s="117" t="s">
        <v>2037</v>
      </c>
      <c r="J182" s="118">
        <v>-5.1797288562647896</v>
      </c>
      <c r="K182" s="118">
        <v>-80.618489825903296</v>
      </c>
      <c r="L182" s="117">
        <v>190101</v>
      </c>
      <c r="M182" s="117">
        <v>200101</v>
      </c>
    </row>
    <row r="183" spans="1:13" x14ac:dyDescent="0.25">
      <c r="A183" s="120">
        <v>182</v>
      </c>
      <c r="B183" s="120">
        <v>18</v>
      </c>
      <c r="C183" s="117" t="str">
        <f>_xlfn.XLOOKUP(B183,dimUniversidades!$A:$A,dimUniversidades!$B:$B,"(sin universidad)")</f>
        <v>Universidad Nacional de Piura</v>
      </c>
      <c r="D183" s="117" t="s">
        <v>579</v>
      </c>
      <c r="E183" s="119" t="b">
        <v>0</v>
      </c>
      <c r="F183" s="117" t="s">
        <v>622</v>
      </c>
      <c r="G183" s="117" t="s">
        <v>621</v>
      </c>
      <c r="H183" s="117" t="s">
        <v>621</v>
      </c>
      <c r="I183" s="117" t="s">
        <v>2036</v>
      </c>
      <c r="J183" s="118">
        <v>-4.9265691854326503</v>
      </c>
      <c r="K183" s="118">
        <v>-80.341877029569304</v>
      </c>
      <c r="L183" s="117">
        <v>190601</v>
      </c>
      <c r="M183" s="117">
        <v>200601</v>
      </c>
    </row>
    <row r="184" spans="1:13" x14ac:dyDescent="0.25">
      <c r="A184" s="120">
        <v>183</v>
      </c>
      <c r="B184" s="120">
        <v>18</v>
      </c>
      <c r="C184" s="117" t="str">
        <f>_xlfn.XLOOKUP(B184,dimUniversidades!$A:$A,dimUniversidades!$B:$B,"(sin universidad)")</f>
        <v>Universidad Nacional de Piura</v>
      </c>
      <c r="D184" s="117" t="s">
        <v>1160</v>
      </c>
      <c r="E184" s="119" t="b">
        <v>0</v>
      </c>
      <c r="F184" s="117" t="s">
        <v>622</v>
      </c>
      <c r="G184" s="117" t="s">
        <v>2035</v>
      </c>
      <c r="H184" s="117" t="s">
        <v>2035</v>
      </c>
      <c r="I184" s="117" t="s">
        <v>2034</v>
      </c>
      <c r="J184" s="118">
        <v>-5.0966547017083901</v>
      </c>
      <c r="K184" s="118">
        <v>-81.108747828697204</v>
      </c>
      <c r="L184" s="117">
        <v>190501</v>
      </c>
      <c r="M184" s="117">
        <v>200501</v>
      </c>
    </row>
    <row r="185" spans="1:13" x14ac:dyDescent="0.25">
      <c r="A185" s="120">
        <v>184</v>
      </c>
      <c r="B185" s="120">
        <v>18</v>
      </c>
      <c r="C185" s="117" t="str">
        <f>_xlfn.XLOOKUP(B185,dimUniversidades!$A:$A,dimUniversidades!$B:$B,"(sin universidad)")</f>
        <v>Universidad Nacional de Piura</v>
      </c>
      <c r="D185" s="117" t="s">
        <v>599</v>
      </c>
      <c r="E185" s="119" t="b">
        <v>0</v>
      </c>
      <c r="F185" s="117" t="s">
        <v>622</v>
      </c>
      <c r="G185" s="117" t="s">
        <v>1494</v>
      </c>
      <c r="H185" s="117" t="s">
        <v>1493</v>
      </c>
      <c r="I185" s="117" t="s">
        <v>2033</v>
      </c>
      <c r="J185" s="118">
        <v>-5.1034161999999998</v>
      </c>
      <c r="K185" s="118">
        <v>-80.168313900000001</v>
      </c>
      <c r="L185" s="117">
        <v>190401</v>
      </c>
      <c r="M185" s="117">
        <v>200401</v>
      </c>
    </row>
    <row r="186" spans="1:13" x14ac:dyDescent="0.25">
      <c r="A186" s="120">
        <v>185</v>
      </c>
      <c r="B186" s="120">
        <v>18</v>
      </c>
      <c r="C186" s="117" t="str">
        <f>_xlfn.XLOOKUP(B186,dimUniversidades!$A:$A,dimUniversidades!$B:$B,"(sin universidad)")</f>
        <v>Universidad Nacional de Piura</v>
      </c>
      <c r="D186" s="117" t="s">
        <v>678</v>
      </c>
      <c r="E186" s="119" t="b">
        <v>0</v>
      </c>
      <c r="F186" s="117" t="s">
        <v>622</v>
      </c>
      <c r="G186" s="117" t="s">
        <v>2032</v>
      </c>
      <c r="H186" s="117" t="s">
        <v>2032</v>
      </c>
      <c r="I186" s="117" t="s">
        <v>2031</v>
      </c>
      <c r="J186" s="118">
        <v>-5.5539264697360204</v>
      </c>
      <c r="K186" s="118">
        <v>-80.822121796850595</v>
      </c>
      <c r="L186" s="117">
        <v>190801</v>
      </c>
      <c r="M186" s="117">
        <v>200801</v>
      </c>
    </row>
    <row r="187" spans="1:13" x14ac:dyDescent="0.25">
      <c r="A187" s="120">
        <v>186</v>
      </c>
      <c r="B187" s="120">
        <v>18</v>
      </c>
      <c r="C187" s="117" t="str">
        <f>_xlfn.XLOOKUP(B187,dimUniversidades!$A:$A,dimUniversidades!$B:$B,"(sin universidad)")</f>
        <v>Universidad Nacional de Piura</v>
      </c>
      <c r="D187" s="117" t="s">
        <v>392</v>
      </c>
      <c r="E187" s="119" t="b">
        <v>0</v>
      </c>
      <c r="F187" s="117" t="s">
        <v>622</v>
      </c>
      <c r="G187" s="117" t="s">
        <v>2030</v>
      </c>
      <c r="H187" s="117" t="s">
        <v>2029</v>
      </c>
      <c r="I187" s="117" t="s">
        <v>2028</v>
      </c>
      <c r="J187" s="118">
        <v>-4.5889905000000004</v>
      </c>
      <c r="K187" s="118">
        <v>-81.2556972</v>
      </c>
      <c r="L187" s="117">
        <v>190701</v>
      </c>
      <c r="M187" s="117">
        <v>200701</v>
      </c>
    </row>
    <row r="188" spans="1:13" x14ac:dyDescent="0.25">
      <c r="A188" s="120">
        <v>187</v>
      </c>
      <c r="B188" s="120">
        <v>18</v>
      </c>
      <c r="C188" s="117" t="str">
        <f>_xlfn.XLOOKUP(B188,dimUniversidades!$A:$A,dimUniversidades!$B:$B,"(sin universidad)")</f>
        <v>Universidad Nacional de Piura</v>
      </c>
      <c r="D188" s="117" t="s">
        <v>1153</v>
      </c>
      <c r="E188" s="119" t="b">
        <v>0</v>
      </c>
      <c r="F188" s="117" t="s">
        <v>622</v>
      </c>
      <c r="G188" s="117" t="s">
        <v>2027</v>
      </c>
      <c r="H188" s="117" t="s">
        <v>2027</v>
      </c>
      <c r="I188" s="117" t="s">
        <v>2026</v>
      </c>
      <c r="J188" s="118">
        <v>-5.2374402</v>
      </c>
      <c r="K188" s="118">
        <v>-79.452109500000006</v>
      </c>
      <c r="L188" s="117">
        <v>190301</v>
      </c>
      <c r="M188" s="117">
        <v>200301</v>
      </c>
    </row>
    <row r="189" spans="1:13" x14ac:dyDescent="0.25">
      <c r="A189" s="120">
        <v>188</v>
      </c>
      <c r="B189" s="120">
        <v>19</v>
      </c>
      <c r="C189" s="117" t="str">
        <f>_xlfn.XLOOKUP(B189,dimUniversidades!$A:$A,dimUniversidades!$B:$B,"(sin universidad)")</f>
        <v>Universidad Nacional del Centro del Perú</v>
      </c>
      <c r="D189" s="117" t="s">
        <v>324</v>
      </c>
      <c r="E189" s="119" t="b">
        <v>1</v>
      </c>
      <c r="F189" s="117" t="s">
        <v>467</v>
      </c>
      <c r="G189" s="117" t="s">
        <v>631</v>
      </c>
      <c r="H189" s="117" t="s">
        <v>1268</v>
      </c>
      <c r="I189" s="117" t="s">
        <v>2025</v>
      </c>
      <c r="J189" s="118">
        <v>-12.0325112515236</v>
      </c>
      <c r="K189" s="118">
        <v>-75.235883607131996</v>
      </c>
      <c r="L189" s="117">
        <v>110113</v>
      </c>
      <c r="M189" s="117">
        <v>120114</v>
      </c>
    </row>
    <row r="190" spans="1:13" x14ac:dyDescent="0.25">
      <c r="A190" s="120">
        <v>189</v>
      </c>
      <c r="B190" s="120">
        <v>19</v>
      </c>
      <c r="C190" s="117" t="str">
        <f>_xlfn.XLOOKUP(B190,dimUniversidades!$A:$A,dimUniversidades!$B:$B,"(sin universidad)")</f>
        <v>Universidad Nacional del Centro del Perú</v>
      </c>
      <c r="D190" s="117" t="s">
        <v>399</v>
      </c>
      <c r="E190" s="119" t="b">
        <v>0</v>
      </c>
      <c r="F190" s="117" t="s">
        <v>467</v>
      </c>
      <c r="G190" s="117" t="s">
        <v>631</v>
      </c>
      <c r="H190" s="117" t="s">
        <v>1268</v>
      </c>
      <c r="I190" s="117" t="s">
        <v>2024</v>
      </c>
      <c r="J190" s="118">
        <v>-12.0538851907751</v>
      </c>
      <c r="K190" s="118">
        <v>-75.215998273954895</v>
      </c>
      <c r="L190" s="117">
        <v>110113</v>
      </c>
      <c r="M190" s="117">
        <v>120114</v>
      </c>
    </row>
    <row r="191" spans="1:13" x14ac:dyDescent="0.25">
      <c r="A191" s="120">
        <v>190</v>
      </c>
      <c r="B191" s="120">
        <v>19</v>
      </c>
      <c r="C191" s="117" t="str">
        <f>_xlfn.XLOOKUP(B191,dimUniversidades!$A:$A,dimUniversidades!$B:$B,"(sin universidad)")</f>
        <v>Universidad Nacional del Centro del Perú</v>
      </c>
      <c r="D191" s="117" t="s">
        <v>735</v>
      </c>
      <c r="E191" s="119" t="b">
        <v>0</v>
      </c>
      <c r="F191" s="117" t="s">
        <v>467</v>
      </c>
      <c r="G191" s="117" t="s">
        <v>631</v>
      </c>
      <c r="H191" s="117" t="s">
        <v>1268</v>
      </c>
      <c r="I191" s="117" t="s">
        <v>2023</v>
      </c>
      <c r="J191" s="118">
        <v>-12.0674680311866</v>
      </c>
      <c r="K191" s="118">
        <v>-75.228963880985603</v>
      </c>
      <c r="L191" s="117">
        <v>110113</v>
      </c>
      <c r="M191" s="117">
        <v>120114</v>
      </c>
    </row>
    <row r="192" spans="1:13" x14ac:dyDescent="0.25">
      <c r="A192" s="120">
        <v>191</v>
      </c>
      <c r="B192" s="120">
        <v>19</v>
      </c>
      <c r="C192" s="117" t="str">
        <f>_xlfn.XLOOKUP(B192,dimUniversidades!$A:$A,dimUniversidades!$B:$B,"(sin universidad)")</f>
        <v>Universidad Nacional del Centro del Perú</v>
      </c>
      <c r="D192" s="117" t="s">
        <v>500</v>
      </c>
      <c r="E192" s="119" t="b">
        <v>0</v>
      </c>
      <c r="F192" s="117" t="s">
        <v>467</v>
      </c>
      <c r="G192" s="117" t="s">
        <v>631</v>
      </c>
      <c r="H192" s="117" t="s">
        <v>631</v>
      </c>
      <c r="I192" s="117" t="s">
        <v>2022</v>
      </c>
      <c r="J192" s="118">
        <v>-12.065981159</v>
      </c>
      <c r="K192" s="118">
        <v>-75.211809783104499</v>
      </c>
      <c r="L192" s="117">
        <v>110101</v>
      </c>
      <c r="M192" s="117">
        <v>120101</v>
      </c>
    </row>
    <row r="193" spans="1:13" x14ac:dyDescent="0.25">
      <c r="A193" s="120">
        <v>192</v>
      </c>
      <c r="B193" s="120">
        <v>19</v>
      </c>
      <c r="C193" s="117" t="str">
        <f>_xlfn.XLOOKUP(B193,dimUniversidades!$A:$A,dimUniversidades!$B:$B,"(sin universidad)")</f>
        <v>Universidad Nacional del Centro del Perú</v>
      </c>
      <c r="D193" s="117" t="s">
        <v>1117</v>
      </c>
      <c r="E193" s="119" t="b">
        <v>0</v>
      </c>
      <c r="F193" s="117" t="s">
        <v>467</v>
      </c>
      <c r="G193" s="117" t="s">
        <v>631</v>
      </c>
      <c r="H193" s="117" t="s">
        <v>631</v>
      </c>
      <c r="I193" s="117" t="s">
        <v>2021</v>
      </c>
      <c r="J193" s="118">
        <v>-12.0659154</v>
      </c>
      <c r="K193" s="118">
        <v>-75.211907199999999</v>
      </c>
      <c r="L193" s="117">
        <v>110101</v>
      </c>
      <c r="M193" s="117">
        <v>120101</v>
      </c>
    </row>
    <row r="194" spans="1:13" x14ac:dyDescent="0.25">
      <c r="A194" s="120">
        <v>193</v>
      </c>
      <c r="B194" s="120">
        <v>19</v>
      </c>
      <c r="C194" s="117" t="str">
        <f>_xlfn.XLOOKUP(B194,dimUniversidades!$A:$A,dimUniversidades!$B:$B,"(sin universidad)")</f>
        <v>Universidad Nacional del Centro del Perú</v>
      </c>
      <c r="D194" s="117" t="s">
        <v>1232</v>
      </c>
      <c r="E194" s="119" t="b">
        <v>0</v>
      </c>
      <c r="F194" s="117" t="s">
        <v>467</v>
      </c>
      <c r="G194" s="117" t="s">
        <v>631</v>
      </c>
      <c r="H194" s="117" t="s">
        <v>631</v>
      </c>
      <c r="I194" s="117" t="s">
        <v>2020</v>
      </c>
      <c r="J194" s="118">
        <v>-12.065693400000001</v>
      </c>
      <c r="K194" s="118">
        <v>-75.212046700000002</v>
      </c>
      <c r="L194" s="117">
        <v>110101</v>
      </c>
      <c r="M194" s="117">
        <v>120101</v>
      </c>
    </row>
    <row r="195" spans="1:13" x14ac:dyDescent="0.25">
      <c r="A195" s="120">
        <v>194</v>
      </c>
      <c r="B195" s="120">
        <v>19</v>
      </c>
      <c r="C195" s="117" t="str">
        <f>_xlfn.XLOOKUP(B195,dimUniversidades!$A:$A,dimUniversidades!$B:$B,"(sin universidad)")</f>
        <v>Universidad Nacional del Centro del Perú</v>
      </c>
      <c r="D195" s="117" t="s">
        <v>1230</v>
      </c>
      <c r="E195" s="119" t="b">
        <v>0</v>
      </c>
      <c r="F195" s="117" t="s">
        <v>467</v>
      </c>
      <c r="G195" s="117" t="s">
        <v>631</v>
      </c>
      <c r="H195" s="117" t="s">
        <v>631</v>
      </c>
      <c r="I195" s="117" t="s">
        <v>2019</v>
      </c>
      <c r="J195" s="118">
        <v>-12.0716223855145</v>
      </c>
      <c r="K195" s="118">
        <v>-75.196133022090194</v>
      </c>
      <c r="L195" s="117">
        <v>110101</v>
      </c>
      <c r="M195" s="117">
        <v>120101</v>
      </c>
    </row>
    <row r="196" spans="1:13" x14ac:dyDescent="0.25">
      <c r="A196" s="120">
        <v>195</v>
      </c>
      <c r="B196" s="120">
        <v>19</v>
      </c>
      <c r="C196" s="117" t="str">
        <f>_xlfn.XLOOKUP(B196,dimUniversidades!$A:$A,dimUniversidades!$B:$B,"(sin universidad)")</f>
        <v>Universidad Nacional del Centro del Perú</v>
      </c>
      <c r="D196" s="117" t="s">
        <v>1227</v>
      </c>
      <c r="E196" s="119" t="b">
        <v>0</v>
      </c>
      <c r="F196" s="117" t="s">
        <v>467</v>
      </c>
      <c r="G196" s="117" t="s">
        <v>631</v>
      </c>
      <c r="H196" s="117" t="s">
        <v>1268</v>
      </c>
      <c r="I196" s="117" t="s">
        <v>2018</v>
      </c>
      <c r="J196" s="118">
        <v>-12.0311635999588</v>
      </c>
      <c r="K196" s="118">
        <v>-75.235086109397699</v>
      </c>
      <c r="L196" s="117">
        <v>110113</v>
      </c>
      <c r="M196" s="117">
        <v>120114</v>
      </c>
    </row>
    <row r="197" spans="1:13" x14ac:dyDescent="0.25">
      <c r="A197" s="120">
        <v>196</v>
      </c>
      <c r="B197" s="120">
        <v>19</v>
      </c>
      <c r="C197" s="117" t="str">
        <f>_xlfn.XLOOKUP(B197,dimUniversidades!$A:$A,dimUniversidades!$B:$B,"(sin universidad)")</f>
        <v>Universidad Nacional del Centro del Perú</v>
      </c>
      <c r="D197" s="117" t="s">
        <v>1419</v>
      </c>
      <c r="E197" s="119" t="b">
        <v>0</v>
      </c>
      <c r="F197" s="117" t="s">
        <v>467</v>
      </c>
      <c r="G197" s="117" t="s">
        <v>631</v>
      </c>
      <c r="H197" s="117" t="s">
        <v>2017</v>
      </c>
      <c r="I197" s="117" t="s">
        <v>2016</v>
      </c>
      <c r="J197" s="118">
        <v>-12.0141729470014</v>
      </c>
      <c r="K197" s="118">
        <v>-75.279868269311507</v>
      </c>
      <c r="L197" s="117">
        <v>110134</v>
      </c>
      <c r="M197" s="117">
        <v>120134</v>
      </c>
    </row>
    <row r="198" spans="1:13" x14ac:dyDescent="0.25">
      <c r="A198" s="120">
        <v>197</v>
      </c>
      <c r="B198" s="120">
        <v>19</v>
      </c>
      <c r="C198" s="117" t="str">
        <f>_xlfn.XLOOKUP(B198,dimUniversidades!$A:$A,dimUniversidades!$B:$B,"(sin universidad)")</f>
        <v>Universidad Nacional del Centro del Perú</v>
      </c>
      <c r="D198" s="117" t="s">
        <v>579</v>
      </c>
      <c r="E198" s="119" t="b">
        <v>0</v>
      </c>
      <c r="F198" s="117" t="s">
        <v>467</v>
      </c>
      <c r="G198" s="117" t="s">
        <v>2012</v>
      </c>
      <c r="H198" s="117" t="s">
        <v>2014</v>
      </c>
      <c r="I198" s="117" t="s">
        <v>2015</v>
      </c>
      <c r="J198" s="118">
        <v>-11.834562731354101</v>
      </c>
      <c r="K198" s="118">
        <v>-75.395393417460994</v>
      </c>
      <c r="L198" s="117">
        <v>110306</v>
      </c>
      <c r="M198" s="117">
        <v>120407</v>
      </c>
    </row>
    <row r="199" spans="1:13" x14ac:dyDescent="0.25">
      <c r="A199" s="120">
        <v>198</v>
      </c>
      <c r="B199" s="120">
        <v>19</v>
      </c>
      <c r="C199" s="117" t="str">
        <f>_xlfn.XLOOKUP(B199,dimUniversidades!$A:$A,dimUniversidades!$B:$B,"(sin universidad)")</f>
        <v>Universidad Nacional del Centro del Perú</v>
      </c>
      <c r="D199" s="117" t="s">
        <v>1165</v>
      </c>
      <c r="E199" s="119" t="b">
        <v>0</v>
      </c>
      <c r="F199" s="117" t="s">
        <v>467</v>
      </c>
      <c r="G199" s="117" t="s">
        <v>2012</v>
      </c>
      <c r="H199" s="117" t="s">
        <v>2014</v>
      </c>
      <c r="I199" s="117" t="s">
        <v>2013</v>
      </c>
      <c r="J199" s="118">
        <v>-11.8201806</v>
      </c>
      <c r="K199" s="118">
        <v>-75.393680799999998</v>
      </c>
      <c r="L199" s="117">
        <v>110306</v>
      </c>
      <c r="M199" s="117">
        <v>120407</v>
      </c>
    </row>
    <row r="200" spans="1:13" x14ac:dyDescent="0.25">
      <c r="A200" s="120">
        <v>199</v>
      </c>
      <c r="B200" s="120">
        <v>19</v>
      </c>
      <c r="C200" s="117" t="str">
        <f>_xlfn.XLOOKUP(B200,dimUniversidades!$A:$A,dimUniversidades!$B:$B,"(sin universidad)")</f>
        <v>Universidad Nacional del Centro del Perú</v>
      </c>
      <c r="D200" s="117" t="s">
        <v>1344</v>
      </c>
      <c r="E200" s="119" t="b">
        <v>0</v>
      </c>
      <c r="F200" s="117" t="s">
        <v>467</v>
      </c>
      <c r="G200" s="117" t="s">
        <v>2012</v>
      </c>
      <c r="H200" s="117" t="s">
        <v>2011</v>
      </c>
      <c r="I200" s="117" t="s">
        <v>2010</v>
      </c>
      <c r="J200" s="118">
        <v>-11.738421262739299</v>
      </c>
      <c r="K200" s="118">
        <v>-75.622835278358494</v>
      </c>
      <c r="L200" s="117">
        <v>110324</v>
      </c>
      <c r="M200" s="117">
        <v>120426</v>
      </c>
    </row>
    <row r="201" spans="1:13" x14ac:dyDescent="0.25">
      <c r="A201" s="120">
        <v>200</v>
      </c>
      <c r="B201" s="120">
        <v>19</v>
      </c>
      <c r="C201" s="117" t="str">
        <f>_xlfn.XLOOKUP(B201,dimUniversidades!$A:$A,dimUniversidades!$B:$B,"(sin universidad)")</f>
        <v>Universidad Nacional del Centro del Perú</v>
      </c>
      <c r="D201" s="117" t="s">
        <v>1160</v>
      </c>
      <c r="E201" s="119" t="b">
        <v>0</v>
      </c>
      <c r="F201" s="117" t="s">
        <v>467</v>
      </c>
      <c r="G201" s="117" t="s">
        <v>466</v>
      </c>
      <c r="H201" s="117" t="s">
        <v>466</v>
      </c>
      <c r="I201" s="117" t="s">
        <v>2009</v>
      </c>
      <c r="J201" s="118">
        <v>-11.384634039230599</v>
      </c>
      <c r="K201" s="118">
        <v>-75.689872843230404</v>
      </c>
      <c r="L201" s="117">
        <v>110501</v>
      </c>
      <c r="M201" s="117">
        <v>120701</v>
      </c>
    </row>
    <row r="202" spans="1:13" x14ac:dyDescent="0.25">
      <c r="A202" s="120">
        <v>201</v>
      </c>
      <c r="B202" s="120">
        <v>19</v>
      </c>
      <c r="C202" s="117" t="str">
        <f>_xlfn.XLOOKUP(B202,dimUniversidades!$A:$A,dimUniversidades!$B:$B,"(sin universidad)")</f>
        <v>Universidad Nacional del Centro del Perú</v>
      </c>
      <c r="D202" s="117" t="s">
        <v>599</v>
      </c>
      <c r="E202" s="119" t="b">
        <v>0</v>
      </c>
      <c r="F202" s="117" t="s">
        <v>467</v>
      </c>
      <c r="G202" s="117" t="s">
        <v>1147</v>
      </c>
      <c r="H202" s="117" t="s">
        <v>1625</v>
      </c>
      <c r="I202" s="117" t="s">
        <v>2008</v>
      </c>
      <c r="J202" s="118">
        <v>-11.215733579398799</v>
      </c>
      <c r="K202" s="118">
        <v>-74.6545886880171</v>
      </c>
      <c r="L202" s="117">
        <v>110707</v>
      </c>
      <c r="M202" s="117">
        <v>120607</v>
      </c>
    </row>
    <row r="203" spans="1:13" x14ac:dyDescent="0.25">
      <c r="A203" s="120">
        <v>202</v>
      </c>
      <c r="B203" s="120">
        <v>19</v>
      </c>
      <c r="C203" s="117" t="str">
        <f>_xlfn.XLOOKUP(B203,dimUniversidades!$A:$A,dimUniversidades!$B:$B,"(sin universidad)")</f>
        <v>Universidad Nacional del Centro del Perú</v>
      </c>
      <c r="D203" s="117" t="s">
        <v>1361</v>
      </c>
      <c r="E203" s="119" t="b">
        <v>0</v>
      </c>
      <c r="F203" s="117" t="s">
        <v>467</v>
      </c>
      <c r="G203" s="117" t="s">
        <v>1147</v>
      </c>
      <c r="H203" s="117" t="s">
        <v>1625</v>
      </c>
      <c r="I203" s="117" t="s">
        <v>2007</v>
      </c>
      <c r="J203" s="118">
        <v>-11.2156704360786</v>
      </c>
      <c r="K203" s="118">
        <v>-74.654610146002199</v>
      </c>
      <c r="L203" s="117">
        <v>110707</v>
      </c>
      <c r="M203" s="117">
        <v>120607</v>
      </c>
    </row>
    <row r="204" spans="1:13" x14ac:dyDescent="0.25">
      <c r="A204" s="120">
        <v>203</v>
      </c>
      <c r="B204" s="120">
        <v>19</v>
      </c>
      <c r="C204" s="117" t="str">
        <f>_xlfn.XLOOKUP(B204,dimUniversidades!$A:$A,dimUniversidades!$B:$B,"(sin universidad)")</f>
        <v>Universidad Nacional del Centro del Perú</v>
      </c>
      <c r="D204" s="117" t="s">
        <v>1497</v>
      </c>
      <c r="E204" s="119" t="b">
        <v>0</v>
      </c>
      <c r="F204" s="117" t="s">
        <v>467</v>
      </c>
      <c r="G204" s="117" t="s">
        <v>1147</v>
      </c>
      <c r="H204" s="117" t="s">
        <v>1147</v>
      </c>
      <c r="I204" s="117" t="s">
        <v>2006</v>
      </c>
      <c r="J204" s="118">
        <v>-11.24586499808</v>
      </c>
      <c r="K204" s="118">
        <v>-74.635371814356603</v>
      </c>
      <c r="L204" s="117">
        <v>110701</v>
      </c>
      <c r="M204" s="117">
        <v>120601</v>
      </c>
    </row>
    <row r="205" spans="1:13" x14ac:dyDescent="0.25">
      <c r="A205" s="120">
        <v>204</v>
      </c>
      <c r="B205" s="120">
        <v>19</v>
      </c>
      <c r="C205" s="117" t="str">
        <f>_xlfn.XLOOKUP(B205,dimUniversidades!$A:$A,dimUniversidades!$B:$B,"(sin universidad)")</f>
        <v>Universidad Nacional del Centro del Perú</v>
      </c>
      <c r="D205" s="117" t="s">
        <v>1495</v>
      </c>
      <c r="E205" s="119" t="b">
        <v>0</v>
      </c>
      <c r="F205" s="117" t="s">
        <v>467</v>
      </c>
      <c r="G205" s="117" t="s">
        <v>1147</v>
      </c>
      <c r="H205" s="117" t="s">
        <v>2005</v>
      </c>
      <c r="I205" s="117" t="s">
        <v>2004</v>
      </c>
      <c r="J205" s="118">
        <v>-11.273231598991201</v>
      </c>
      <c r="K205" s="118">
        <v>-74.670334070776406</v>
      </c>
      <c r="L205" s="117">
        <v>110705</v>
      </c>
      <c r="M205" s="117">
        <v>120605</v>
      </c>
    </row>
    <row r="206" spans="1:13" x14ac:dyDescent="0.25">
      <c r="A206" s="120">
        <v>205</v>
      </c>
      <c r="B206" s="120">
        <v>19</v>
      </c>
      <c r="C206" s="117" t="str">
        <f>_xlfn.XLOOKUP(B206,dimUniversidades!$A:$A,dimUniversidades!$B:$B,"(sin universidad)")</f>
        <v>Universidad Nacional del Centro del Perú</v>
      </c>
      <c r="D206" s="117" t="s">
        <v>678</v>
      </c>
      <c r="E206" s="119" t="b">
        <v>0</v>
      </c>
      <c r="F206" s="117" t="s">
        <v>467</v>
      </c>
      <c r="G206" s="117" t="s">
        <v>467</v>
      </c>
      <c r="H206" s="117" t="s">
        <v>476</v>
      </c>
      <c r="I206" s="117" t="s">
        <v>2003</v>
      </c>
      <c r="J206" s="118">
        <v>-11.1471118065165</v>
      </c>
      <c r="K206" s="118">
        <v>-75.993120929360998</v>
      </c>
      <c r="L206" s="117">
        <v>110401</v>
      </c>
      <c r="M206" s="117">
        <v>120501</v>
      </c>
    </row>
    <row r="207" spans="1:13" x14ac:dyDescent="0.25">
      <c r="A207" s="120">
        <v>206</v>
      </c>
      <c r="B207" s="120">
        <v>19</v>
      </c>
      <c r="C207" s="117" t="str">
        <f>_xlfn.XLOOKUP(B207,dimUniversidades!$A:$A,dimUniversidades!$B:$B,"(sin universidad)")</f>
        <v>Universidad Nacional del Centro del Perú</v>
      </c>
      <c r="D207" s="117" t="s">
        <v>1707</v>
      </c>
      <c r="E207" s="119" t="b">
        <v>0</v>
      </c>
      <c r="F207" s="117" t="s">
        <v>467</v>
      </c>
      <c r="G207" s="117" t="s">
        <v>467</v>
      </c>
      <c r="H207" s="117" t="s">
        <v>476</v>
      </c>
      <c r="I207" s="117" t="s">
        <v>2002</v>
      </c>
      <c r="J207" s="118">
        <v>-11.1471118065165</v>
      </c>
      <c r="K207" s="118">
        <v>-75.993131658197001</v>
      </c>
      <c r="L207" s="117">
        <v>110401</v>
      </c>
      <c r="M207" s="117">
        <v>120501</v>
      </c>
    </row>
    <row r="208" spans="1:13" x14ac:dyDescent="0.25">
      <c r="A208" s="120">
        <v>207</v>
      </c>
      <c r="B208" s="120">
        <v>19</v>
      </c>
      <c r="C208" s="117" t="str">
        <f>_xlfn.XLOOKUP(B208,dimUniversidades!$A:$A,dimUniversidades!$B:$B,"(sin universidad)")</f>
        <v>Universidad Nacional del Centro del Perú</v>
      </c>
      <c r="D208" s="117" t="s">
        <v>392</v>
      </c>
      <c r="E208" s="119" t="b">
        <v>0</v>
      </c>
      <c r="F208" s="117" t="s">
        <v>467</v>
      </c>
      <c r="G208" s="117" t="s">
        <v>1628</v>
      </c>
      <c r="H208" s="117" t="s">
        <v>1634</v>
      </c>
      <c r="I208" s="117" t="s">
        <v>2001</v>
      </c>
      <c r="J208" s="118">
        <v>-11.1215276</v>
      </c>
      <c r="K208" s="118">
        <v>-75.358707499999994</v>
      </c>
      <c r="L208" s="117">
        <v>110802</v>
      </c>
      <c r="M208" s="117">
        <v>120305</v>
      </c>
    </row>
    <row r="209" spans="1:13" x14ac:dyDescent="0.25">
      <c r="A209" s="120">
        <v>208</v>
      </c>
      <c r="B209" s="120">
        <v>19</v>
      </c>
      <c r="C209" s="117" t="str">
        <f>_xlfn.XLOOKUP(B209,dimUniversidades!$A:$A,dimUniversidades!$B:$B,"(sin universidad)")</f>
        <v>Universidad Nacional del Centro del Perú</v>
      </c>
      <c r="D209" s="117" t="s">
        <v>1153</v>
      </c>
      <c r="E209" s="119" t="b">
        <v>0</v>
      </c>
      <c r="F209" s="117" t="s">
        <v>467</v>
      </c>
      <c r="G209" s="117" t="s">
        <v>2000</v>
      </c>
      <c r="H209" s="117" t="s">
        <v>1999</v>
      </c>
      <c r="I209" s="117" t="s">
        <v>1998</v>
      </c>
      <c r="J209" s="118">
        <v>-11.853207299999999</v>
      </c>
      <c r="K209" s="118">
        <v>-75.508015999999998</v>
      </c>
      <c r="L209" s="117">
        <v>110606</v>
      </c>
      <c r="M209" s="117">
        <v>120806</v>
      </c>
    </row>
    <row r="210" spans="1:13" x14ac:dyDescent="0.25">
      <c r="A210" s="120">
        <v>209</v>
      </c>
      <c r="B210" s="120">
        <v>19</v>
      </c>
      <c r="C210" s="117" t="str">
        <f>_xlfn.XLOOKUP(B210,dimUniversidades!$A:$A,dimUniversidades!$B:$B,"(sin universidad)")</f>
        <v>Universidad Nacional del Centro del Perú</v>
      </c>
      <c r="D210" s="117" t="s">
        <v>1148</v>
      </c>
      <c r="E210" s="119" t="b">
        <v>0</v>
      </c>
      <c r="F210" s="117" t="s">
        <v>506</v>
      </c>
      <c r="G210" s="117" t="s">
        <v>1813</v>
      </c>
      <c r="H210" s="117" t="s">
        <v>1813</v>
      </c>
      <c r="I210" s="117" t="s">
        <v>1997</v>
      </c>
      <c r="J210" s="118">
        <v>-10.575023699999999</v>
      </c>
      <c r="K210" s="118">
        <v>-75.400011000000006</v>
      </c>
      <c r="L210" s="117">
        <v>180301</v>
      </c>
      <c r="M210" s="117">
        <v>190301</v>
      </c>
    </row>
    <row r="211" spans="1:13" x14ac:dyDescent="0.25">
      <c r="A211" s="120">
        <v>210</v>
      </c>
      <c r="B211" s="120">
        <v>20</v>
      </c>
      <c r="C211" s="117" t="str">
        <f>_xlfn.XLOOKUP(B211,dimUniversidades!$A:$A,dimUniversidades!$B:$B,"(sin universidad)")</f>
        <v>Universidad Nacional Hermilio Valdizán de Huánuco</v>
      </c>
      <c r="D211" s="117" t="s">
        <v>324</v>
      </c>
      <c r="E211" s="119" t="b">
        <v>1</v>
      </c>
      <c r="F211" s="117" t="s">
        <v>1128</v>
      </c>
      <c r="G211" s="117" t="s">
        <v>1128</v>
      </c>
      <c r="H211" s="117" t="s">
        <v>1994</v>
      </c>
      <c r="I211" s="117" t="s">
        <v>1996</v>
      </c>
      <c r="J211" s="118">
        <v>-9.9496381558839193</v>
      </c>
      <c r="K211" s="118">
        <v>-76.250118212268504</v>
      </c>
      <c r="L211" s="117">
        <v>90111</v>
      </c>
      <c r="M211" s="117">
        <v>100111</v>
      </c>
    </row>
    <row r="212" spans="1:13" x14ac:dyDescent="0.25">
      <c r="A212" s="120">
        <v>211</v>
      </c>
      <c r="B212" s="120">
        <v>20</v>
      </c>
      <c r="C212" s="117" t="str">
        <f>_xlfn.XLOOKUP(B212,dimUniversidades!$A:$A,dimUniversidades!$B:$B,"(sin universidad)")</f>
        <v>Universidad Nacional Hermilio Valdizán de Huánuco</v>
      </c>
      <c r="D212" s="117" t="s">
        <v>399</v>
      </c>
      <c r="E212" s="119" t="b">
        <v>0</v>
      </c>
      <c r="F212" s="117" t="s">
        <v>1128</v>
      </c>
      <c r="G212" s="117" t="s">
        <v>1128</v>
      </c>
      <c r="H212" s="117" t="s">
        <v>1994</v>
      </c>
      <c r="I212" s="117" t="s">
        <v>1995</v>
      </c>
      <c r="J212" s="118">
        <v>-9.9509339831764407</v>
      </c>
      <c r="K212" s="118">
        <v>-76.248647023803699</v>
      </c>
      <c r="L212" s="117">
        <v>90111</v>
      </c>
      <c r="M212" s="117">
        <v>100111</v>
      </c>
    </row>
    <row r="213" spans="1:13" x14ac:dyDescent="0.25">
      <c r="A213" s="120">
        <v>212</v>
      </c>
      <c r="B213" s="120">
        <v>20</v>
      </c>
      <c r="C213" s="117" t="str">
        <f>_xlfn.XLOOKUP(B213,dimUniversidades!$A:$A,dimUniversidades!$B:$B,"(sin universidad)")</f>
        <v>Universidad Nacional Hermilio Valdizán de Huánuco</v>
      </c>
      <c r="D213" s="117" t="s">
        <v>735</v>
      </c>
      <c r="E213" s="119" t="b">
        <v>0</v>
      </c>
      <c r="F213" s="117" t="s">
        <v>1128</v>
      </c>
      <c r="G213" s="117" t="s">
        <v>1128</v>
      </c>
      <c r="H213" s="117" t="s">
        <v>1994</v>
      </c>
      <c r="I213" s="117" t="s">
        <v>1993</v>
      </c>
      <c r="J213" s="118">
        <v>-9.9563768864555993</v>
      </c>
      <c r="K213" s="118">
        <v>-76.252662536558105</v>
      </c>
      <c r="L213" s="117">
        <v>90111</v>
      </c>
      <c r="M213" s="117">
        <v>100111</v>
      </c>
    </row>
    <row r="214" spans="1:13" x14ac:dyDescent="0.25">
      <c r="A214" s="120">
        <v>213</v>
      </c>
      <c r="B214" s="120">
        <v>20</v>
      </c>
      <c r="C214" s="117" t="str">
        <f>_xlfn.XLOOKUP(B214,dimUniversidades!$A:$A,dimUniversidades!$B:$B,"(sin universidad)")</f>
        <v>Universidad Nacional Hermilio Valdizán de Huánuco</v>
      </c>
      <c r="D214" s="117" t="s">
        <v>500</v>
      </c>
      <c r="E214" s="119" t="b">
        <v>0</v>
      </c>
      <c r="F214" s="117" t="s">
        <v>1128</v>
      </c>
      <c r="G214" s="117" t="s">
        <v>1128</v>
      </c>
      <c r="H214" s="117" t="s">
        <v>1927</v>
      </c>
      <c r="I214" s="117" t="s">
        <v>1992</v>
      </c>
      <c r="J214" s="118">
        <v>-9.8354625936929807</v>
      </c>
      <c r="K214" s="118">
        <v>-76.096414222090104</v>
      </c>
      <c r="L214" s="117">
        <v>90103</v>
      </c>
      <c r="M214" s="117">
        <v>100104</v>
      </c>
    </row>
    <row r="215" spans="1:13" x14ac:dyDescent="0.25">
      <c r="A215" s="120">
        <v>214</v>
      </c>
      <c r="B215" s="120">
        <v>20</v>
      </c>
      <c r="C215" s="117" t="str">
        <f>_xlfn.XLOOKUP(B215,dimUniversidades!$A:$A,dimUniversidades!$B:$B,"(sin universidad)")</f>
        <v>Universidad Nacional Hermilio Valdizán de Huánuco</v>
      </c>
      <c r="D215" s="117" t="s">
        <v>579</v>
      </c>
      <c r="E215" s="119" t="b">
        <v>0</v>
      </c>
      <c r="F215" s="117" t="s">
        <v>1128</v>
      </c>
      <c r="G215" s="117" t="s">
        <v>1991</v>
      </c>
      <c r="H215" s="117" t="s">
        <v>1990</v>
      </c>
      <c r="I215" s="117" t="s">
        <v>1989</v>
      </c>
      <c r="J215" s="118">
        <v>-10.160169049876901</v>
      </c>
      <c r="K215" s="118">
        <v>-76.233979265220697</v>
      </c>
      <c r="L215" s="117">
        <v>90205</v>
      </c>
      <c r="M215" s="117">
        <v>100205</v>
      </c>
    </row>
    <row r="216" spans="1:13" x14ac:dyDescent="0.25">
      <c r="A216" s="120">
        <v>215</v>
      </c>
      <c r="B216" s="120">
        <v>20</v>
      </c>
      <c r="C216" s="117" t="str">
        <f>_xlfn.XLOOKUP(B216,dimUniversidades!$A:$A,dimUniversidades!$B:$B,"(sin universidad)")</f>
        <v>Universidad Nacional Hermilio Valdizán de Huánuco</v>
      </c>
      <c r="D216" s="117" t="s">
        <v>1160</v>
      </c>
      <c r="E216" s="119" t="b">
        <v>0</v>
      </c>
      <c r="F216" s="117" t="s">
        <v>1128</v>
      </c>
      <c r="G216" s="117" t="s">
        <v>1924</v>
      </c>
      <c r="H216" s="117" t="s">
        <v>1988</v>
      </c>
      <c r="I216" s="117" t="s">
        <v>1987</v>
      </c>
      <c r="J216" s="118">
        <v>-9.8213551781428201</v>
      </c>
      <c r="K216" s="118">
        <v>-76.799359413422394</v>
      </c>
      <c r="L216" s="117">
        <v>90301</v>
      </c>
      <c r="M216" s="117">
        <v>100301</v>
      </c>
    </row>
    <row r="217" spans="1:13" x14ac:dyDescent="0.25">
      <c r="A217" s="120">
        <v>216</v>
      </c>
      <c r="B217" s="120">
        <v>20</v>
      </c>
      <c r="C217" s="117" t="str">
        <f>_xlfn.XLOOKUP(B217,dimUniversidades!$A:$A,dimUniversidades!$B:$B,"(sin universidad)")</f>
        <v>Universidad Nacional Hermilio Valdizán de Huánuco</v>
      </c>
      <c r="D217" s="117" t="s">
        <v>599</v>
      </c>
      <c r="E217" s="119" t="b">
        <v>0</v>
      </c>
      <c r="F217" s="117" t="s">
        <v>1128</v>
      </c>
      <c r="G217" s="117" t="s">
        <v>1986</v>
      </c>
      <c r="H217" s="117" t="s">
        <v>1985</v>
      </c>
      <c r="I217" s="117" t="s">
        <v>1984</v>
      </c>
      <c r="J217" s="118">
        <v>-8.8861194321467103</v>
      </c>
      <c r="K217" s="118">
        <v>-77.121310525100697</v>
      </c>
      <c r="L217" s="117">
        <v>90903</v>
      </c>
      <c r="M217" s="117">
        <v>100402</v>
      </c>
    </row>
    <row r="218" spans="1:13" x14ac:dyDescent="0.25">
      <c r="A218" s="120">
        <v>217</v>
      </c>
      <c r="B218" s="120">
        <v>20</v>
      </c>
      <c r="C218" s="117" t="str">
        <f>_xlfn.XLOOKUP(B218,dimUniversidades!$A:$A,dimUniversidades!$B:$B,"(sin universidad)")</f>
        <v>Universidad Nacional Hermilio Valdizán de Huánuco</v>
      </c>
      <c r="D218" s="117" t="s">
        <v>678</v>
      </c>
      <c r="E218" s="119" t="b">
        <v>0</v>
      </c>
      <c r="F218" s="117" t="s">
        <v>1128</v>
      </c>
      <c r="G218" s="117" t="s">
        <v>1931</v>
      </c>
      <c r="H218" s="117" t="s">
        <v>1983</v>
      </c>
      <c r="I218" s="117" t="s">
        <v>1982</v>
      </c>
      <c r="J218" s="118">
        <v>-9.5480696893783694</v>
      </c>
      <c r="K218" s="118">
        <v>-76.817134606221003</v>
      </c>
      <c r="L218" s="117">
        <v>90401</v>
      </c>
      <c r="M218" s="117">
        <v>100501</v>
      </c>
    </row>
    <row r="219" spans="1:13" x14ac:dyDescent="0.25">
      <c r="A219" s="120">
        <v>218</v>
      </c>
      <c r="B219" s="120">
        <v>20</v>
      </c>
      <c r="C219" s="117" t="str">
        <f>_xlfn.XLOOKUP(B219,dimUniversidades!$A:$A,dimUniversidades!$B:$B,"(sin universidad)")</f>
        <v>Universidad Nacional Hermilio Valdizán de Huánuco</v>
      </c>
      <c r="D219" s="117" t="s">
        <v>1707</v>
      </c>
      <c r="E219" s="119" t="b">
        <v>0</v>
      </c>
      <c r="F219" s="117" t="s">
        <v>1128</v>
      </c>
      <c r="G219" s="117" t="s">
        <v>1931</v>
      </c>
      <c r="H219" s="117" t="s">
        <v>1934</v>
      </c>
      <c r="I219" s="117" t="s">
        <v>1981</v>
      </c>
      <c r="J219" s="118">
        <v>-9.4236393562330196</v>
      </c>
      <c r="K219" s="118">
        <v>-76.771319880564903</v>
      </c>
      <c r="L219" s="117">
        <v>90403</v>
      </c>
      <c r="M219" s="117">
        <v>100503</v>
      </c>
    </row>
    <row r="220" spans="1:13" x14ac:dyDescent="0.25">
      <c r="A220" s="120">
        <v>219</v>
      </c>
      <c r="B220" s="120">
        <v>20</v>
      </c>
      <c r="C220" s="117" t="str">
        <f>_xlfn.XLOOKUP(B220,dimUniversidades!$A:$A,dimUniversidades!$B:$B,"(sin universidad)")</f>
        <v>Universidad Nacional Hermilio Valdizán de Huánuco</v>
      </c>
      <c r="D220" s="117" t="s">
        <v>365</v>
      </c>
      <c r="E220" s="119" t="b">
        <v>0</v>
      </c>
      <c r="F220" s="117" t="s">
        <v>1128</v>
      </c>
      <c r="G220" s="117" t="s">
        <v>1931</v>
      </c>
      <c r="H220" s="117" t="s">
        <v>1930</v>
      </c>
      <c r="I220" s="117" t="s">
        <v>1980</v>
      </c>
      <c r="J220" s="118">
        <v>-9.53958124483799</v>
      </c>
      <c r="K220" s="118">
        <v>-76.737064165012299</v>
      </c>
      <c r="L220" s="117">
        <v>90404</v>
      </c>
      <c r="M220" s="117">
        <v>100504</v>
      </c>
    </row>
    <row r="221" spans="1:13" x14ac:dyDescent="0.25">
      <c r="A221" s="120">
        <v>220</v>
      </c>
      <c r="B221" s="120">
        <v>20</v>
      </c>
      <c r="C221" s="117" t="str">
        <f>_xlfn.XLOOKUP(B221,dimUniversidades!$A:$A,dimUniversidades!$B:$B,"(sin universidad)")</f>
        <v>Universidad Nacional Hermilio Valdizán de Huánuco</v>
      </c>
      <c r="D221" s="117" t="s">
        <v>1979</v>
      </c>
      <c r="E221" s="119" t="b">
        <v>0</v>
      </c>
      <c r="F221" s="117" t="s">
        <v>1128</v>
      </c>
      <c r="G221" s="117" t="s">
        <v>1931</v>
      </c>
      <c r="H221" s="117" t="s">
        <v>1978</v>
      </c>
      <c r="I221" s="117" t="s">
        <v>1977</v>
      </c>
      <c r="J221" s="118">
        <v>-9.2799936297319494</v>
      </c>
      <c r="K221" s="118">
        <v>-76.396063299999994</v>
      </c>
      <c r="L221" s="117">
        <v>90407</v>
      </c>
      <c r="M221" s="117">
        <v>100507</v>
      </c>
    </row>
    <row r="222" spans="1:13" x14ac:dyDescent="0.25">
      <c r="A222" s="120">
        <v>221</v>
      </c>
      <c r="B222" s="120">
        <v>20</v>
      </c>
      <c r="C222" s="117" t="str">
        <f>_xlfn.XLOOKUP(B222,dimUniversidades!$A:$A,dimUniversidades!$B:$B,"(sin universidad)")</f>
        <v>Universidad Nacional Hermilio Valdizán de Huánuco</v>
      </c>
      <c r="D222" s="117" t="s">
        <v>392</v>
      </c>
      <c r="E222" s="119" t="b">
        <v>0</v>
      </c>
      <c r="F222" s="117" t="s">
        <v>1128</v>
      </c>
      <c r="G222" s="117" t="s">
        <v>1974</v>
      </c>
      <c r="H222" s="117" t="s">
        <v>1976</v>
      </c>
      <c r="I222" s="117" t="s">
        <v>1975</v>
      </c>
      <c r="J222" s="118">
        <v>-10.075820716569099</v>
      </c>
      <c r="K222" s="118">
        <v>-76.632025579742404</v>
      </c>
      <c r="L222" s="117">
        <v>91001</v>
      </c>
      <c r="M222" s="117">
        <v>101001</v>
      </c>
    </row>
    <row r="223" spans="1:13" x14ac:dyDescent="0.25">
      <c r="A223" s="120">
        <v>222</v>
      </c>
      <c r="B223" s="120">
        <v>20</v>
      </c>
      <c r="C223" s="117" t="str">
        <f>_xlfn.XLOOKUP(B223,dimUniversidades!$A:$A,dimUniversidades!$B:$B,"(sin universidad)")</f>
        <v>Universidad Nacional Hermilio Valdizán de Huánuco</v>
      </c>
      <c r="D223" s="117" t="s">
        <v>1383</v>
      </c>
      <c r="E223" s="119" t="b">
        <v>0</v>
      </c>
      <c r="F223" s="117" t="s">
        <v>1128</v>
      </c>
      <c r="G223" s="117" t="s">
        <v>1974</v>
      </c>
      <c r="H223" s="117" t="s">
        <v>1973</v>
      </c>
      <c r="I223" s="117" t="s">
        <v>1972</v>
      </c>
      <c r="J223" s="118">
        <v>-10.067140528245201</v>
      </c>
      <c r="K223" s="118">
        <v>-76.730583624436903</v>
      </c>
      <c r="L223" s="117">
        <v>91002</v>
      </c>
      <c r="M223" s="117">
        <v>101002</v>
      </c>
    </row>
    <row r="224" spans="1:13" x14ac:dyDescent="0.25">
      <c r="A224" s="120">
        <v>223</v>
      </c>
      <c r="B224" s="120">
        <v>20</v>
      </c>
      <c r="C224" s="117" t="str">
        <f>_xlfn.XLOOKUP(B224,dimUniversidades!$A:$A,dimUniversidades!$B:$B,"(sin universidad)")</f>
        <v>Universidad Nacional Hermilio Valdizán de Huánuco</v>
      </c>
      <c r="D224" s="117" t="s">
        <v>1153</v>
      </c>
      <c r="E224" s="119" t="b">
        <v>0</v>
      </c>
      <c r="F224" s="117" t="s">
        <v>1128</v>
      </c>
      <c r="G224" s="117" t="s">
        <v>1971</v>
      </c>
      <c r="H224" s="117" t="s">
        <v>1970</v>
      </c>
      <c r="I224" s="117" t="s">
        <v>1969</v>
      </c>
      <c r="J224" s="118">
        <v>-8.9352158999999798</v>
      </c>
      <c r="K224" s="118">
        <v>-76.116360211045105</v>
      </c>
      <c r="L224" s="117">
        <v>90606</v>
      </c>
      <c r="M224" s="117">
        <v>100604</v>
      </c>
    </row>
    <row r="225" spans="1:13" x14ac:dyDescent="0.25">
      <c r="A225" s="120">
        <v>224</v>
      </c>
      <c r="B225" s="120">
        <v>20</v>
      </c>
      <c r="C225" s="117" t="str">
        <f>_xlfn.XLOOKUP(B225,dimUniversidades!$A:$A,dimUniversidades!$B:$B,"(sin universidad)")</f>
        <v>Universidad Nacional Hermilio Valdizán de Huánuco</v>
      </c>
      <c r="D225" s="117" t="s">
        <v>1148</v>
      </c>
      <c r="E225" s="119" t="b">
        <v>0</v>
      </c>
      <c r="F225" s="117" t="s">
        <v>1128</v>
      </c>
      <c r="G225" s="117" t="s">
        <v>1942</v>
      </c>
      <c r="H225" s="117" t="s">
        <v>1944</v>
      </c>
      <c r="I225" s="117" t="s">
        <v>1968</v>
      </c>
      <c r="J225" s="118">
        <v>-8.6303836781170205</v>
      </c>
      <c r="K225" s="118">
        <v>-77.083758626983595</v>
      </c>
      <c r="L225" s="117">
        <v>90501</v>
      </c>
      <c r="M225" s="117">
        <v>100701</v>
      </c>
    </row>
    <row r="226" spans="1:13" x14ac:dyDescent="0.25">
      <c r="A226" s="120">
        <v>225</v>
      </c>
      <c r="B226" s="120">
        <v>20</v>
      </c>
      <c r="C226" s="117" t="str">
        <f>_xlfn.XLOOKUP(B226,dimUniversidades!$A:$A,dimUniversidades!$B:$B,"(sin universidad)")</f>
        <v>Universidad Nacional Hermilio Valdizán de Huánuco</v>
      </c>
      <c r="D226" s="117" t="s">
        <v>1967</v>
      </c>
      <c r="E226" s="119" t="b">
        <v>0</v>
      </c>
      <c r="F226" s="117" t="s">
        <v>1128</v>
      </c>
      <c r="G226" s="117" t="s">
        <v>1942</v>
      </c>
      <c r="H226" s="117" t="s">
        <v>1944</v>
      </c>
      <c r="I226" s="117" t="s">
        <v>326</v>
      </c>
      <c r="J226" s="118">
        <v>-8.6304526259042404</v>
      </c>
      <c r="K226" s="118">
        <v>-77.083737169311505</v>
      </c>
      <c r="L226" s="117">
        <v>90501</v>
      </c>
      <c r="M226" s="117">
        <v>100701</v>
      </c>
    </row>
    <row r="227" spans="1:13" x14ac:dyDescent="0.25">
      <c r="A227" s="120">
        <v>226</v>
      </c>
      <c r="B227" s="120">
        <v>20</v>
      </c>
      <c r="C227" s="117" t="str">
        <f>_xlfn.XLOOKUP(B227,dimUniversidades!$A:$A,dimUniversidades!$B:$B,"(sin universidad)")</f>
        <v>Universidad Nacional Hermilio Valdizán de Huánuco</v>
      </c>
      <c r="D227" s="117" t="s">
        <v>1145</v>
      </c>
      <c r="E227" s="119" t="b">
        <v>0</v>
      </c>
      <c r="F227" s="117" t="s">
        <v>1128</v>
      </c>
      <c r="G227" s="117" t="s">
        <v>1920</v>
      </c>
      <c r="H227" s="117" t="s">
        <v>1919</v>
      </c>
      <c r="I227" s="117" t="s">
        <v>1966</v>
      </c>
      <c r="J227" s="118">
        <v>-9.8931893279642793</v>
      </c>
      <c r="K227" s="118">
        <v>-75.984146120037806</v>
      </c>
      <c r="L227" s="117">
        <v>90701</v>
      </c>
      <c r="M227" s="117">
        <v>100801</v>
      </c>
    </row>
    <row r="228" spans="1:13" x14ac:dyDescent="0.25">
      <c r="A228" s="120">
        <v>227</v>
      </c>
      <c r="B228" s="120">
        <v>20</v>
      </c>
      <c r="C228" s="117" t="str">
        <f>_xlfn.XLOOKUP(B228,dimUniversidades!$A:$A,dimUniversidades!$B:$B,"(sin universidad)")</f>
        <v>Universidad Nacional Hermilio Valdizán de Huánuco</v>
      </c>
      <c r="D228" s="117" t="s">
        <v>1143</v>
      </c>
      <c r="E228" s="119" t="b">
        <v>0</v>
      </c>
      <c r="F228" s="117" t="s">
        <v>1128</v>
      </c>
      <c r="G228" s="117" t="s">
        <v>1965</v>
      </c>
      <c r="H228" s="117" t="s">
        <v>1964</v>
      </c>
      <c r="I228" s="117" t="s">
        <v>1963</v>
      </c>
      <c r="J228" s="118">
        <v>-9.6734379288649599</v>
      </c>
      <c r="K228" s="118">
        <v>-75.462135971163903</v>
      </c>
      <c r="L228" s="117">
        <v>90803</v>
      </c>
      <c r="M228" s="117">
        <v>100902</v>
      </c>
    </row>
    <row r="229" spans="1:13" x14ac:dyDescent="0.25">
      <c r="A229" s="120">
        <v>228</v>
      </c>
      <c r="B229" s="120">
        <v>20</v>
      </c>
      <c r="C229" s="117" t="str">
        <f>_xlfn.XLOOKUP(B229,dimUniversidades!$A:$A,dimUniversidades!$B:$B,"(sin universidad)")</f>
        <v>Universidad Nacional Hermilio Valdizán de Huánuco</v>
      </c>
      <c r="D229" s="117" t="s">
        <v>1139</v>
      </c>
      <c r="E229" s="119" t="b">
        <v>0</v>
      </c>
      <c r="F229" s="117" t="s">
        <v>1128</v>
      </c>
      <c r="G229" s="117" t="s">
        <v>1937</v>
      </c>
      <c r="H229" s="117" t="s">
        <v>1936</v>
      </c>
      <c r="I229" s="117" t="s">
        <v>1962</v>
      </c>
      <c r="J229" s="118">
        <v>-9.7880854073339005</v>
      </c>
      <c r="K229" s="118">
        <v>-76.569275284239197</v>
      </c>
      <c r="L229" s="117">
        <v>91101</v>
      </c>
      <c r="M229" s="117">
        <v>101101</v>
      </c>
    </row>
    <row r="230" spans="1:13" x14ac:dyDescent="0.25">
      <c r="A230" s="120">
        <v>229</v>
      </c>
      <c r="B230" s="120">
        <v>20</v>
      </c>
      <c r="C230" s="117" t="str">
        <f>_xlfn.XLOOKUP(B230,dimUniversidades!$A:$A,dimUniversidades!$B:$B,"(sin universidad)")</f>
        <v>Universidad Nacional Hermilio Valdizán de Huánuco</v>
      </c>
      <c r="D230" s="117" t="s">
        <v>1137</v>
      </c>
      <c r="E230" s="119" t="b">
        <v>0</v>
      </c>
      <c r="F230" s="117" t="s">
        <v>1128</v>
      </c>
      <c r="G230" s="117" t="s">
        <v>1937</v>
      </c>
      <c r="H230" s="117" t="s">
        <v>1939</v>
      </c>
      <c r="I230" s="117" t="s">
        <v>1202</v>
      </c>
      <c r="J230" s="118">
        <v>-9.7729565376700496</v>
      </c>
      <c r="K230" s="118">
        <v>-76.648285944180301</v>
      </c>
      <c r="L230" s="117">
        <v>91106</v>
      </c>
      <c r="M230" s="117">
        <v>101106</v>
      </c>
    </row>
    <row r="231" spans="1:13" x14ac:dyDescent="0.25">
      <c r="A231" s="120">
        <v>230</v>
      </c>
      <c r="B231" s="120">
        <v>20</v>
      </c>
      <c r="C231" s="117" t="str">
        <f>_xlfn.XLOOKUP(B231,dimUniversidades!$A:$A,dimUniversidades!$B:$B,"(sin universidad)")</f>
        <v>Universidad Nacional Hermilio Valdizán de Huánuco</v>
      </c>
      <c r="D231" s="117" t="s">
        <v>1961</v>
      </c>
      <c r="E231" s="119" t="b">
        <v>0</v>
      </c>
      <c r="F231" s="117" t="s">
        <v>1128</v>
      </c>
      <c r="G231" s="117" t="s">
        <v>1937</v>
      </c>
      <c r="H231" s="117" t="s">
        <v>1939</v>
      </c>
      <c r="I231" s="117" t="s">
        <v>1960</v>
      </c>
      <c r="J231" s="118">
        <v>-9.7728455196756894</v>
      </c>
      <c r="K231" s="118">
        <v>-76.648543436245703</v>
      </c>
      <c r="L231" s="117">
        <v>91106</v>
      </c>
      <c r="M231" s="117">
        <v>101106</v>
      </c>
    </row>
    <row r="232" spans="1:13" x14ac:dyDescent="0.25">
      <c r="A232" s="120">
        <v>231</v>
      </c>
      <c r="B232" s="120">
        <v>20</v>
      </c>
      <c r="C232" s="117" t="str">
        <f>_xlfn.XLOOKUP(B232,dimUniversidades!$A:$A,dimUniversidades!$B:$B,"(sin universidad)")</f>
        <v>Universidad Nacional Hermilio Valdizán de Huánuco</v>
      </c>
      <c r="D232" s="117" t="s">
        <v>1353</v>
      </c>
      <c r="E232" s="119" t="b">
        <v>0</v>
      </c>
      <c r="F232" s="117" t="s">
        <v>467</v>
      </c>
      <c r="G232" s="117" t="s">
        <v>631</v>
      </c>
      <c r="H232" s="117" t="s">
        <v>631</v>
      </c>
      <c r="I232" s="117" t="s">
        <v>1959</v>
      </c>
      <c r="J232" s="118">
        <v>-12.0678563267447</v>
      </c>
      <c r="K232" s="118">
        <v>-75.206694636762293</v>
      </c>
      <c r="L232" s="117">
        <v>110101</v>
      </c>
      <c r="M232" s="117">
        <v>120101</v>
      </c>
    </row>
    <row r="233" spans="1:13" x14ac:dyDescent="0.25">
      <c r="A233" s="120">
        <v>232</v>
      </c>
      <c r="B233" s="120">
        <v>20</v>
      </c>
      <c r="C233" s="117" t="str">
        <f>_xlfn.XLOOKUP(B233,dimUniversidades!$A:$A,dimUniversidades!$B:$B,"(sin universidad)")</f>
        <v>Universidad Nacional Hermilio Valdizán de Huánuco</v>
      </c>
      <c r="D233" s="117" t="s">
        <v>1349</v>
      </c>
      <c r="E233" s="119" t="b">
        <v>0</v>
      </c>
      <c r="F233" s="117" t="s">
        <v>467</v>
      </c>
      <c r="G233" s="117" t="s">
        <v>1628</v>
      </c>
      <c r="H233" s="117" t="s">
        <v>1628</v>
      </c>
      <c r="I233" s="117" t="s">
        <v>1945</v>
      </c>
      <c r="J233" s="118">
        <v>-11.0629446488312</v>
      </c>
      <c r="K233" s="118">
        <v>-75.335354465917902</v>
      </c>
      <c r="L233" s="117">
        <v>110801</v>
      </c>
      <c r="M233" s="117">
        <v>120301</v>
      </c>
    </row>
    <row r="234" spans="1:13" x14ac:dyDescent="0.25">
      <c r="A234" s="120">
        <v>233</v>
      </c>
      <c r="B234" s="120">
        <v>20</v>
      </c>
      <c r="C234" s="117" t="str">
        <f>_xlfn.XLOOKUP(B234,dimUniversidades!$A:$A,dimUniversidades!$B:$B,"(sin universidad)")</f>
        <v>Universidad Nacional Hermilio Valdizán de Huánuco</v>
      </c>
      <c r="D234" s="117" t="s">
        <v>1958</v>
      </c>
      <c r="E234" s="119" t="b">
        <v>0</v>
      </c>
      <c r="F234" s="117" t="s">
        <v>467</v>
      </c>
      <c r="G234" s="117" t="s">
        <v>1147</v>
      </c>
      <c r="H234" s="117" t="s">
        <v>1147</v>
      </c>
      <c r="I234" s="117" t="s">
        <v>1957</v>
      </c>
      <c r="J234" s="118">
        <v>-11.261640473664899</v>
      </c>
      <c r="K234" s="118">
        <v>-74.642530780001096</v>
      </c>
      <c r="L234" s="117">
        <v>110701</v>
      </c>
      <c r="M234" s="117">
        <v>120601</v>
      </c>
    </row>
    <row r="235" spans="1:13" x14ac:dyDescent="0.25">
      <c r="A235" s="120">
        <v>234</v>
      </c>
      <c r="B235" s="120">
        <v>20</v>
      </c>
      <c r="C235" s="117" t="str">
        <f>_xlfn.XLOOKUP(B235,dimUniversidades!$A:$A,dimUniversidades!$B:$B,"(sin universidad)")</f>
        <v>Universidad Nacional Hermilio Valdizán de Huánuco</v>
      </c>
      <c r="D235" s="117" t="s">
        <v>1956</v>
      </c>
      <c r="E235" s="119" t="b">
        <v>0</v>
      </c>
      <c r="F235" s="117" t="s">
        <v>467</v>
      </c>
      <c r="G235" s="117" t="s">
        <v>1147</v>
      </c>
      <c r="H235" s="117" t="s">
        <v>1147</v>
      </c>
      <c r="I235" s="117" t="s">
        <v>1945</v>
      </c>
      <c r="J235" s="118">
        <v>-11.261629951405601</v>
      </c>
      <c r="K235" s="118">
        <v>-74.642530780001096</v>
      </c>
      <c r="L235" s="117">
        <v>110701</v>
      </c>
      <c r="M235" s="117">
        <v>120601</v>
      </c>
    </row>
    <row r="236" spans="1:13" x14ac:dyDescent="0.25">
      <c r="A236" s="120">
        <v>235</v>
      </c>
      <c r="B236" s="120">
        <v>20</v>
      </c>
      <c r="C236" s="117" t="str">
        <f>_xlfn.XLOOKUP(B236,dimUniversidades!$A:$A,dimUniversidades!$B:$B,"(sin universidad)")</f>
        <v>Universidad Nacional Hermilio Valdizán de Huánuco</v>
      </c>
      <c r="D236" s="117" t="s">
        <v>1955</v>
      </c>
      <c r="E236" s="119" t="b">
        <v>0</v>
      </c>
      <c r="F236" s="117" t="s">
        <v>385</v>
      </c>
      <c r="G236" s="117" t="s">
        <v>385</v>
      </c>
      <c r="H236" s="117" t="s">
        <v>1182</v>
      </c>
      <c r="I236" s="117" t="s">
        <v>1954</v>
      </c>
      <c r="J236" s="118">
        <v>-12.061509479030001</v>
      </c>
      <c r="K236" s="118">
        <v>-77.042957224545304</v>
      </c>
      <c r="L236" s="117">
        <v>140133</v>
      </c>
      <c r="M236" s="117">
        <v>150113</v>
      </c>
    </row>
    <row r="237" spans="1:13" x14ac:dyDescent="0.25">
      <c r="A237" s="120">
        <v>236</v>
      </c>
      <c r="B237" s="120">
        <v>20</v>
      </c>
      <c r="C237" s="117" t="str">
        <f>_xlfn.XLOOKUP(B237,dimUniversidades!$A:$A,dimUniversidades!$B:$B,"(sin universidad)")</f>
        <v>Universidad Nacional Hermilio Valdizán de Huánuco</v>
      </c>
      <c r="D237" s="117" t="s">
        <v>1953</v>
      </c>
      <c r="E237" s="119" t="b">
        <v>0</v>
      </c>
      <c r="F237" s="117" t="s">
        <v>385</v>
      </c>
      <c r="G237" s="117" t="s">
        <v>385</v>
      </c>
      <c r="H237" s="117" t="s">
        <v>1236</v>
      </c>
      <c r="I237" s="117" t="s">
        <v>1952</v>
      </c>
      <c r="J237" s="118">
        <v>-12.079503481917699</v>
      </c>
      <c r="K237" s="118">
        <v>-77.034456758895502</v>
      </c>
      <c r="L237" s="117">
        <v>140111</v>
      </c>
      <c r="M237" s="117">
        <v>150116</v>
      </c>
    </row>
    <row r="238" spans="1:13" x14ac:dyDescent="0.25">
      <c r="A238" s="120">
        <v>237</v>
      </c>
      <c r="B238" s="120">
        <v>20</v>
      </c>
      <c r="C238" s="117" t="str">
        <f>_xlfn.XLOOKUP(B238,dimUniversidades!$A:$A,dimUniversidades!$B:$B,"(sin universidad)")</f>
        <v>Universidad Nacional Hermilio Valdizán de Huánuco</v>
      </c>
      <c r="D238" s="117" t="s">
        <v>1951</v>
      </c>
      <c r="E238" s="119" t="b">
        <v>0</v>
      </c>
      <c r="F238" s="117" t="s">
        <v>385</v>
      </c>
      <c r="G238" s="117" t="s">
        <v>385</v>
      </c>
      <c r="H238" s="117" t="s">
        <v>385</v>
      </c>
      <c r="I238" s="117" t="s">
        <v>326</v>
      </c>
      <c r="J238" s="118">
        <v>-12.0464780257436</v>
      </c>
      <c r="K238" s="118">
        <v>-77.044191664031999</v>
      </c>
      <c r="L238" s="117">
        <v>140101</v>
      </c>
      <c r="M238" s="117">
        <v>150101</v>
      </c>
    </row>
    <row r="239" spans="1:13" x14ac:dyDescent="0.25">
      <c r="A239" s="120">
        <v>238</v>
      </c>
      <c r="B239" s="120">
        <v>20</v>
      </c>
      <c r="C239" s="117" t="str">
        <f>_xlfn.XLOOKUP(B239,dimUniversidades!$A:$A,dimUniversidades!$B:$B,"(sin universidad)")</f>
        <v>Universidad Nacional Hermilio Valdizán de Huánuco</v>
      </c>
      <c r="D239" s="117" t="s">
        <v>1950</v>
      </c>
      <c r="E239" s="119" t="b">
        <v>0</v>
      </c>
      <c r="F239" s="117" t="s">
        <v>1152</v>
      </c>
      <c r="G239" s="117" t="s">
        <v>1151</v>
      </c>
      <c r="H239" s="117" t="s">
        <v>1150</v>
      </c>
      <c r="I239" s="117" t="s">
        <v>1949</v>
      </c>
      <c r="J239" s="118">
        <v>-8.3793718144433793</v>
      </c>
      <c r="K239" s="118">
        <v>-74.544831313491798</v>
      </c>
      <c r="L239" s="117">
        <v>250101</v>
      </c>
      <c r="M239" s="117">
        <v>250101</v>
      </c>
    </row>
    <row r="240" spans="1:13" x14ac:dyDescent="0.25">
      <c r="A240" s="120">
        <v>239</v>
      </c>
      <c r="B240" s="120">
        <v>20</v>
      </c>
      <c r="C240" s="117" t="str">
        <f>_xlfn.XLOOKUP(B240,dimUniversidades!$A:$A,dimUniversidades!$B:$B,"(sin universidad)")</f>
        <v>Universidad Nacional Hermilio Valdizán de Huánuco</v>
      </c>
      <c r="D240" s="117" t="s">
        <v>1948</v>
      </c>
      <c r="E240" s="119" t="b">
        <v>0</v>
      </c>
      <c r="F240" s="117" t="s">
        <v>1152</v>
      </c>
      <c r="G240" s="117" t="s">
        <v>1151</v>
      </c>
      <c r="H240" s="117" t="s">
        <v>1150</v>
      </c>
      <c r="I240" s="117" t="s">
        <v>1947</v>
      </c>
      <c r="J240" s="118">
        <v>-8.3793505858342794</v>
      </c>
      <c r="K240" s="118">
        <v>-74.544852771163903</v>
      </c>
      <c r="L240" s="117">
        <v>250101</v>
      </c>
      <c r="M240" s="117">
        <v>250101</v>
      </c>
    </row>
    <row r="241" spans="1:13" x14ac:dyDescent="0.25">
      <c r="A241" s="120">
        <v>240</v>
      </c>
      <c r="B241" s="120">
        <v>20</v>
      </c>
      <c r="C241" s="117" t="str">
        <f>_xlfn.XLOOKUP(B241,dimUniversidades!$A:$A,dimUniversidades!$B:$B,"(sin universidad)")</f>
        <v>Universidad Nacional Hermilio Valdizán de Huánuco</v>
      </c>
      <c r="D241" s="117" t="s">
        <v>1946</v>
      </c>
      <c r="E241" s="119" t="b">
        <v>0</v>
      </c>
      <c r="F241" s="117" t="s">
        <v>1152</v>
      </c>
      <c r="G241" s="117" t="s">
        <v>1151</v>
      </c>
      <c r="H241" s="117" t="s">
        <v>1586</v>
      </c>
      <c r="I241" s="117" t="s">
        <v>1945</v>
      </c>
      <c r="J241" s="118">
        <v>-8.3636568194604504</v>
      </c>
      <c r="K241" s="118">
        <v>-74.567203251590001</v>
      </c>
      <c r="L241" s="117">
        <v>250102</v>
      </c>
      <c r="M241" s="117">
        <v>250105</v>
      </c>
    </row>
    <row r="242" spans="1:13" x14ac:dyDescent="0.25">
      <c r="A242" s="120">
        <v>241</v>
      </c>
      <c r="B242" s="120">
        <v>20</v>
      </c>
      <c r="C242" s="117" t="str">
        <f>_xlfn.XLOOKUP(B242,dimUniversidades!$A:$A,dimUniversidades!$B:$B,"(sin universidad)")</f>
        <v>Universidad Nacional Hermilio Valdizán de Huánuco</v>
      </c>
      <c r="D242" s="117" t="s">
        <v>1798</v>
      </c>
      <c r="E242" s="119" t="b">
        <v>0</v>
      </c>
      <c r="F242" s="117" t="s">
        <v>1128</v>
      </c>
      <c r="G242" s="117" t="s">
        <v>1942</v>
      </c>
      <c r="H242" s="117" t="s">
        <v>1944</v>
      </c>
      <c r="I242" s="117" t="s">
        <v>1943</v>
      </c>
      <c r="J242" s="118">
        <v>-8.6072590000000009</v>
      </c>
      <c r="K242" s="118">
        <v>-77.145751099999998</v>
      </c>
      <c r="L242" s="117">
        <v>90501</v>
      </c>
      <c r="M242" s="117">
        <v>100701</v>
      </c>
    </row>
    <row r="243" spans="1:13" x14ac:dyDescent="0.25">
      <c r="A243" s="120">
        <v>242</v>
      </c>
      <c r="B243" s="120">
        <v>20</v>
      </c>
      <c r="C243" s="117" t="str">
        <f>_xlfn.XLOOKUP(B243,dimUniversidades!$A:$A,dimUniversidades!$B:$B,"(sin universidad)")</f>
        <v>Universidad Nacional Hermilio Valdizán de Huánuco</v>
      </c>
      <c r="D243" s="117" t="s">
        <v>1795</v>
      </c>
      <c r="E243" s="119" t="b">
        <v>0</v>
      </c>
      <c r="F243" s="117" t="s">
        <v>1128</v>
      </c>
      <c r="G243" s="117" t="s">
        <v>1942</v>
      </c>
      <c r="H243" s="117" t="s">
        <v>1941</v>
      </c>
      <c r="I243" s="117" t="s">
        <v>1940</v>
      </c>
      <c r="J243" s="118">
        <v>-9.9207648000000006</v>
      </c>
      <c r="K243" s="118">
        <v>-76.241084299999997</v>
      </c>
      <c r="L243" s="117">
        <v>90502</v>
      </c>
      <c r="M243" s="117">
        <v>100702</v>
      </c>
    </row>
    <row r="244" spans="1:13" x14ac:dyDescent="0.25">
      <c r="A244" s="120">
        <v>243</v>
      </c>
      <c r="B244" s="120">
        <v>20</v>
      </c>
      <c r="C244" s="117" t="str">
        <f>_xlfn.XLOOKUP(B244,dimUniversidades!$A:$A,dimUniversidades!$B:$B,"(sin universidad)")</f>
        <v>Universidad Nacional Hermilio Valdizán de Huánuco</v>
      </c>
      <c r="D244" s="117" t="s">
        <v>1792</v>
      </c>
      <c r="E244" s="119" t="b">
        <v>0</v>
      </c>
      <c r="F244" s="117" t="s">
        <v>1128</v>
      </c>
      <c r="G244" s="117" t="s">
        <v>1937</v>
      </c>
      <c r="H244" s="117" t="s">
        <v>1939</v>
      </c>
      <c r="I244" s="117" t="s">
        <v>1202</v>
      </c>
      <c r="J244" s="118">
        <v>-9.7720260999999997</v>
      </c>
      <c r="K244" s="118">
        <v>-76.648232300000004</v>
      </c>
      <c r="L244" s="117">
        <v>91106</v>
      </c>
      <c r="M244" s="117">
        <v>101106</v>
      </c>
    </row>
    <row r="245" spans="1:13" x14ac:dyDescent="0.25">
      <c r="A245" s="120">
        <v>244</v>
      </c>
      <c r="B245" s="120">
        <v>20</v>
      </c>
      <c r="C245" s="117" t="str">
        <f>_xlfn.XLOOKUP(B245,dimUniversidades!$A:$A,dimUniversidades!$B:$B,"(sin universidad)")</f>
        <v>Universidad Nacional Hermilio Valdizán de Huánuco</v>
      </c>
      <c r="D245" s="117" t="s">
        <v>1938</v>
      </c>
      <c r="E245" s="119" t="b">
        <v>0</v>
      </c>
      <c r="F245" s="117" t="s">
        <v>1128</v>
      </c>
      <c r="G245" s="117" t="s">
        <v>1937</v>
      </c>
      <c r="H245" s="117" t="s">
        <v>1936</v>
      </c>
      <c r="I245" s="117" t="s">
        <v>1935</v>
      </c>
      <c r="J245" s="118">
        <v>-9.7887646999999998</v>
      </c>
      <c r="K245" s="118">
        <v>-76.5719414</v>
      </c>
      <c r="L245" s="117">
        <v>91101</v>
      </c>
      <c r="M245" s="117">
        <v>101101</v>
      </c>
    </row>
    <row r="246" spans="1:13" x14ac:dyDescent="0.25">
      <c r="A246" s="120">
        <v>245</v>
      </c>
      <c r="B246" s="120">
        <v>20</v>
      </c>
      <c r="C246" s="117" t="str">
        <f>_xlfn.XLOOKUP(B246,dimUniversidades!$A:$A,dimUniversidades!$B:$B,"(sin universidad)")</f>
        <v>Universidad Nacional Hermilio Valdizán de Huánuco</v>
      </c>
      <c r="D246" s="117" t="s">
        <v>1790</v>
      </c>
      <c r="E246" s="119" t="b">
        <v>0</v>
      </c>
      <c r="F246" s="117" t="s">
        <v>1128</v>
      </c>
      <c r="G246" s="117" t="s">
        <v>1931</v>
      </c>
      <c r="H246" s="117" t="s">
        <v>1934</v>
      </c>
      <c r="I246" s="117" t="s">
        <v>1933</v>
      </c>
      <c r="J246" s="118">
        <v>-9.4241077000000004</v>
      </c>
      <c r="K246" s="118">
        <v>-76.770080699999994</v>
      </c>
      <c r="L246" s="117">
        <v>90403</v>
      </c>
      <c r="M246" s="117">
        <v>100503</v>
      </c>
    </row>
    <row r="247" spans="1:13" x14ac:dyDescent="0.25">
      <c r="A247" s="120">
        <v>246</v>
      </c>
      <c r="B247" s="120">
        <v>20</v>
      </c>
      <c r="C247" s="117" t="str">
        <f>_xlfn.XLOOKUP(B247,dimUniversidades!$A:$A,dimUniversidades!$B:$B,"(sin universidad)")</f>
        <v>Universidad Nacional Hermilio Valdizán de Huánuco</v>
      </c>
      <c r="D247" s="117" t="s">
        <v>1932</v>
      </c>
      <c r="E247" s="119" t="b">
        <v>0</v>
      </c>
      <c r="F247" s="117" t="s">
        <v>1128</v>
      </c>
      <c r="G247" s="117" t="s">
        <v>1931</v>
      </c>
      <c r="H247" s="117" t="s">
        <v>1930</v>
      </c>
      <c r="I247" s="117" t="s">
        <v>1929</v>
      </c>
      <c r="J247" s="118">
        <v>-9.5393617000000006</v>
      </c>
      <c r="K247" s="118">
        <v>-76.737179499999996</v>
      </c>
      <c r="L247" s="117">
        <v>90404</v>
      </c>
      <c r="M247" s="117">
        <v>100504</v>
      </c>
    </row>
    <row r="248" spans="1:13" x14ac:dyDescent="0.25">
      <c r="A248" s="120">
        <v>247</v>
      </c>
      <c r="B248" s="120">
        <v>20</v>
      </c>
      <c r="C248" s="117" t="str">
        <f>_xlfn.XLOOKUP(B248,dimUniversidades!$A:$A,dimUniversidades!$B:$B,"(sin universidad)")</f>
        <v>Universidad Nacional Hermilio Valdizán de Huánuco</v>
      </c>
      <c r="D248" s="117" t="s">
        <v>1928</v>
      </c>
      <c r="E248" s="119" t="b">
        <v>0</v>
      </c>
      <c r="F248" s="117" t="s">
        <v>1128</v>
      </c>
      <c r="G248" s="117" t="s">
        <v>1128</v>
      </c>
      <c r="H248" s="117" t="s">
        <v>1927</v>
      </c>
      <c r="I248" s="117" t="s">
        <v>1926</v>
      </c>
      <c r="J248" s="118">
        <v>-9.8352220999999993</v>
      </c>
      <c r="K248" s="118">
        <v>-76.096387399999998</v>
      </c>
      <c r="L248" s="117">
        <v>90103</v>
      </c>
      <c r="M248" s="117">
        <v>100104</v>
      </c>
    </row>
    <row r="249" spans="1:13" x14ac:dyDescent="0.25">
      <c r="A249" s="120">
        <v>248</v>
      </c>
      <c r="B249" s="120">
        <v>20</v>
      </c>
      <c r="C249" s="117" t="str">
        <f>_xlfn.XLOOKUP(B249,dimUniversidades!$A:$A,dimUniversidades!$B:$B,"(sin universidad)")</f>
        <v>Universidad Nacional Hermilio Valdizán de Huánuco</v>
      </c>
      <c r="D249" s="117" t="s">
        <v>1925</v>
      </c>
      <c r="E249" s="119" t="b">
        <v>0</v>
      </c>
      <c r="F249" s="117" t="s">
        <v>1128</v>
      </c>
      <c r="G249" s="117" t="s">
        <v>1924</v>
      </c>
      <c r="H249" s="117" t="s">
        <v>1923</v>
      </c>
      <c r="I249" s="117" t="s">
        <v>1922</v>
      </c>
      <c r="J249" s="118">
        <v>-9.7124646000000006</v>
      </c>
      <c r="K249" s="118">
        <v>-76.849032800000003</v>
      </c>
      <c r="L249" s="117">
        <v>90314</v>
      </c>
      <c r="M249" s="117">
        <v>100313</v>
      </c>
    </row>
    <row r="250" spans="1:13" x14ac:dyDescent="0.25">
      <c r="A250" s="120">
        <v>249</v>
      </c>
      <c r="B250" s="120">
        <v>20</v>
      </c>
      <c r="C250" s="117" t="str">
        <f>_xlfn.XLOOKUP(B250,dimUniversidades!$A:$A,dimUniversidades!$B:$B,"(sin universidad)")</f>
        <v>Universidad Nacional Hermilio Valdizán de Huánuco</v>
      </c>
      <c r="D250" s="117" t="s">
        <v>1921</v>
      </c>
      <c r="E250" s="119" t="b">
        <v>0</v>
      </c>
      <c r="F250" s="117" t="s">
        <v>1128</v>
      </c>
      <c r="G250" s="117" t="s">
        <v>1920</v>
      </c>
      <c r="H250" s="117" t="s">
        <v>1919</v>
      </c>
      <c r="I250" s="117" t="s">
        <v>1918</v>
      </c>
      <c r="J250" s="118">
        <v>-9.8925982000000001</v>
      </c>
      <c r="K250" s="118">
        <v>-75.9838187</v>
      </c>
      <c r="L250" s="117">
        <v>90701</v>
      </c>
      <c r="M250" s="117">
        <v>100801</v>
      </c>
    </row>
    <row r="251" spans="1:13" x14ac:dyDescent="0.25">
      <c r="A251" s="120">
        <v>250</v>
      </c>
      <c r="B251" s="120">
        <v>21</v>
      </c>
      <c r="C251" s="117" t="str">
        <f>_xlfn.XLOOKUP(B251,dimUniversidades!$A:$A,dimUniversidades!$B:$B,"(sin universidad)")</f>
        <v>Universidad Nacional Intercultural de Quillabamba</v>
      </c>
      <c r="D251" s="117" t="s">
        <v>324</v>
      </c>
      <c r="E251" s="119" t="b">
        <v>1</v>
      </c>
      <c r="F251" s="117" t="s">
        <v>374</v>
      </c>
      <c r="G251" s="117" t="s">
        <v>1262</v>
      </c>
      <c r="H251" s="117" t="s">
        <v>686</v>
      </c>
      <c r="I251" s="117" t="s">
        <v>688</v>
      </c>
      <c r="J251" s="118">
        <v>-12.8568720025993</v>
      </c>
      <c r="K251" s="118">
        <v>-72.691723687696793</v>
      </c>
      <c r="L251" s="117">
        <v>70901</v>
      </c>
      <c r="M251" s="117">
        <v>80901</v>
      </c>
    </row>
    <row r="252" spans="1:13" x14ac:dyDescent="0.25">
      <c r="A252" s="120">
        <v>251</v>
      </c>
      <c r="B252" s="120">
        <v>22</v>
      </c>
      <c r="C252" s="117" t="str">
        <f>_xlfn.XLOOKUP(B252,dimUniversidades!$A:$A,dimUniversidades!$B:$B,"(sin universidad)")</f>
        <v>Universidad Privada Antenor Orrego</v>
      </c>
      <c r="D252" s="117" t="s">
        <v>324</v>
      </c>
      <c r="E252" s="119" t="b">
        <v>1</v>
      </c>
      <c r="F252" s="117" t="s">
        <v>397</v>
      </c>
      <c r="G252" s="117" t="s">
        <v>396</v>
      </c>
      <c r="H252" s="117" t="s">
        <v>396</v>
      </c>
      <c r="I252" s="117" t="s">
        <v>1917</v>
      </c>
      <c r="J252" s="118">
        <v>-8.1279063518323404</v>
      </c>
      <c r="K252" s="118">
        <v>-79.032360728974894</v>
      </c>
      <c r="L252" s="117">
        <v>120101</v>
      </c>
      <c r="M252" s="117">
        <v>130101</v>
      </c>
    </row>
    <row r="253" spans="1:13" x14ac:dyDescent="0.25">
      <c r="A253" s="120">
        <v>252</v>
      </c>
      <c r="B253" s="120">
        <v>22</v>
      </c>
      <c r="C253" s="117" t="str">
        <f>_xlfn.XLOOKUP(B253,dimUniversidades!$A:$A,dimUniversidades!$B:$B,"(sin universidad)")</f>
        <v>Universidad Privada Antenor Orrego</v>
      </c>
      <c r="D253" s="117" t="s">
        <v>399</v>
      </c>
      <c r="E253" s="119" t="b">
        <v>0</v>
      </c>
      <c r="F253" s="117" t="s">
        <v>397</v>
      </c>
      <c r="G253" s="117" t="s">
        <v>396</v>
      </c>
      <c r="H253" s="117" t="s">
        <v>1462</v>
      </c>
      <c r="I253" s="117" t="s">
        <v>1916</v>
      </c>
      <c r="J253" s="118">
        <v>-8.0817442764350993</v>
      </c>
      <c r="K253" s="118">
        <v>-78.962724849073794</v>
      </c>
      <c r="L253" s="117">
        <v>120103</v>
      </c>
      <c r="M253" s="117">
        <v>130106</v>
      </c>
    </row>
    <row r="254" spans="1:13" x14ac:dyDescent="0.25">
      <c r="A254" s="120">
        <v>253</v>
      </c>
      <c r="B254" s="120">
        <v>22</v>
      </c>
      <c r="C254" s="117" t="str">
        <f>_xlfn.XLOOKUP(B254,dimUniversidades!$A:$A,dimUniversidades!$B:$B,"(sin universidad)")</f>
        <v>Universidad Privada Antenor Orrego</v>
      </c>
      <c r="D254" s="117" t="s">
        <v>579</v>
      </c>
      <c r="E254" s="119" t="b">
        <v>0</v>
      </c>
      <c r="F254" s="117" t="s">
        <v>622</v>
      </c>
      <c r="G254" s="117" t="s">
        <v>622</v>
      </c>
      <c r="H254" s="117" t="s">
        <v>622</v>
      </c>
      <c r="I254" s="117" t="s">
        <v>1915</v>
      </c>
      <c r="J254" s="118">
        <v>-5.16919669432012</v>
      </c>
      <c r="K254" s="118">
        <v>-80.626788037255494</v>
      </c>
      <c r="L254" s="117">
        <v>190101</v>
      </c>
      <c r="M254" s="117">
        <v>200101</v>
      </c>
    </row>
    <row r="255" spans="1:13" x14ac:dyDescent="0.25">
      <c r="A255" s="120">
        <v>254</v>
      </c>
      <c r="B255" s="120">
        <v>23</v>
      </c>
      <c r="C255" s="117" t="str">
        <f>_xlfn.XLOOKUP(B255,dimUniversidades!$A:$A,dimUniversidades!$B:$B,"(sin universidad)")</f>
        <v>Universidad Privada del Norte S.A.C.</v>
      </c>
      <c r="D255" s="117" t="s">
        <v>324</v>
      </c>
      <c r="E255" s="119" t="b">
        <v>1</v>
      </c>
      <c r="F255" s="117" t="s">
        <v>397</v>
      </c>
      <c r="G255" s="117" t="s">
        <v>396</v>
      </c>
      <c r="H255" s="117" t="s">
        <v>396</v>
      </c>
      <c r="I255" s="117" t="s">
        <v>1914</v>
      </c>
      <c r="J255" s="118">
        <v>-8.0998676841160897</v>
      </c>
      <c r="K255" s="118">
        <v>-79.0190814987766</v>
      </c>
      <c r="L255" s="117">
        <v>120101</v>
      </c>
      <c r="M255" s="117">
        <v>130101</v>
      </c>
    </row>
    <row r="256" spans="1:13" x14ac:dyDescent="0.25">
      <c r="A256" s="120">
        <v>255</v>
      </c>
      <c r="B256" s="120">
        <v>23</v>
      </c>
      <c r="C256" s="117" t="str">
        <f>_xlfn.XLOOKUP(B256,dimUniversidades!$A:$A,dimUniversidades!$B:$B,"(sin universidad)")</f>
        <v>Universidad Privada del Norte S.A.C.</v>
      </c>
      <c r="D256" s="117" t="s">
        <v>399</v>
      </c>
      <c r="E256" s="119" t="b">
        <v>0</v>
      </c>
      <c r="F256" s="117" t="s">
        <v>397</v>
      </c>
      <c r="G256" s="117" t="s">
        <v>396</v>
      </c>
      <c r="H256" s="117" t="s">
        <v>396</v>
      </c>
      <c r="I256" s="117" t="s">
        <v>398</v>
      </c>
      <c r="J256" s="118">
        <v>-8.1000519739891796</v>
      </c>
      <c r="K256" s="118">
        <v>-79.019141963754294</v>
      </c>
      <c r="L256" s="117">
        <v>120101</v>
      </c>
      <c r="M256" s="117">
        <v>130101</v>
      </c>
    </row>
    <row r="257" spans="1:13" x14ac:dyDescent="0.25">
      <c r="A257" s="120">
        <v>256</v>
      </c>
      <c r="B257" s="120">
        <v>23</v>
      </c>
      <c r="C257" s="117" t="str">
        <f>_xlfn.XLOOKUP(B257,dimUniversidades!$A:$A,dimUniversidades!$B:$B,"(sin universidad)")</f>
        <v>Universidad Privada del Norte S.A.C.</v>
      </c>
      <c r="D257" s="117" t="s">
        <v>735</v>
      </c>
      <c r="E257" s="119" t="b">
        <v>0</v>
      </c>
      <c r="F257" s="117" t="s">
        <v>397</v>
      </c>
      <c r="G257" s="117" t="s">
        <v>396</v>
      </c>
      <c r="H257" s="117" t="s">
        <v>396</v>
      </c>
      <c r="I257" s="117" t="s">
        <v>1913</v>
      </c>
      <c r="J257" s="118">
        <v>-8.0954381674361393</v>
      </c>
      <c r="K257" s="118">
        <v>-79.049510448410004</v>
      </c>
      <c r="L257" s="117">
        <v>120101</v>
      </c>
      <c r="M257" s="117">
        <v>130101</v>
      </c>
    </row>
    <row r="258" spans="1:13" x14ac:dyDescent="0.25">
      <c r="A258" s="120">
        <v>257</v>
      </c>
      <c r="B258" s="120">
        <v>23</v>
      </c>
      <c r="C258" s="117" t="str">
        <f>_xlfn.XLOOKUP(B258,dimUniversidades!$A:$A,dimUniversidades!$B:$B,"(sin universidad)")</f>
        <v>Universidad Privada del Norte S.A.C.</v>
      </c>
      <c r="D258" s="117" t="s">
        <v>579</v>
      </c>
      <c r="E258" s="119" t="b">
        <v>0</v>
      </c>
      <c r="F258" s="117" t="s">
        <v>420</v>
      </c>
      <c r="G258" s="117" t="s">
        <v>420</v>
      </c>
      <c r="H258" s="117" t="s">
        <v>420</v>
      </c>
      <c r="I258" s="117" t="s">
        <v>1912</v>
      </c>
      <c r="J258" s="118">
        <v>-7.1507062109903998</v>
      </c>
      <c r="K258" s="118">
        <v>-78.505931936176296</v>
      </c>
      <c r="L258" s="117">
        <v>60101</v>
      </c>
      <c r="M258" s="117">
        <v>60101</v>
      </c>
    </row>
    <row r="259" spans="1:13" x14ac:dyDescent="0.25">
      <c r="A259" s="120">
        <v>258</v>
      </c>
      <c r="B259" s="120">
        <v>23</v>
      </c>
      <c r="C259" s="117" t="str">
        <f>_xlfn.XLOOKUP(B259,dimUniversidades!$A:$A,dimUniversidades!$B:$B,"(sin universidad)")</f>
        <v>Universidad Privada del Norte S.A.C.</v>
      </c>
      <c r="D259" s="117" t="s">
        <v>1160</v>
      </c>
      <c r="E259" s="119" t="b">
        <v>0</v>
      </c>
      <c r="F259" s="117" t="s">
        <v>385</v>
      </c>
      <c r="G259" s="117" t="s">
        <v>385</v>
      </c>
      <c r="H259" s="117" t="s">
        <v>384</v>
      </c>
      <c r="I259" s="117" t="s">
        <v>1911</v>
      </c>
      <c r="J259" s="118">
        <v>-11.959429592297001</v>
      </c>
      <c r="K259" s="118">
        <v>-77.068220341208601</v>
      </c>
      <c r="L259" s="117">
        <v>140142</v>
      </c>
      <c r="M259" s="117">
        <v>150117</v>
      </c>
    </row>
    <row r="260" spans="1:13" x14ac:dyDescent="0.25">
      <c r="A260" s="120">
        <v>259</v>
      </c>
      <c r="B260" s="120">
        <v>23</v>
      </c>
      <c r="C260" s="117" t="str">
        <f>_xlfn.XLOOKUP(B260,dimUniversidades!$A:$A,dimUniversidades!$B:$B,"(sin universidad)")</f>
        <v>Universidad Privada del Norte S.A.C.</v>
      </c>
      <c r="D260" s="117" t="s">
        <v>1480</v>
      </c>
      <c r="E260" s="119" t="b">
        <v>0</v>
      </c>
      <c r="F260" s="117" t="s">
        <v>385</v>
      </c>
      <c r="G260" s="117" t="s">
        <v>385</v>
      </c>
      <c r="H260" s="117" t="s">
        <v>385</v>
      </c>
      <c r="I260" s="117" t="s">
        <v>1910</v>
      </c>
      <c r="J260" s="118">
        <v>-12.0583135526646</v>
      </c>
      <c r="K260" s="118">
        <v>-77.058537447221397</v>
      </c>
      <c r="L260" s="117">
        <v>140101</v>
      </c>
      <c r="M260" s="117">
        <v>150101</v>
      </c>
    </row>
    <row r="261" spans="1:13" x14ac:dyDescent="0.25">
      <c r="A261" s="120">
        <v>260</v>
      </c>
      <c r="B261" s="120">
        <v>23</v>
      </c>
      <c r="C261" s="117" t="str">
        <f>_xlfn.XLOOKUP(B261,dimUniversidades!$A:$A,dimUniversidades!$B:$B,"(sin universidad)")</f>
        <v>Universidad Privada del Norte S.A.C.</v>
      </c>
      <c r="D261" s="117" t="s">
        <v>550</v>
      </c>
      <c r="E261" s="119" t="b">
        <v>0</v>
      </c>
      <c r="F261" s="117" t="s">
        <v>385</v>
      </c>
      <c r="G261" s="117" t="s">
        <v>385</v>
      </c>
      <c r="H261" s="117" t="s">
        <v>384</v>
      </c>
      <c r="I261" s="117" t="s">
        <v>549</v>
      </c>
      <c r="J261" s="118">
        <v>-11.9594273654721</v>
      </c>
      <c r="K261" s="118">
        <v>-77.068222909192698</v>
      </c>
      <c r="L261" s="117">
        <v>140142</v>
      </c>
      <c r="M261" s="117">
        <v>150117</v>
      </c>
    </row>
    <row r="262" spans="1:13" x14ac:dyDescent="0.25">
      <c r="A262" s="120">
        <v>261</v>
      </c>
      <c r="B262" s="120">
        <v>23</v>
      </c>
      <c r="C262" s="117" t="str">
        <f>_xlfn.XLOOKUP(B262,dimUniversidades!$A:$A,dimUniversidades!$B:$B,"(sin universidad)")</f>
        <v>Universidad Privada del Norte S.A.C.</v>
      </c>
      <c r="D262" s="117" t="s">
        <v>1607</v>
      </c>
      <c r="E262" s="119" t="b">
        <v>0</v>
      </c>
      <c r="F262" s="117" t="s">
        <v>385</v>
      </c>
      <c r="G262" s="117" t="s">
        <v>385</v>
      </c>
      <c r="H262" s="117" t="s">
        <v>514</v>
      </c>
      <c r="I262" s="117" t="s">
        <v>1909</v>
      </c>
      <c r="J262" s="118">
        <v>-11.9849676970362</v>
      </c>
      <c r="K262" s="118">
        <v>-77.005064834775098</v>
      </c>
      <c r="L262" s="117">
        <v>140137</v>
      </c>
      <c r="M262" s="117">
        <v>150132</v>
      </c>
    </row>
    <row r="263" spans="1:13" x14ac:dyDescent="0.25">
      <c r="A263" s="120">
        <v>262</v>
      </c>
      <c r="B263" s="120">
        <v>23</v>
      </c>
      <c r="C263" s="117" t="str">
        <f>_xlfn.XLOOKUP(B263,dimUniversidades!$A:$A,dimUniversidades!$B:$B,"(sin universidad)")</f>
        <v>Universidad Privada del Norte S.A.C.</v>
      </c>
      <c r="D263" s="117" t="s">
        <v>1570</v>
      </c>
      <c r="E263" s="119" t="b">
        <v>0</v>
      </c>
      <c r="F263" s="117" t="s">
        <v>385</v>
      </c>
      <c r="G263" s="117" t="s">
        <v>385</v>
      </c>
      <c r="H263" s="117" t="s">
        <v>1759</v>
      </c>
      <c r="I263" s="117" t="s">
        <v>1908</v>
      </c>
      <c r="J263" s="118">
        <v>-11.934341732659099</v>
      </c>
      <c r="K263" s="118">
        <v>-77.058602308598296</v>
      </c>
      <c r="L263" s="117">
        <v>140106</v>
      </c>
      <c r="M263" s="117">
        <v>150110</v>
      </c>
    </row>
    <row r="264" spans="1:13" x14ac:dyDescent="0.25">
      <c r="A264" s="120">
        <v>263</v>
      </c>
      <c r="B264" s="120">
        <v>23</v>
      </c>
      <c r="C264" s="117" t="str">
        <f>_xlfn.XLOOKUP(B264,dimUniversidades!$A:$A,dimUniversidades!$B:$B,"(sin universidad)")</f>
        <v>Universidad Privada del Norte S.A.C.</v>
      </c>
      <c r="D264" s="117" t="s">
        <v>1907</v>
      </c>
      <c r="E264" s="119" t="b">
        <v>0</v>
      </c>
      <c r="F264" s="117" t="s">
        <v>385</v>
      </c>
      <c r="G264" s="117" t="s">
        <v>385</v>
      </c>
      <c r="H264" s="117" t="s">
        <v>1529</v>
      </c>
      <c r="I264" s="117" t="s">
        <v>1906</v>
      </c>
      <c r="J264" s="118">
        <v>-12.179581041211399</v>
      </c>
      <c r="K264" s="118">
        <v>-77.003928666704795</v>
      </c>
      <c r="L264" s="117">
        <v>140108</v>
      </c>
      <c r="M264" s="117">
        <v>150108</v>
      </c>
    </row>
    <row r="265" spans="1:13" x14ac:dyDescent="0.25">
      <c r="A265" s="120">
        <v>264</v>
      </c>
      <c r="B265" s="120">
        <v>23</v>
      </c>
      <c r="C265" s="117" t="str">
        <f>_xlfn.XLOOKUP(B265,dimUniversidades!$A:$A,dimUniversidades!$B:$B,"(sin universidad)")</f>
        <v>Universidad Privada del Norte S.A.C.</v>
      </c>
      <c r="D265" s="117" t="s">
        <v>1905</v>
      </c>
      <c r="E265" s="119" t="b">
        <v>0</v>
      </c>
      <c r="F265" s="117" t="s">
        <v>385</v>
      </c>
      <c r="G265" s="117" t="s">
        <v>385</v>
      </c>
      <c r="H265" s="117" t="s">
        <v>1277</v>
      </c>
      <c r="I265" s="117" t="s">
        <v>1904</v>
      </c>
      <c r="J265" s="118">
        <v>-12.023214599999999</v>
      </c>
      <c r="K265" s="118">
        <v>-76.911523200000005</v>
      </c>
      <c r="L265" s="117">
        <v>140103</v>
      </c>
      <c r="M265" s="117">
        <v>150103</v>
      </c>
    </row>
    <row r="266" spans="1:13" x14ac:dyDescent="0.25">
      <c r="A266" s="120">
        <v>265</v>
      </c>
      <c r="B266" s="120">
        <v>23</v>
      </c>
      <c r="C266" s="117" t="str">
        <f>_xlfn.XLOOKUP(B266,dimUniversidades!$A:$A,dimUniversidades!$B:$B,"(sin universidad)")</f>
        <v>Universidad Privada del Norte S.A.C.</v>
      </c>
      <c r="D266" s="117" t="s">
        <v>1903</v>
      </c>
      <c r="E266" s="119" t="b">
        <v>0</v>
      </c>
      <c r="F266" s="117" t="s">
        <v>385</v>
      </c>
      <c r="G266" s="117" t="s">
        <v>385</v>
      </c>
      <c r="H266" s="117" t="s">
        <v>1896</v>
      </c>
      <c r="I266" s="117" t="s">
        <v>1902</v>
      </c>
      <c r="J266" s="118">
        <v>-12.173931400000001</v>
      </c>
      <c r="K266" s="118">
        <v>-76.9766312</v>
      </c>
      <c r="L266" s="117">
        <v>140136</v>
      </c>
      <c r="M266" s="117">
        <v>150133</v>
      </c>
    </row>
    <row r="267" spans="1:13" x14ac:dyDescent="0.25">
      <c r="A267" s="120">
        <v>266</v>
      </c>
      <c r="B267" s="120">
        <v>24</v>
      </c>
      <c r="C267" s="117" t="str">
        <f>_xlfn.XLOOKUP(B267,dimUniversidades!$A:$A,dimUniversidades!$B:$B,"(sin universidad)")</f>
        <v>Universidad Señor de Sipán S.A.C.</v>
      </c>
      <c r="D267" s="117" t="s">
        <v>324</v>
      </c>
      <c r="E267" s="119" t="b">
        <v>1</v>
      </c>
      <c r="F267" s="117" t="s">
        <v>589</v>
      </c>
      <c r="G267" s="117" t="s">
        <v>1222</v>
      </c>
      <c r="H267" s="117" t="s">
        <v>1251</v>
      </c>
      <c r="I267" s="117" t="s">
        <v>1901</v>
      </c>
      <c r="J267" s="118">
        <v>-6.7950046959970702</v>
      </c>
      <c r="K267" s="118">
        <v>-79.885231211045095</v>
      </c>
      <c r="L267" s="117">
        <v>130110</v>
      </c>
      <c r="M267" s="117">
        <v>140112</v>
      </c>
    </row>
    <row r="268" spans="1:13" x14ac:dyDescent="0.25">
      <c r="A268" s="120">
        <v>267</v>
      </c>
      <c r="B268" s="120">
        <v>24</v>
      </c>
      <c r="C268" s="117" t="str">
        <f>_xlfn.XLOOKUP(B268,dimUniversidades!$A:$A,dimUniversidades!$B:$B,"(sin universidad)")</f>
        <v>Universidad Señor de Sipán S.A.C.</v>
      </c>
      <c r="D268" s="117" t="s">
        <v>399</v>
      </c>
      <c r="E268" s="119" t="b">
        <v>0</v>
      </c>
      <c r="F268" s="117" t="s">
        <v>589</v>
      </c>
      <c r="G268" s="117" t="s">
        <v>1222</v>
      </c>
      <c r="H268" s="117" t="s">
        <v>1222</v>
      </c>
      <c r="I268" s="117" t="s">
        <v>1900</v>
      </c>
      <c r="J268" s="118">
        <v>-6.7720317872779603</v>
      </c>
      <c r="K268" s="118">
        <v>-79.836819126983599</v>
      </c>
      <c r="L268" s="117">
        <v>130101</v>
      </c>
      <c r="M268" s="117">
        <v>140101</v>
      </c>
    </row>
    <row r="269" spans="1:13" x14ac:dyDescent="0.25">
      <c r="A269" s="120">
        <v>268</v>
      </c>
      <c r="B269" s="120">
        <v>24</v>
      </c>
      <c r="C269" s="117" t="str">
        <f>_xlfn.XLOOKUP(B269,dimUniversidades!$A:$A,dimUniversidades!$B:$B,"(sin universidad)")</f>
        <v>Universidad Señor de Sipán S.A.C.</v>
      </c>
      <c r="D269" s="117" t="s">
        <v>735</v>
      </c>
      <c r="E269" s="119" t="b">
        <v>0</v>
      </c>
      <c r="F269" s="117" t="s">
        <v>589</v>
      </c>
      <c r="G269" s="117" t="s">
        <v>1222</v>
      </c>
      <c r="H269" s="117" t="s">
        <v>1251</v>
      </c>
      <c r="I269" s="117" t="s">
        <v>1899</v>
      </c>
      <c r="J269" s="118">
        <v>-6.7990250000000003</v>
      </c>
      <c r="K269" s="118">
        <v>-79.889814799999996</v>
      </c>
      <c r="L269" s="117">
        <v>130110</v>
      </c>
      <c r="M269" s="117">
        <v>140112</v>
      </c>
    </row>
    <row r="270" spans="1:13" x14ac:dyDescent="0.25">
      <c r="A270" s="120">
        <v>269</v>
      </c>
      <c r="B270" s="120">
        <v>24</v>
      </c>
      <c r="C270" s="117" t="str">
        <f>_xlfn.XLOOKUP(B270,dimUniversidades!$A:$A,dimUniversidades!$B:$B,"(sin universidad)")</f>
        <v>Universidad Señor de Sipán S.A.C.</v>
      </c>
      <c r="D270" s="117" t="s">
        <v>1170</v>
      </c>
      <c r="E270" s="119" t="b">
        <v>0</v>
      </c>
      <c r="F270" s="117" t="s">
        <v>589</v>
      </c>
      <c r="G270" s="117" t="s">
        <v>1222</v>
      </c>
      <c r="H270" s="117" t="s">
        <v>1222</v>
      </c>
      <c r="I270" s="117" t="s">
        <v>1898</v>
      </c>
      <c r="J270" s="118">
        <v>-6.7693659980387002</v>
      </c>
      <c r="K270" s="118">
        <v>-79.841937920237697</v>
      </c>
      <c r="L270" s="117">
        <v>130101</v>
      </c>
      <c r="M270" s="117">
        <v>140101</v>
      </c>
    </row>
    <row r="271" spans="1:13" x14ac:dyDescent="0.25">
      <c r="A271" s="120">
        <v>270</v>
      </c>
      <c r="B271" s="120">
        <v>24</v>
      </c>
      <c r="C271" s="117" t="str">
        <f>_xlfn.XLOOKUP(B271,dimUniversidades!$A:$A,dimUniversidades!$B:$B,"(sin universidad)")</f>
        <v>Universidad Señor de Sipán S.A.C.</v>
      </c>
      <c r="D271" s="117" t="s">
        <v>500</v>
      </c>
      <c r="E271" s="119" t="b">
        <v>0</v>
      </c>
      <c r="F271" s="117" t="s">
        <v>589</v>
      </c>
      <c r="G271" s="117" t="s">
        <v>1222</v>
      </c>
      <c r="H271" s="117" t="s">
        <v>1222</v>
      </c>
      <c r="I271" s="117" t="s">
        <v>1897</v>
      </c>
      <c r="J271" s="118">
        <v>-6.7951320913011397</v>
      </c>
      <c r="K271" s="118">
        <v>-79.885203102343695</v>
      </c>
      <c r="L271" s="117">
        <v>130101</v>
      </c>
      <c r="M271" s="117">
        <v>140101</v>
      </c>
    </row>
    <row r="272" spans="1:13" x14ac:dyDescent="0.25">
      <c r="A272" s="120">
        <v>271</v>
      </c>
      <c r="B272" s="120">
        <v>24</v>
      </c>
      <c r="C272" s="117" t="str">
        <f>_xlfn.XLOOKUP(B272,dimUniversidades!$A:$A,dimUniversidades!$B:$B,"(sin universidad)")</f>
        <v>Universidad Señor de Sipán S.A.C.</v>
      </c>
      <c r="D272" s="117" t="s">
        <v>579</v>
      </c>
      <c r="E272" s="119" t="b">
        <v>0</v>
      </c>
      <c r="F272" s="117" t="s">
        <v>385</v>
      </c>
      <c r="G272" s="117" t="s">
        <v>385</v>
      </c>
      <c r="H272" s="117" t="s">
        <v>1896</v>
      </c>
      <c r="I272" s="117" t="s">
        <v>1895</v>
      </c>
      <c r="J272" s="118">
        <v>-12.171720092779999</v>
      </c>
      <c r="K272" s="118">
        <v>-76.976726983805804</v>
      </c>
      <c r="L272" s="117">
        <v>140136</v>
      </c>
      <c r="M272" s="117">
        <v>150133</v>
      </c>
    </row>
    <row r="273" spans="1:13" x14ac:dyDescent="0.25">
      <c r="A273" s="120">
        <v>272</v>
      </c>
      <c r="B273" s="120">
        <v>24</v>
      </c>
      <c r="C273" s="117" t="str">
        <f>_xlfn.XLOOKUP(B273,dimUniversidades!$A:$A,dimUniversidades!$B:$B,"(sin universidad)")</f>
        <v>Universidad Señor de Sipán S.A.C.</v>
      </c>
      <c r="D273" s="117" t="s">
        <v>1165</v>
      </c>
      <c r="E273" s="119" t="b">
        <v>0</v>
      </c>
      <c r="F273" s="117" t="s">
        <v>385</v>
      </c>
      <c r="G273" s="117" t="s">
        <v>385</v>
      </c>
      <c r="H273" s="117" t="s">
        <v>1226</v>
      </c>
      <c r="I273" s="117" t="s">
        <v>1894</v>
      </c>
      <c r="J273" s="118">
        <v>-12.0921035</v>
      </c>
      <c r="K273" s="118">
        <v>-77.052466199999998</v>
      </c>
      <c r="L273" s="117">
        <v>140124</v>
      </c>
      <c r="M273" s="117">
        <v>150131</v>
      </c>
    </row>
    <row r="274" spans="1:13" x14ac:dyDescent="0.25">
      <c r="A274" s="120">
        <v>273</v>
      </c>
      <c r="B274" s="120">
        <v>24</v>
      </c>
      <c r="C274" s="117" t="str">
        <f>_xlfn.XLOOKUP(B274,dimUniversidades!$A:$A,dimUniversidades!$B:$B,"(sin universidad)")</f>
        <v>Universidad Señor de Sipán S.A.C.</v>
      </c>
      <c r="D274" s="117" t="s">
        <v>1160</v>
      </c>
      <c r="E274" s="119" t="b">
        <v>0</v>
      </c>
      <c r="F274" s="117" t="s">
        <v>622</v>
      </c>
      <c r="G274" s="117" t="s">
        <v>622</v>
      </c>
      <c r="H274" s="117" t="s">
        <v>622</v>
      </c>
      <c r="I274" s="117" t="s">
        <v>1893</v>
      </c>
      <c r="J274" s="118">
        <v>-5.1935978</v>
      </c>
      <c r="K274" s="118">
        <v>-80.631641599999995</v>
      </c>
      <c r="L274" s="117">
        <v>190101</v>
      </c>
      <c r="M274" s="117">
        <v>200101</v>
      </c>
    </row>
    <row r="275" spans="1:13" x14ac:dyDescent="0.25">
      <c r="A275" s="120">
        <v>274</v>
      </c>
      <c r="B275" s="120">
        <v>24</v>
      </c>
      <c r="C275" s="117" t="str">
        <f>_xlfn.XLOOKUP(B275,dimUniversidades!$A:$A,dimUniversidades!$B:$B,"(sin universidad)")</f>
        <v>Universidad Señor de Sipán S.A.C.</v>
      </c>
      <c r="D275" s="117" t="s">
        <v>1480</v>
      </c>
      <c r="E275" s="119" t="b">
        <v>0</v>
      </c>
      <c r="F275" s="117" t="s">
        <v>622</v>
      </c>
      <c r="G275" s="117" t="s">
        <v>622</v>
      </c>
      <c r="H275" s="117" t="s">
        <v>1892</v>
      </c>
      <c r="I275" s="117" t="s">
        <v>1891</v>
      </c>
      <c r="J275" s="118">
        <v>-5.1782883999999996</v>
      </c>
      <c r="K275" s="118">
        <v>-80.654888200000002</v>
      </c>
      <c r="L275" s="117">
        <v>190115</v>
      </c>
      <c r="M275" s="117">
        <v>200115</v>
      </c>
    </row>
    <row r="276" spans="1:13" x14ac:dyDescent="0.25">
      <c r="A276" s="120">
        <v>275</v>
      </c>
      <c r="B276" s="120">
        <v>24</v>
      </c>
      <c r="C276" s="117" t="str">
        <f>_xlfn.XLOOKUP(B276,dimUniversidades!$A:$A,dimUniversidades!$B:$B,"(sin universidad)")</f>
        <v>Universidad Señor de Sipán S.A.C.</v>
      </c>
      <c r="D276" s="117" t="s">
        <v>550</v>
      </c>
      <c r="E276" s="119" t="b">
        <v>0</v>
      </c>
      <c r="F276" s="117" t="s">
        <v>622</v>
      </c>
      <c r="G276" s="117" t="s">
        <v>622</v>
      </c>
      <c r="H276" s="117" t="s">
        <v>622</v>
      </c>
      <c r="I276" s="117" t="s">
        <v>1890</v>
      </c>
      <c r="J276" s="118">
        <v>-5.1935978</v>
      </c>
      <c r="K276" s="118">
        <v>-80.631641599999995</v>
      </c>
      <c r="L276" s="117">
        <v>190101</v>
      </c>
      <c r="M276" s="117">
        <v>200101</v>
      </c>
    </row>
    <row r="277" spans="1:13" x14ac:dyDescent="0.25">
      <c r="A277" s="120">
        <v>276</v>
      </c>
      <c r="B277" s="120">
        <v>24</v>
      </c>
      <c r="C277" s="117" t="str">
        <f>_xlfn.XLOOKUP(B277,dimUniversidades!$A:$A,dimUniversidades!$B:$B,"(sin universidad)")</f>
        <v>Universidad Señor de Sipán S.A.C.</v>
      </c>
      <c r="D277" s="117" t="s">
        <v>599</v>
      </c>
      <c r="E277" s="119" t="b">
        <v>0</v>
      </c>
      <c r="F277" s="117" t="s">
        <v>397</v>
      </c>
      <c r="G277" s="117" t="s">
        <v>396</v>
      </c>
      <c r="H277" s="117" t="s">
        <v>396</v>
      </c>
      <c r="I277" s="117" t="s">
        <v>1889</v>
      </c>
      <c r="J277" s="118">
        <v>-8.1210853000000007</v>
      </c>
      <c r="K277" s="118">
        <v>-79.036797000000007</v>
      </c>
      <c r="L277" s="117">
        <v>120101</v>
      </c>
      <c r="M277" s="117">
        <v>130101</v>
      </c>
    </row>
    <row r="278" spans="1:13" x14ac:dyDescent="0.25">
      <c r="A278" s="120">
        <v>277</v>
      </c>
      <c r="B278" s="120">
        <v>24</v>
      </c>
      <c r="C278" s="117" t="str">
        <f>_xlfn.XLOOKUP(B278,dimUniversidades!$A:$A,dimUniversidades!$B:$B,"(sin universidad)")</f>
        <v>Universidad Señor de Sipán S.A.C.</v>
      </c>
      <c r="D278" s="117" t="s">
        <v>1361</v>
      </c>
      <c r="E278" s="119" t="b">
        <v>0</v>
      </c>
      <c r="F278" s="117" t="s">
        <v>397</v>
      </c>
      <c r="G278" s="117" t="s">
        <v>396</v>
      </c>
      <c r="H278" s="117" t="s">
        <v>396</v>
      </c>
      <c r="I278" s="117" t="s">
        <v>1888</v>
      </c>
      <c r="J278" s="118">
        <v>-8.1208335999999992</v>
      </c>
      <c r="K278" s="118">
        <v>-79.037138999999996</v>
      </c>
      <c r="L278" s="117">
        <v>120101</v>
      </c>
      <c r="M278" s="117">
        <v>130101</v>
      </c>
    </row>
    <row r="279" spans="1:13" x14ac:dyDescent="0.25">
      <c r="A279" s="120">
        <v>278</v>
      </c>
      <c r="B279" s="120">
        <v>24</v>
      </c>
      <c r="C279" s="117" t="str">
        <f>_xlfn.XLOOKUP(B279,dimUniversidades!$A:$A,dimUniversidades!$B:$B,"(sin universidad)")</f>
        <v>Universidad Señor de Sipán S.A.C.</v>
      </c>
      <c r="D279" s="117" t="s">
        <v>1497</v>
      </c>
      <c r="E279" s="119" t="b">
        <v>0</v>
      </c>
      <c r="F279" s="117" t="s">
        <v>397</v>
      </c>
      <c r="G279" s="117" t="s">
        <v>396</v>
      </c>
      <c r="H279" s="117" t="s">
        <v>1887</v>
      </c>
      <c r="I279" s="117" t="s">
        <v>1886</v>
      </c>
      <c r="J279" s="118">
        <v>-8.1347778999999996</v>
      </c>
      <c r="K279" s="118">
        <v>-79.051087300000006</v>
      </c>
      <c r="L279" s="117">
        <v>120107</v>
      </c>
      <c r="M279" s="117">
        <v>130111</v>
      </c>
    </row>
    <row r="280" spans="1:13" x14ac:dyDescent="0.25">
      <c r="A280" s="120">
        <v>279</v>
      </c>
      <c r="B280" s="120">
        <v>25</v>
      </c>
      <c r="C280" s="117" t="str">
        <f>_xlfn.XLOOKUP(B280,dimUniversidades!$A:$A,dimUniversidades!$B:$B,"(sin universidad)")</f>
        <v>Universidad Tecnológica del Perú S.A.C.</v>
      </c>
      <c r="D280" s="117" t="s">
        <v>324</v>
      </c>
      <c r="E280" s="119" t="b">
        <v>1</v>
      </c>
      <c r="F280" s="117" t="s">
        <v>385</v>
      </c>
      <c r="G280" s="117" t="s">
        <v>385</v>
      </c>
      <c r="H280" s="117" t="s">
        <v>385</v>
      </c>
      <c r="I280" s="117" t="s">
        <v>1885</v>
      </c>
      <c r="J280" s="118">
        <v>-12.0648091</v>
      </c>
      <c r="K280" s="118">
        <v>-77.036395099999993</v>
      </c>
      <c r="L280" s="117">
        <v>140101</v>
      </c>
      <c r="M280" s="117">
        <v>150101</v>
      </c>
    </row>
    <row r="281" spans="1:13" x14ac:dyDescent="0.25">
      <c r="A281" s="120">
        <v>280</v>
      </c>
      <c r="B281" s="120">
        <v>25</v>
      </c>
      <c r="C281" s="117" t="str">
        <f>_xlfn.XLOOKUP(B281,dimUniversidades!$A:$A,dimUniversidades!$B:$B,"(sin universidad)")</f>
        <v>Universidad Tecnológica del Perú S.A.C.</v>
      </c>
      <c r="D281" s="117" t="s">
        <v>399</v>
      </c>
      <c r="E281" s="119" t="b">
        <v>0</v>
      </c>
      <c r="F281" s="117" t="s">
        <v>385</v>
      </c>
      <c r="G281" s="117" t="s">
        <v>385</v>
      </c>
      <c r="H281" s="117" t="s">
        <v>385</v>
      </c>
      <c r="I281" s="117" t="s">
        <v>1884</v>
      </c>
      <c r="J281" s="118">
        <v>-12.0657745046685</v>
      </c>
      <c r="K281" s="118">
        <v>-77.036873583011698</v>
      </c>
      <c r="L281" s="117">
        <v>140101</v>
      </c>
      <c r="M281" s="117">
        <v>150101</v>
      </c>
    </row>
    <row r="282" spans="1:13" x14ac:dyDescent="0.25">
      <c r="A282" s="120">
        <v>281</v>
      </c>
      <c r="B282" s="120">
        <v>25</v>
      </c>
      <c r="C282" s="117" t="str">
        <f>_xlfn.XLOOKUP(B282,dimUniversidades!$A:$A,dimUniversidades!$B:$B,"(sin universidad)")</f>
        <v>Universidad Tecnológica del Perú S.A.C.</v>
      </c>
      <c r="D282" s="117" t="s">
        <v>735</v>
      </c>
      <c r="E282" s="119" t="b">
        <v>0</v>
      </c>
      <c r="F282" s="117" t="s">
        <v>385</v>
      </c>
      <c r="G282" s="117" t="s">
        <v>385</v>
      </c>
      <c r="H282" s="117" t="s">
        <v>385</v>
      </c>
      <c r="I282" s="117" t="s">
        <v>1883</v>
      </c>
      <c r="J282" s="118">
        <v>-12.0674636884261</v>
      </c>
      <c r="K282" s="118">
        <v>-77.035522197445005</v>
      </c>
      <c r="L282" s="117">
        <v>140101</v>
      </c>
      <c r="M282" s="117">
        <v>150101</v>
      </c>
    </row>
    <row r="283" spans="1:13" x14ac:dyDescent="0.25">
      <c r="A283" s="120">
        <v>282</v>
      </c>
      <c r="B283" s="120">
        <v>25</v>
      </c>
      <c r="C283" s="117" t="str">
        <f>_xlfn.XLOOKUP(B283,dimUniversidades!$A:$A,dimUniversidades!$B:$B,"(sin universidad)")</f>
        <v>Universidad Tecnológica del Perú S.A.C.</v>
      </c>
      <c r="D283" s="117" t="s">
        <v>500</v>
      </c>
      <c r="E283" s="119" t="b">
        <v>0</v>
      </c>
      <c r="F283" s="117" t="s">
        <v>385</v>
      </c>
      <c r="G283" s="117" t="s">
        <v>385</v>
      </c>
      <c r="H283" s="117" t="s">
        <v>385</v>
      </c>
      <c r="I283" s="117" t="s">
        <v>1882</v>
      </c>
      <c r="J283" s="118">
        <v>-12.0708678046961</v>
      </c>
      <c r="K283" s="118">
        <v>-77.036926039286797</v>
      </c>
      <c r="L283" s="117">
        <v>140101</v>
      </c>
      <c r="M283" s="117">
        <v>150101</v>
      </c>
    </row>
    <row r="284" spans="1:13" x14ac:dyDescent="0.25">
      <c r="A284" s="120">
        <v>283</v>
      </c>
      <c r="B284" s="120">
        <v>25</v>
      </c>
      <c r="C284" s="117" t="str">
        <f>_xlfn.XLOOKUP(B284,dimUniversidades!$A:$A,dimUniversidades!$B:$B,"(sin universidad)")</f>
        <v>Universidad Tecnológica del Perú S.A.C.</v>
      </c>
      <c r="D284" s="117" t="s">
        <v>1117</v>
      </c>
      <c r="E284" s="119" t="b">
        <v>0</v>
      </c>
      <c r="F284" s="117" t="s">
        <v>385</v>
      </c>
      <c r="G284" s="117" t="s">
        <v>385</v>
      </c>
      <c r="H284" s="117" t="s">
        <v>385</v>
      </c>
      <c r="I284" s="117" t="s">
        <v>1881</v>
      </c>
      <c r="J284" s="118">
        <v>-12.0622586138341</v>
      </c>
      <c r="K284" s="118">
        <v>-77.0406688607479</v>
      </c>
      <c r="L284" s="117">
        <v>140101</v>
      </c>
      <c r="M284" s="117">
        <v>150101</v>
      </c>
    </row>
    <row r="285" spans="1:13" x14ac:dyDescent="0.25">
      <c r="A285" s="120">
        <v>284</v>
      </c>
      <c r="B285" s="120">
        <v>25</v>
      </c>
      <c r="C285" s="117" t="str">
        <f>_xlfn.XLOOKUP(B285,dimUniversidades!$A:$A,dimUniversidades!$B:$B,"(sin universidad)")</f>
        <v>Universidad Tecnológica del Perú S.A.C.</v>
      </c>
      <c r="D285" s="117" t="s">
        <v>1232</v>
      </c>
      <c r="E285" s="119" t="b">
        <v>0</v>
      </c>
      <c r="F285" s="117" t="s">
        <v>385</v>
      </c>
      <c r="G285" s="117" t="s">
        <v>385</v>
      </c>
      <c r="H285" s="117" t="s">
        <v>384</v>
      </c>
      <c r="I285" s="117" t="s">
        <v>1880</v>
      </c>
      <c r="J285" s="118">
        <v>-11.953034687582999</v>
      </c>
      <c r="K285" s="118">
        <v>-77.070144620411298</v>
      </c>
      <c r="L285" s="117">
        <v>140142</v>
      </c>
      <c r="M285" s="117">
        <v>150117</v>
      </c>
    </row>
    <row r="286" spans="1:13" x14ac:dyDescent="0.25">
      <c r="A286" s="120">
        <v>285</v>
      </c>
      <c r="B286" s="120">
        <v>25</v>
      </c>
      <c r="C286" s="117" t="str">
        <f>_xlfn.XLOOKUP(B286,dimUniversidades!$A:$A,dimUniversidades!$B:$B,"(sin universidad)")</f>
        <v>Universidad Tecnológica del Perú S.A.C.</v>
      </c>
      <c r="D286" s="117" t="s">
        <v>1230</v>
      </c>
      <c r="E286" s="119" t="b">
        <v>0</v>
      </c>
      <c r="F286" s="117" t="s">
        <v>385</v>
      </c>
      <c r="G286" s="117" t="s">
        <v>385</v>
      </c>
      <c r="H286" s="117" t="s">
        <v>1226</v>
      </c>
      <c r="I286" s="117" t="s">
        <v>1879</v>
      </c>
      <c r="J286" s="118">
        <v>-12.090628320156799</v>
      </c>
      <c r="K286" s="118">
        <v>-77.051806247221407</v>
      </c>
      <c r="L286" s="117">
        <v>140124</v>
      </c>
      <c r="M286" s="117">
        <v>150131</v>
      </c>
    </row>
    <row r="287" spans="1:13" x14ac:dyDescent="0.25">
      <c r="A287" s="120">
        <v>286</v>
      </c>
      <c r="B287" s="120">
        <v>25</v>
      </c>
      <c r="C287" s="117" t="str">
        <f>_xlfn.XLOOKUP(B287,dimUniversidades!$A:$A,dimUniversidades!$B:$B,"(sin universidad)")</f>
        <v>Universidad Tecnológica del Perú S.A.C.</v>
      </c>
      <c r="D287" s="117" t="s">
        <v>1227</v>
      </c>
      <c r="E287" s="119" t="b">
        <v>0</v>
      </c>
      <c r="F287" s="117" t="s">
        <v>385</v>
      </c>
      <c r="G287" s="117" t="s">
        <v>385</v>
      </c>
      <c r="H287" s="117" t="s">
        <v>1285</v>
      </c>
      <c r="I287" s="117" t="s">
        <v>1878</v>
      </c>
      <c r="J287" s="118">
        <v>-12.193367226150199</v>
      </c>
      <c r="K287" s="118">
        <v>-76.972068330003694</v>
      </c>
      <c r="L287" s="117">
        <v>140141</v>
      </c>
      <c r="M287" s="117">
        <v>150142</v>
      </c>
    </row>
    <row r="288" spans="1:13" x14ac:dyDescent="0.25">
      <c r="A288" s="120">
        <v>287</v>
      </c>
      <c r="B288" s="120">
        <v>25</v>
      </c>
      <c r="C288" s="117" t="str">
        <f>_xlfn.XLOOKUP(B288,dimUniversidades!$A:$A,dimUniversidades!$B:$B,"(sin universidad)")</f>
        <v>Universidad Tecnológica del Perú S.A.C.</v>
      </c>
      <c r="D288" s="117" t="s">
        <v>1419</v>
      </c>
      <c r="E288" s="119" t="b">
        <v>0</v>
      </c>
      <c r="F288" s="117" t="s">
        <v>385</v>
      </c>
      <c r="G288" s="117" t="s">
        <v>385</v>
      </c>
      <c r="H288" s="117" t="s">
        <v>514</v>
      </c>
      <c r="I288" s="117" t="s">
        <v>1877</v>
      </c>
      <c r="J288" s="118">
        <v>-11.9835688819119</v>
      </c>
      <c r="K288" s="118">
        <v>-77.009518211407098</v>
      </c>
      <c r="L288" s="117">
        <v>140137</v>
      </c>
      <c r="M288" s="117">
        <v>150132</v>
      </c>
    </row>
    <row r="289" spans="1:13" x14ac:dyDescent="0.25">
      <c r="A289" s="120">
        <v>288</v>
      </c>
      <c r="B289" s="120">
        <v>25</v>
      </c>
      <c r="C289" s="117" t="str">
        <f>_xlfn.XLOOKUP(B289,dimUniversidades!$A:$A,dimUniversidades!$B:$B,"(sin universidad)")</f>
        <v>Universidad Tecnológica del Perú S.A.C.</v>
      </c>
      <c r="D289" s="117" t="s">
        <v>643</v>
      </c>
      <c r="E289" s="119" t="b">
        <v>0</v>
      </c>
      <c r="F289" s="117" t="s">
        <v>385</v>
      </c>
      <c r="G289" s="117" t="s">
        <v>385</v>
      </c>
      <c r="H289" s="117" t="s">
        <v>385</v>
      </c>
      <c r="I289" s="117" t="s">
        <v>584</v>
      </c>
      <c r="J289" s="118">
        <v>-12.0650965740935</v>
      </c>
      <c r="K289" s="118">
        <v>-77.035356108003995</v>
      </c>
      <c r="L289" s="117">
        <v>140101</v>
      </c>
      <c r="M289" s="117">
        <v>150101</v>
      </c>
    </row>
    <row r="290" spans="1:13" x14ac:dyDescent="0.25">
      <c r="A290" s="120">
        <v>289</v>
      </c>
      <c r="B290" s="120">
        <v>25</v>
      </c>
      <c r="C290" s="117" t="str">
        <f>_xlfn.XLOOKUP(B290,dimUniversidades!$A:$A,dimUniversidades!$B:$B,"(sin universidad)")</f>
        <v>Universidad Tecnológica del Perú S.A.C.</v>
      </c>
      <c r="D290" s="117" t="s">
        <v>1649</v>
      </c>
      <c r="E290" s="119" t="b">
        <v>0</v>
      </c>
      <c r="F290" s="117" t="s">
        <v>385</v>
      </c>
      <c r="G290" s="117" t="s">
        <v>385</v>
      </c>
      <c r="H290" s="117" t="s">
        <v>1277</v>
      </c>
      <c r="I290" s="117" t="s">
        <v>1876</v>
      </c>
      <c r="J290" s="118">
        <v>-12.0138927359415</v>
      </c>
      <c r="K290" s="118">
        <v>-76.882752086368598</v>
      </c>
      <c r="L290" s="117">
        <v>140103</v>
      </c>
      <c r="M290" s="117">
        <v>150103</v>
      </c>
    </row>
    <row r="291" spans="1:13" x14ac:dyDescent="0.25">
      <c r="A291" s="120">
        <v>290</v>
      </c>
      <c r="B291" s="120">
        <v>25</v>
      </c>
      <c r="C291" s="117" t="str">
        <f>_xlfn.XLOOKUP(B291,dimUniversidades!$A:$A,dimUniversidades!$B:$B,"(sin universidad)")</f>
        <v>Universidad Tecnológica del Perú S.A.C.</v>
      </c>
      <c r="D291" s="117" t="s">
        <v>1646</v>
      </c>
      <c r="E291" s="119" t="b">
        <v>0</v>
      </c>
      <c r="F291" s="117" t="s">
        <v>385</v>
      </c>
      <c r="G291" s="117" t="s">
        <v>385</v>
      </c>
      <c r="H291" s="117" t="s">
        <v>385</v>
      </c>
      <c r="I291" s="117" t="s">
        <v>1875</v>
      </c>
      <c r="J291" s="118">
        <v>-12.0657460145654</v>
      </c>
      <c r="K291" s="118">
        <v>-77.034901435512495</v>
      </c>
      <c r="L291" s="117">
        <v>140101</v>
      </c>
      <c r="M291" s="117">
        <v>150101</v>
      </c>
    </row>
    <row r="292" spans="1:13" x14ac:dyDescent="0.25">
      <c r="A292" s="120">
        <v>291</v>
      </c>
      <c r="B292" s="120">
        <v>25</v>
      </c>
      <c r="C292" s="117" t="str">
        <f>_xlfn.XLOOKUP(B292,dimUniversidades!$A:$A,dimUniversidades!$B:$B,"(sin universidad)")</f>
        <v>Universidad Tecnológica del Perú S.A.C.</v>
      </c>
      <c r="D292" s="117" t="s">
        <v>1718</v>
      </c>
      <c r="E292" s="119" t="b">
        <v>0</v>
      </c>
      <c r="F292" s="117" t="s">
        <v>385</v>
      </c>
      <c r="G292" s="117" t="s">
        <v>385</v>
      </c>
      <c r="H292" s="117" t="s">
        <v>385</v>
      </c>
      <c r="I292" s="117" t="s">
        <v>1874</v>
      </c>
      <c r="J292" s="118">
        <v>-12.072245679688301</v>
      </c>
      <c r="K292" s="118">
        <v>-77.036495797973998</v>
      </c>
      <c r="L292" s="117">
        <v>140101</v>
      </c>
      <c r="M292" s="117">
        <v>150101</v>
      </c>
    </row>
    <row r="293" spans="1:13" x14ac:dyDescent="0.25">
      <c r="A293" s="120">
        <v>292</v>
      </c>
      <c r="B293" s="120">
        <v>25</v>
      </c>
      <c r="C293" s="117" t="str">
        <f>_xlfn.XLOOKUP(B293,dimUniversidades!$A:$A,dimUniversidades!$B:$B,"(sin universidad)")</f>
        <v>Universidad Tecnológica del Perú S.A.C.</v>
      </c>
      <c r="D293" s="117" t="s">
        <v>1760</v>
      </c>
      <c r="E293" s="119" t="b">
        <v>0</v>
      </c>
      <c r="F293" s="117" t="s">
        <v>385</v>
      </c>
      <c r="G293" s="117" t="s">
        <v>385</v>
      </c>
      <c r="H293" s="117" t="s">
        <v>385</v>
      </c>
      <c r="I293" s="117" t="s">
        <v>1873</v>
      </c>
      <c r="J293" s="118">
        <v>-12.0668500426404</v>
      </c>
      <c r="K293" s="118">
        <v>-77.035295076686396</v>
      </c>
      <c r="L293" s="117">
        <v>140101</v>
      </c>
      <c r="M293" s="117">
        <v>150101</v>
      </c>
    </row>
    <row r="294" spans="1:13" x14ac:dyDescent="0.25">
      <c r="A294" s="120">
        <v>293</v>
      </c>
      <c r="B294" s="120">
        <v>25</v>
      </c>
      <c r="C294" s="117" t="str">
        <f>_xlfn.XLOOKUP(B294,dimUniversidades!$A:$A,dimUniversidades!$B:$B,"(sin universidad)")</f>
        <v>Universidad Tecnológica del Perú S.A.C.</v>
      </c>
      <c r="D294" s="117" t="s">
        <v>1872</v>
      </c>
      <c r="E294" s="119" t="b">
        <v>0</v>
      </c>
      <c r="F294" s="117" t="s">
        <v>385</v>
      </c>
      <c r="G294" s="117" t="s">
        <v>385</v>
      </c>
      <c r="H294" s="117" t="s">
        <v>514</v>
      </c>
      <c r="I294" s="117" t="s">
        <v>1871</v>
      </c>
      <c r="J294" s="118">
        <v>-11.983572271933999</v>
      </c>
      <c r="K294" s="118">
        <v>-77.009517029669098</v>
      </c>
      <c r="L294" s="117">
        <v>140137</v>
      </c>
      <c r="M294" s="117">
        <v>150132</v>
      </c>
    </row>
    <row r="295" spans="1:13" x14ac:dyDescent="0.25">
      <c r="A295" s="120">
        <v>294</v>
      </c>
      <c r="B295" s="120">
        <v>25</v>
      </c>
      <c r="C295" s="117" t="str">
        <f>_xlfn.XLOOKUP(B295,dimUniversidades!$A:$A,dimUniversidades!$B:$B,"(sin universidad)")</f>
        <v>Universidad Tecnológica del Perú S.A.C.</v>
      </c>
      <c r="D295" s="117" t="s">
        <v>579</v>
      </c>
      <c r="E295" s="119" t="b">
        <v>0</v>
      </c>
      <c r="F295" s="117" t="s">
        <v>530</v>
      </c>
      <c r="G295" s="117" t="s">
        <v>530</v>
      </c>
      <c r="H295" s="117" t="s">
        <v>530</v>
      </c>
      <c r="I295" s="117" t="s">
        <v>1870</v>
      </c>
      <c r="J295" s="118">
        <v>-16.408436200000001</v>
      </c>
      <c r="K295" s="118">
        <v>-71.540737800000002</v>
      </c>
      <c r="L295" s="117">
        <v>40101</v>
      </c>
      <c r="M295" s="117">
        <v>40101</v>
      </c>
    </row>
    <row r="296" spans="1:13" x14ac:dyDescent="0.25">
      <c r="A296" s="120">
        <v>295</v>
      </c>
      <c r="B296" s="120">
        <v>25</v>
      </c>
      <c r="C296" s="117" t="str">
        <f>_xlfn.XLOOKUP(B296,dimUniversidades!$A:$A,dimUniversidades!$B:$B,"(sin universidad)")</f>
        <v>Universidad Tecnológica del Perú S.A.C.</v>
      </c>
      <c r="D296" s="117" t="s">
        <v>1165</v>
      </c>
      <c r="E296" s="119" t="b">
        <v>0</v>
      </c>
      <c r="F296" s="117" t="s">
        <v>530</v>
      </c>
      <c r="G296" s="117" t="s">
        <v>530</v>
      </c>
      <c r="H296" s="117" t="s">
        <v>530</v>
      </c>
      <c r="I296" s="117" t="s">
        <v>1869</v>
      </c>
      <c r="J296" s="118">
        <v>-16.407543100000002</v>
      </c>
      <c r="K296" s="118">
        <v>-71.542319599999999</v>
      </c>
      <c r="L296" s="117">
        <v>40101</v>
      </c>
      <c r="M296" s="117">
        <v>40101</v>
      </c>
    </row>
    <row r="297" spans="1:13" x14ac:dyDescent="0.25">
      <c r="A297" s="120">
        <v>296</v>
      </c>
      <c r="B297" s="120">
        <v>25</v>
      </c>
      <c r="C297" s="117" t="str">
        <f>_xlfn.XLOOKUP(B297,dimUniversidades!$A:$A,dimUniversidades!$B:$B,"(sin universidad)")</f>
        <v>Universidad Tecnológica del Perú S.A.C.</v>
      </c>
      <c r="D297" s="117" t="s">
        <v>1344</v>
      </c>
      <c r="E297" s="119" t="b">
        <v>0</v>
      </c>
      <c r="F297" s="117" t="s">
        <v>530</v>
      </c>
      <c r="G297" s="117" t="s">
        <v>530</v>
      </c>
      <c r="H297" s="117" t="s">
        <v>530</v>
      </c>
      <c r="I297" s="117" t="s">
        <v>1868</v>
      </c>
      <c r="J297" s="118">
        <v>-16.411491699999999</v>
      </c>
      <c r="K297" s="118">
        <v>-71.544669099999993</v>
      </c>
      <c r="L297" s="117">
        <v>40101</v>
      </c>
      <c r="M297" s="117">
        <v>40101</v>
      </c>
    </row>
    <row r="298" spans="1:13" x14ac:dyDescent="0.25">
      <c r="A298" s="120">
        <v>297</v>
      </c>
      <c r="B298" s="120">
        <v>25</v>
      </c>
      <c r="C298" s="117" t="str">
        <f>_xlfn.XLOOKUP(B298,dimUniversidades!$A:$A,dimUniversidades!$B:$B,"(sin universidad)")</f>
        <v>Universidad Tecnológica del Perú S.A.C.</v>
      </c>
      <c r="D298" s="117" t="s">
        <v>1160</v>
      </c>
      <c r="E298" s="119" t="b">
        <v>0</v>
      </c>
      <c r="F298" s="117" t="s">
        <v>589</v>
      </c>
      <c r="G298" s="117" t="s">
        <v>1222</v>
      </c>
      <c r="H298" s="117" t="s">
        <v>1222</v>
      </c>
      <c r="I298" s="117" t="s">
        <v>1867</v>
      </c>
      <c r="J298" s="118">
        <v>-6.7687382804023004</v>
      </c>
      <c r="K298" s="118">
        <v>-79.873942568986493</v>
      </c>
      <c r="L298" s="117">
        <v>130101</v>
      </c>
      <c r="M298" s="117">
        <v>140101</v>
      </c>
    </row>
    <row r="299" spans="1:13" x14ac:dyDescent="0.25">
      <c r="A299" s="120">
        <v>298</v>
      </c>
      <c r="B299" s="120">
        <v>25</v>
      </c>
      <c r="C299" s="117" t="str">
        <f>_xlfn.XLOOKUP(B299,dimUniversidades!$A:$A,dimUniversidades!$B:$B,"(sin universidad)")</f>
        <v>Universidad Tecnológica del Perú S.A.C.</v>
      </c>
      <c r="D299" s="117" t="s">
        <v>599</v>
      </c>
      <c r="E299" s="119" t="b">
        <v>0</v>
      </c>
      <c r="F299" s="117" t="s">
        <v>622</v>
      </c>
      <c r="G299" s="117" t="s">
        <v>622</v>
      </c>
      <c r="H299" s="117" t="s">
        <v>622</v>
      </c>
      <c r="I299" s="117" t="s">
        <v>1866</v>
      </c>
      <c r="J299" s="118">
        <v>-5.1871647763525504</v>
      </c>
      <c r="K299" s="118">
        <v>-80.6430351976921</v>
      </c>
      <c r="L299" s="117">
        <v>190101</v>
      </c>
      <c r="M299" s="117">
        <v>200101</v>
      </c>
    </row>
    <row r="300" spans="1:13" x14ac:dyDescent="0.25">
      <c r="A300" s="120">
        <v>299</v>
      </c>
      <c r="B300" s="120">
        <v>25</v>
      </c>
      <c r="C300" s="117" t="str">
        <f>_xlfn.XLOOKUP(B300,dimUniversidades!$A:$A,dimUniversidades!$B:$B,"(sin universidad)")</f>
        <v>Universidad Tecnológica del Perú S.A.C.</v>
      </c>
      <c r="D300" s="117" t="s">
        <v>678</v>
      </c>
      <c r="E300" s="119" t="b">
        <v>0</v>
      </c>
      <c r="F300" s="117" t="s">
        <v>1134</v>
      </c>
      <c r="G300" s="117" t="s">
        <v>362</v>
      </c>
      <c r="H300" s="117" t="s">
        <v>361</v>
      </c>
      <c r="I300" s="117" t="s">
        <v>1865</v>
      </c>
      <c r="J300" s="118">
        <v>-9.1306735999999997</v>
      </c>
      <c r="K300" s="118">
        <v>-78.539110500000007</v>
      </c>
      <c r="L300" s="117">
        <v>21309</v>
      </c>
      <c r="M300" s="117">
        <v>21809</v>
      </c>
    </row>
    <row r="301" spans="1:13" x14ac:dyDescent="0.25">
      <c r="A301" s="120">
        <v>300</v>
      </c>
      <c r="B301" s="120">
        <v>25</v>
      </c>
      <c r="C301" s="117" t="str">
        <f>_xlfn.XLOOKUP(B301,dimUniversidades!$A:$A,dimUniversidades!$B:$B,"(sin universidad)")</f>
        <v>Universidad Tecnológica del Perú S.A.C.</v>
      </c>
      <c r="D301" s="117" t="s">
        <v>392</v>
      </c>
      <c r="E301" s="119" t="b">
        <v>0</v>
      </c>
      <c r="F301" s="117" t="s">
        <v>1417</v>
      </c>
      <c r="G301" s="117" t="s">
        <v>1417</v>
      </c>
      <c r="H301" s="117" t="s">
        <v>1417</v>
      </c>
      <c r="I301" s="117" t="s">
        <v>1864</v>
      </c>
      <c r="J301" s="118">
        <v>-14.0714039463078</v>
      </c>
      <c r="K301" s="118">
        <v>-75.7359459935318</v>
      </c>
      <c r="L301" s="117">
        <v>100101</v>
      </c>
      <c r="M301" s="117">
        <v>110101</v>
      </c>
    </row>
    <row r="302" spans="1:13" x14ac:dyDescent="0.25">
      <c r="A302" s="120">
        <v>301</v>
      </c>
      <c r="B302" s="120">
        <v>25</v>
      </c>
      <c r="C302" s="117" t="str">
        <f>_xlfn.XLOOKUP(B302,dimUniversidades!$A:$A,dimUniversidades!$B:$B,"(sin universidad)")</f>
        <v>Universidad Tecnológica del Perú S.A.C.</v>
      </c>
      <c r="D302" s="117" t="s">
        <v>1153</v>
      </c>
      <c r="E302" s="119" t="b">
        <v>0</v>
      </c>
      <c r="F302" s="117" t="s">
        <v>397</v>
      </c>
      <c r="G302" s="117" t="s">
        <v>396</v>
      </c>
      <c r="H302" s="117" t="s">
        <v>396</v>
      </c>
      <c r="I302" s="117" t="s">
        <v>1863</v>
      </c>
      <c r="J302" s="118">
        <v>-8.0937693670515305</v>
      </c>
      <c r="K302" s="118">
        <v>-79.0087268840267</v>
      </c>
      <c r="L302" s="117">
        <v>120101</v>
      </c>
      <c r="M302" s="117">
        <v>130101</v>
      </c>
    </row>
    <row r="303" spans="1:13" x14ac:dyDescent="0.25">
      <c r="A303" s="120">
        <v>302</v>
      </c>
      <c r="B303" s="120">
        <v>25</v>
      </c>
      <c r="C303" s="117" t="str">
        <f>_xlfn.XLOOKUP(B303,dimUniversidades!$A:$A,dimUniversidades!$B:$B,"(sin universidad)")</f>
        <v>Universidad Tecnológica del Perú S.A.C.</v>
      </c>
      <c r="D303" s="117" t="s">
        <v>1598</v>
      </c>
      <c r="E303" s="119" t="b">
        <v>0</v>
      </c>
      <c r="F303" s="117" t="s">
        <v>397</v>
      </c>
      <c r="G303" s="117" t="s">
        <v>396</v>
      </c>
      <c r="H303" s="117" t="s">
        <v>396</v>
      </c>
      <c r="I303" s="117" t="s">
        <v>1862</v>
      </c>
      <c r="J303" s="118">
        <v>-8.1473438999999992</v>
      </c>
      <c r="K303" s="118">
        <v>-79.044684399999994</v>
      </c>
      <c r="L303" s="117">
        <v>120101</v>
      </c>
      <c r="M303" s="117">
        <v>130101</v>
      </c>
    </row>
    <row r="304" spans="1:13" x14ac:dyDescent="0.25">
      <c r="A304" s="120">
        <v>303</v>
      </c>
      <c r="B304" s="120">
        <v>25</v>
      </c>
      <c r="C304" s="117" t="str">
        <f>_xlfn.XLOOKUP(B304,dimUniversidades!$A:$A,dimUniversidades!$B:$B,"(sin universidad)")</f>
        <v>Universidad Tecnológica del Perú S.A.C.</v>
      </c>
      <c r="D304" s="117" t="s">
        <v>1148</v>
      </c>
      <c r="E304" s="119" t="b">
        <v>0</v>
      </c>
      <c r="F304" s="117" t="s">
        <v>467</v>
      </c>
      <c r="G304" s="117" t="s">
        <v>631</v>
      </c>
      <c r="H304" s="117" t="s">
        <v>1268</v>
      </c>
      <c r="I304" s="117" t="s">
        <v>1861</v>
      </c>
      <c r="J304" s="118">
        <v>-12.049763799999999</v>
      </c>
      <c r="K304" s="118">
        <v>-75.210134999999994</v>
      </c>
      <c r="L304" s="117">
        <v>110113</v>
      </c>
      <c r="M304" s="117">
        <v>120114</v>
      </c>
    </row>
    <row r="305" spans="1:13" x14ac:dyDescent="0.25">
      <c r="A305" s="120">
        <v>304</v>
      </c>
      <c r="B305" s="120">
        <v>25</v>
      </c>
      <c r="C305" s="117" t="str">
        <f>_xlfn.XLOOKUP(B305,dimUniversidades!$A:$A,dimUniversidades!$B:$B,"(sin universidad)")</f>
        <v>Universidad Tecnológica del Perú S.A.C.</v>
      </c>
      <c r="D305" s="117" t="s">
        <v>1145</v>
      </c>
      <c r="E305" s="119" t="b">
        <v>0</v>
      </c>
      <c r="F305" s="117" t="s">
        <v>1114</v>
      </c>
      <c r="G305" s="117" t="s">
        <v>1114</v>
      </c>
      <c r="H305" s="117" t="s">
        <v>1114</v>
      </c>
      <c r="I305" s="117" t="s">
        <v>1860</v>
      </c>
      <c r="J305" s="118">
        <v>-18.0226420193667</v>
      </c>
      <c r="K305" s="118">
        <v>-70.242387752114894</v>
      </c>
      <c r="L305" s="117">
        <v>220101</v>
      </c>
      <c r="M305" s="117">
        <v>230101</v>
      </c>
    </row>
    <row r="306" spans="1:13" x14ac:dyDescent="0.25">
      <c r="A306" s="120">
        <v>305</v>
      </c>
      <c r="B306" s="120">
        <v>25</v>
      </c>
      <c r="C306" s="117" t="str">
        <f>_xlfn.XLOOKUP(B306,dimUniversidades!$A:$A,dimUniversidades!$B:$B,"(sin universidad)")</f>
        <v>Universidad Tecnológica del Perú S.A.C.</v>
      </c>
      <c r="D306" s="117" t="s">
        <v>1143</v>
      </c>
      <c r="E306" s="119" t="b">
        <v>0</v>
      </c>
      <c r="F306" s="117" t="s">
        <v>1312</v>
      </c>
      <c r="G306" s="117" t="s">
        <v>1400</v>
      </c>
      <c r="H306" s="117" t="s">
        <v>1399</v>
      </c>
      <c r="I306" s="117" t="s">
        <v>1859</v>
      </c>
      <c r="J306" s="118">
        <v>-4.1396069000000004</v>
      </c>
      <c r="K306" s="118">
        <v>-73.559412800000004</v>
      </c>
      <c r="L306" s="117">
        <v>150113</v>
      </c>
      <c r="M306" s="117">
        <v>160113</v>
      </c>
    </row>
    <row r="307" spans="1:13" x14ac:dyDescent="0.25">
      <c r="A307" s="120">
        <v>306</v>
      </c>
      <c r="B307" s="120">
        <v>25</v>
      </c>
      <c r="C307" s="117" t="str">
        <f>_xlfn.XLOOKUP(B307,dimUniversidades!$A:$A,dimUniversidades!$B:$B,"(sin universidad)")</f>
        <v>Universidad Tecnológica del Perú S.A.C.</v>
      </c>
      <c r="D307" s="117" t="s">
        <v>1139</v>
      </c>
      <c r="E307" s="119" t="b">
        <v>0</v>
      </c>
      <c r="F307" s="117" t="s">
        <v>1152</v>
      </c>
      <c r="G307" s="117" t="s">
        <v>1151</v>
      </c>
      <c r="H307" s="117" t="s">
        <v>1150</v>
      </c>
      <c r="I307" s="117" t="s">
        <v>1858</v>
      </c>
      <c r="J307" s="118">
        <v>-8.3941798780546293</v>
      </c>
      <c r="K307" s="118">
        <v>-74.587220311639399</v>
      </c>
      <c r="L307" s="117">
        <v>250101</v>
      </c>
      <c r="M307" s="117">
        <v>250101</v>
      </c>
    </row>
    <row r="308" spans="1:13" x14ac:dyDescent="0.25">
      <c r="A308" s="120">
        <v>307</v>
      </c>
      <c r="B308" s="120">
        <v>25</v>
      </c>
      <c r="C308" s="117" t="str">
        <f>_xlfn.XLOOKUP(B308,dimUniversidades!$A:$A,dimUniversidades!$B:$B,"(sin universidad)")</f>
        <v>Universidad Tecnológica del Perú S.A.C.</v>
      </c>
      <c r="D308" s="117" t="s">
        <v>1857</v>
      </c>
      <c r="E308" s="119" t="b">
        <v>0</v>
      </c>
      <c r="F308" s="117" t="s">
        <v>322</v>
      </c>
      <c r="G308" s="117" t="s">
        <v>1347</v>
      </c>
      <c r="H308" s="117" t="s">
        <v>456</v>
      </c>
      <c r="I308" s="117" t="s">
        <v>1856</v>
      </c>
      <c r="J308" s="118">
        <v>-15.5170955</v>
      </c>
      <c r="K308" s="118">
        <v>-70.112834300000003</v>
      </c>
      <c r="L308" s="117">
        <v>200901</v>
      </c>
      <c r="M308" s="117">
        <v>211101</v>
      </c>
    </row>
    <row r="309" spans="1:13" x14ac:dyDescent="0.25">
      <c r="A309" s="120">
        <v>308</v>
      </c>
      <c r="B309" s="120">
        <v>26</v>
      </c>
      <c r="C309" s="117" t="str">
        <f>_xlfn.XLOOKUP(B309,dimUniversidades!$A:$A,dimUniversidades!$B:$B,"(sin universidad)")</f>
        <v>Universidad Nacional de Juliaca</v>
      </c>
      <c r="D309" s="117" t="s">
        <v>324</v>
      </c>
      <c r="E309" s="119" t="b">
        <v>1</v>
      </c>
      <c r="F309" s="117" t="s">
        <v>322</v>
      </c>
      <c r="G309" s="117" t="s">
        <v>1347</v>
      </c>
      <c r="H309" s="117" t="s">
        <v>456</v>
      </c>
      <c r="I309" s="117" t="s">
        <v>1855</v>
      </c>
      <c r="J309" s="118">
        <v>-15.4881180531761</v>
      </c>
      <c r="K309" s="118">
        <v>-70.149776087731595</v>
      </c>
      <c r="L309" s="117">
        <v>200901</v>
      </c>
      <c r="M309" s="117">
        <v>211101</v>
      </c>
    </row>
    <row r="310" spans="1:13" x14ac:dyDescent="0.25">
      <c r="A310" s="120">
        <v>309</v>
      </c>
      <c r="B310" s="120">
        <v>26</v>
      </c>
      <c r="C310" s="117" t="str">
        <f>_xlfn.XLOOKUP(B310,dimUniversidades!$A:$A,dimUniversidades!$B:$B,"(sin universidad)")</f>
        <v>Universidad Nacional de Juliaca</v>
      </c>
      <c r="D310" s="117" t="s">
        <v>399</v>
      </c>
      <c r="E310" s="119" t="b">
        <v>0</v>
      </c>
      <c r="F310" s="117" t="s">
        <v>322</v>
      </c>
      <c r="G310" s="117" t="s">
        <v>1347</v>
      </c>
      <c r="H310" s="117" t="s">
        <v>1531</v>
      </c>
      <c r="I310" s="117" t="s">
        <v>1854</v>
      </c>
      <c r="J310" s="118">
        <v>-15.4101076950848</v>
      </c>
      <c r="K310" s="118">
        <v>-70.096209757075698</v>
      </c>
      <c r="L310" s="117">
        <v>200905</v>
      </c>
      <c r="M310" s="117">
        <v>211105</v>
      </c>
    </row>
    <row r="311" spans="1:13" x14ac:dyDescent="0.25">
      <c r="A311" s="120">
        <v>310</v>
      </c>
      <c r="B311" s="120">
        <v>27</v>
      </c>
      <c r="C311" s="117" t="str">
        <f>_xlfn.XLOOKUP(B311,dimUniversidades!$A:$A,dimUniversidades!$B:$B,"(sin universidad)")</f>
        <v>Universidad Científica del Sur S.A.C.</v>
      </c>
      <c r="D311" s="117" t="s">
        <v>324</v>
      </c>
      <c r="E311" s="119" t="b">
        <v>1</v>
      </c>
      <c r="F311" s="117" t="s">
        <v>385</v>
      </c>
      <c r="G311" s="117" t="s">
        <v>385</v>
      </c>
      <c r="H311" s="117" t="s">
        <v>1285</v>
      </c>
      <c r="I311" s="117" t="s">
        <v>1853</v>
      </c>
      <c r="J311" s="118">
        <v>-12.2215281</v>
      </c>
      <c r="K311" s="118">
        <v>-76.976699800000006</v>
      </c>
      <c r="L311" s="117">
        <v>140141</v>
      </c>
      <c r="M311" s="117">
        <v>150142</v>
      </c>
    </row>
    <row r="312" spans="1:13" x14ac:dyDescent="0.25">
      <c r="A312" s="120">
        <v>311</v>
      </c>
      <c r="B312" s="120">
        <v>27</v>
      </c>
      <c r="C312" s="117" t="str">
        <f>_xlfn.XLOOKUP(B312,dimUniversidades!$A:$A,dimUniversidades!$B:$B,"(sin universidad)")</f>
        <v>Universidad Científica del Sur S.A.C.</v>
      </c>
      <c r="D312" s="117" t="s">
        <v>399</v>
      </c>
      <c r="E312" s="119" t="b">
        <v>0</v>
      </c>
      <c r="F312" s="117" t="s">
        <v>385</v>
      </c>
      <c r="G312" s="117" t="s">
        <v>385</v>
      </c>
      <c r="H312" s="117" t="s">
        <v>1285</v>
      </c>
      <c r="I312" s="117" t="s">
        <v>1852</v>
      </c>
      <c r="J312" s="118">
        <v>-12.2215281</v>
      </c>
      <c r="K312" s="118">
        <v>-76.976699800000006</v>
      </c>
      <c r="L312" s="117">
        <v>140141</v>
      </c>
      <c r="M312" s="117">
        <v>150142</v>
      </c>
    </row>
    <row r="313" spans="1:13" x14ac:dyDescent="0.25">
      <c r="A313" s="120">
        <v>312</v>
      </c>
      <c r="B313" s="120">
        <v>27</v>
      </c>
      <c r="C313" s="117" t="str">
        <f>_xlfn.XLOOKUP(B313,dimUniversidades!$A:$A,dimUniversidades!$B:$B,"(sin universidad)")</f>
        <v>Universidad Científica del Sur S.A.C.</v>
      </c>
      <c r="D313" s="117" t="s">
        <v>735</v>
      </c>
      <c r="E313" s="119" t="b">
        <v>0</v>
      </c>
      <c r="F313" s="117" t="s">
        <v>385</v>
      </c>
      <c r="G313" s="117" t="s">
        <v>385</v>
      </c>
      <c r="H313" s="117" t="s">
        <v>664</v>
      </c>
      <c r="I313" s="117" t="s">
        <v>1851</v>
      </c>
      <c r="J313" s="118">
        <v>-12.1211802137564</v>
      </c>
      <c r="K313" s="118">
        <v>-77.025636742327904</v>
      </c>
      <c r="L313" s="117">
        <v>140115</v>
      </c>
      <c r="M313" s="117">
        <v>150122</v>
      </c>
    </row>
    <row r="314" spans="1:13" x14ac:dyDescent="0.25">
      <c r="A314" s="120">
        <v>313</v>
      </c>
      <c r="B314" s="120">
        <v>27</v>
      </c>
      <c r="C314" s="117" t="str">
        <f>_xlfn.XLOOKUP(B314,dimUniversidades!$A:$A,dimUniversidades!$B:$B,"(sin universidad)")</f>
        <v>Universidad Científica del Sur S.A.C.</v>
      </c>
      <c r="D314" s="117" t="s">
        <v>500</v>
      </c>
      <c r="E314" s="119" t="b">
        <v>0</v>
      </c>
      <c r="F314" s="117" t="s">
        <v>385</v>
      </c>
      <c r="G314" s="117" t="s">
        <v>385</v>
      </c>
      <c r="H314" s="117" t="s">
        <v>664</v>
      </c>
      <c r="I314" s="117" t="s">
        <v>1850</v>
      </c>
      <c r="J314" s="118">
        <v>-12.1194881391978</v>
      </c>
      <c r="K314" s="118">
        <v>-77.026090890178295</v>
      </c>
      <c r="L314" s="117">
        <v>140115</v>
      </c>
      <c r="M314" s="117">
        <v>150122</v>
      </c>
    </row>
    <row r="315" spans="1:13" x14ac:dyDescent="0.25">
      <c r="A315" s="120">
        <v>314</v>
      </c>
      <c r="B315" s="120">
        <v>27</v>
      </c>
      <c r="C315" s="117" t="str">
        <f>_xlfn.XLOOKUP(B315,dimUniversidades!$A:$A,dimUniversidades!$B:$B,"(sin universidad)")</f>
        <v>Universidad Científica del Sur S.A.C.</v>
      </c>
      <c r="D315" s="117" t="s">
        <v>1117</v>
      </c>
      <c r="E315" s="119" t="b">
        <v>0</v>
      </c>
      <c r="F315" s="117" t="s">
        <v>385</v>
      </c>
      <c r="G315" s="117" t="s">
        <v>385</v>
      </c>
      <c r="H315" s="117" t="s">
        <v>384</v>
      </c>
      <c r="I315" s="117" t="s">
        <v>1849</v>
      </c>
      <c r="J315" s="118">
        <v>-11.9440014190673</v>
      </c>
      <c r="K315" s="118">
        <v>-77.071788761209007</v>
      </c>
      <c r="L315" s="117">
        <v>140142</v>
      </c>
      <c r="M315" s="117">
        <v>150117</v>
      </c>
    </row>
    <row r="316" spans="1:13" x14ac:dyDescent="0.25">
      <c r="A316" s="120">
        <v>315</v>
      </c>
      <c r="B316" s="120">
        <v>27</v>
      </c>
      <c r="C316" s="117" t="str">
        <f>_xlfn.XLOOKUP(B316,dimUniversidades!$A:$A,dimUniversidades!$B:$B,"(sin universidad)")</f>
        <v>Universidad Científica del Sur S.A.C.</v>
      </c>
      <c r="D316" s="117" t="s">
        <v>1232</v>
      </c>
      <c r="E316" s="119" t="b">
        <v>0</v>
      </c>
      <c r="F316" s="117" t="s">
        <v>385</v>
      </c>
      <c r="G316" s="117" t="s">
        <v>385</v>
      </c>
      <c r="H316" s="117" t="s">
        <v>1277</v>
      </c>
      <c r="I316" s="117" t="s">
        <v>1848</v>
      </c>
      <c r="J316" s="118">
        <v>-12.0165611064351</v>
      </c>
      <c r="K316" s="118">
        <v>-76.890139271163903</v>
      </c>
      <c r="L316" s="117">
        <v>140103</v>
      </c>
      <c r="M316" s="117">
        <v>150103</v>
      </c>
    </row>
    <row r="317" spans="1:13" x14ac:dyDescent="0.25">
      <c r="A317" s="120">
        <v>316</v>
      </c>
      <c r="B317" s="120">
        <v>27</v>
      </c>
      <c r="C317" s="117" t="str">
        <f>_xlfn.XLOOKUP(B317,dimUniversidades!$A:$A,dimUniversidades!$B:$B,"(sin universidad)")</f>
        <v>Universidad Científica del Sur S.A.C.</v>
      </c>
      <c r="D317" s="117" t="s">
        <v>1230</v>
      </c>
      <c r="E317" s="119" t="b">
        <v>0</v>
      </c>
      <c r="F317" s="117" t="s">
        <v>385</v>
      </c>
      <c r="G317" s="117" t="s">
        <v>385</v>
      </c>
      <c r="H317" s="117" t="s">
        <v>385</v>
      </c>
      <c r="I317" s="117" t="s">
        <v>1847</v>
      </c>
      <c r="J317" s="118">
        <v>-12.077512108436499</v>
      </c>
      <c r="K317" s="118">
        <v>-77.035821772068502</v>
      </c>
      <c r="L317" s="117">
        <v>140101</v>
      </c>
      <c r="M317" s="117">
        <v>150101</v>
      </c>
    </row>
    <row r="318" spans="1:13" x14ac:dyDescent="0.25">
      <c r="A318" s="120">
        <v>317</v>
      </c>
      <c r="B318" s="120">
        <v>27</v>
      </c>
      <c r="C318" s="117" t="str">
        <f>_xlfn.XLOOKUP(B318,dimUniversidades!$A:$A,dimUniversidades!$B:$B,"(sin universidad)")</f>
        <v>Universidad Científica del Sur S.A.C.</v>
      </c>
      <c r="D318" s="117" t="s">
        <v>1227</v>
      </c>
      <c r="E318" s="119" t="b">
        <v>0</v>
      </c>
      <c r="F318" s="117" t="s">
        <v>385</v>
      </c>
      <c r="G318" s="117" t="s">
        <v>385</v>
      </c>
      <c r="H318" s="117" t="s">
        <v>1763</v>
      </c>
      <c r="I318" s="117" t="s">
        <v>1846</v>
      </c>
      <c r="J318" s="118">
        <v>-12.102483400000001</v>
      </c>
      <c r="K318" s="118">
        <v>-77.020608600000003</v>
      </c>
      <c r="L318" s="117">
        <v>140131</v>
      </c>
      <c r="M318" s="117">
        <v>150141</v>
      </c>
    </row>
    <row r="319" spans="1:13" x14ac:dyDescent="0.25">
      <c r="A319" s="120">
        <v>318</v>
      </c>
      <c r="B319" s="120">
        <v>27</v>
      </c>
      <c r="C319" s="117" t="str">
        <f>_xlfn.XLOOKUP(B319,dimUniversidades!$A:$A,dimUniversidades!$B:$B,"(sin universidad)")</f>
        <v>Universidad Científica del Sur S.A.C.</v>
      </c>
      <c r="D319" s="117" t="s">
        <v>1419</v>
      </c>
      <c r="E319" s="119" t="b">
        <v>0</v>
      </c>
      <c r="F319" s="117" t="s">
        <v>385</v>
      </c>
      <c r="G319" s="117" t="s">
        <v>385</v>
      </c>
      <c r="H319" s="117" t="s">
        <v>1763</v>
      </c>
      <c r="I319" s="117" t="s">
        <v>1845</v>
      </c>
      <c r="J319" s="118">
        <v>-12.1039979</v>
      </c>
      <c r="K319" s="118">
        <v>-77.018816299999997</v>
      </c>
      <c r="L319" s="117">
        <v>140131</v>
      </c>
      <c r="M319" s="117">
        <v>150141</v>
      </c>
    </row>
    <row r="320" spans="1:13" x14ac:dyDescent="0.25">
      <c r="A320" s="120">
        <v>319</v>
      </c>
      <c r="B320" s="120">
        <v>28</v>
      </c>
      <c r="C320" s="117" t="str">
        <f>_xlfn.XLOOKUP(B320,dimUniversidades!$A:$A,dimUniversidades!$B:$B,"(sin universidad)")</f>
        <v>Universidad Nacional Autónoma de Tayacaja Daniel Hernández Morillo</v>
      </c>
      <c r="D320" s="117" t="s">
        <v>324</v>
      </c>
      <c r="E320" s="119" t="b">
        <v>1</v>
      </c>
      <c r="F320" s="117" t="s">
        <v>564</v>
      </c>
      <c r="G320" s="117" t="s">
        <v>733</v>
      </c>
      <c r="H320" s="117" t="s">
        <v>1686</v>
      </c>
      <c r="I320" s="117" t="s">
        <v>1844</v>
      </c>
      <c r="J320" s="118">
        <v>-12.360819242185</v>
      </c>
      <c r="K320" s="118">
        <v>-74.837975569067396</v>
      </c>
      <c r="L320" s="117">
        <v>80509</v>
      </c>
      <c r="M320" s="117">
        <v>90706</v>
      </c>
    </row>
    <row r="321" spans="1:13" x14ac:dyDescent="0.25">
      <c r="A321" s="120">
        <v>320</v>
      </c>
      <c r="B321" s="120">
        <v>28</v>
      </c>
      <c r="C321" s="117" t="str">
        <f>_xlfn.XLOOKUP(B321,dimUniversidades!$A:$A,dimUniversidades!$B:$B,"(sin universidad)")</f>
        <v>Universidad Nacional Autónoma de Tayacaja Daniel Hernández Morillo</v>
      </c>
      <c r="D321" s="117" t="s">
        <v>399</v>
      </c>
      <c r="E321" s="119" t="b">
        <v>0</v>
      </c>
      <c r="F321" s="117" t="s">
        <v>564</v>
      </c>
      <c r="G321" s="117" t="s">
        <v>733</v>
      </c>
      <c r="H321" s="117" t="s">
        <v>1688</v>
      </c>
      <c r="I321" s="117" t="s">
        <v>1843</v>
      </c>
      <c r="J321" s="118">
        <v>-12.3987107341447</v>
      </c>
      <c r="K321" s="118">
        <v>-74.868910810861493</v>
      </c>
      <c r="L321" s="117">
        <v>80501</v>
      </c>
      <c r="M321" s="117">
        <v>90701</v>
      </c>
    </row>
    <row r="322" spans="1:13" x14ac:dyDescent="0.25">
      <c r="A322" s="120">
        <v>321</v>
      </c>
      <c r="B322" s="120">
        <v>28</v>
      </c>
      <c r="C322" s="117" t="str">
        <f>_xlfn.XLOOKUP(B322,dimUniversidades!$A:$A,dimUniversidades!$B:$B,"(sin universidad)")</f>
        <v>Universidad Nacional Autónoma de Tayacaja Daniel Hernández Morillo</v>
      </c>
      <c r="D322" s="117" t="s">
        <v>735</v>
      </c>
      <c r="E322" s="119" t="b">
        <v>0</v>
      </c>
      <c r="F322" s="117" t="s">
        <v>564</v>
      </c>
      <c r="G322" s="117" t="s">
        <v>733</v>
      </c>
      <c r="H322" s="117" t="s">
        <v>732</v>
      </c>
      <c r="I322" s="117" t="s">
        <v>1842</v>
      </c>
      <c r="J322" s="118">
        <v>-12.396053</v>
      </c>
      <c r="K322" s="118">
        <v>-74.888722400000006</v>
      </c>
      <c r="L322" s="117">
        <v>80504</v>
      </c>
      <c r="M322" s="117">
        <v>90704</v>
      </c>
    </row>
    <row r="323" spans="1:13" x14ac:dyDescent="0.25">
      <c r="A323" s="120">
        <v>322</v>
      </c>
      <c r="B323" s="120">
        <v>28</v>
      </c>
      <c r="C323" s="117" t="str">
        <f>_xlfn.XLOOKUP(B323,dimUniversidades!$A:$A,dimUniversidades!$B:$B,"(sin universidad)")</f>
        <v>Universidad Nacional Autónoma de Tayacaja Daniel Hernández Morillo</v>
      </c>
      <c r="D323" s="117" t="s">
        <v>500</v>
      </c>
      <c r="E323" s="119" t="b">
        <v>0</v>
      </c>
      <c r="F323" s="117" t="s">
        <v>564</v>
      </c>
      <c r="G323" s="117" t="s">
        <v>733</v>
      </c>
      <c r="H323" s="117" t="s">
        <v>1688</v>
      </c>
      <c r="I323" s="117" t="s">
        <v>1841</v>
      </c>
      <c r="J323" s="118">
        <v>-12.3987041846444</v>
      </c>
      <c r="K323" s="118">
        <v>-74.868916175417993</v>
      </c>
      <c r="L323" s="117">
        <v>80501</v>
      </c>
      <c r="M323" s="117">
        <v>90701</v>
      </c>
    </row>
    <row r="324" spans="1:13" x14ac:dyDescent="0.25">
      <c r="A324" s="120">
        <v>323</v>
      </c>
      <c r="B324" s="120">
        <v>28</v>
      </c>
      <c r="C324" s="117" t="str">
        <f>_xlfn.XLOOKUP(B324,dimUniversidades!$A:$A,dimUniversidades!$B:$B,"(sin universidad)")</f>
        <v>Universidad Nacional Autónoma de Tayacaja Daniel Hernández Morillo</v>
      </c>
      <c r="D324" s="117" t="s">
        <v>1117</v>
      </c>
      <c r="E324" s="119" t="b">
        <v>0</v>
      </c>
      <c r="F324" s="117" t="s">
        <v>564</v>
      </c>
      <c r="G324" s="117" t="s">
        <v>733</v>
      </c>
      <c r="H324" s="117" t="s">
        <v>1686</v>
      </c>
      <c r="I324" s="117" t="s">
        <v>1840</v>
      </c>
      <c r="J324" s="118">
        <v>-12.360659156441701</v>
      </c>
      <c r="K324" s="118">
        <v>-74.837908726336707</v>
      </c>
      <c r="L324" s="117">
        <v>80509</v>
      </c>
      <c r="M324" s="117">
        <v>90706</v>
      </c>
    </row>
    <row r="325" spans="1:13" x14ac:dyDescent="0.25">
      <c r="A325" s="120">
        <v>324</v>
      </c>
      <c r="B325" s="120">
        <v>29</v>
      </c>
      <c r="C325" s="117" t="str">
        <f>_xlfn.XLOOKUP(B325,dimUniversidades!$A:$A,dimUniversidades!$B:$B,"(sin universidad)")</f>
        <v>Universidad Nacional José María Arguedas</v>
      </c>
      <c r="D325" s="117" t="s">
        <v>324</v>
      </c>
      <c r="E325" s="119" t="b">
        <v>1</v>
      </c>
      <c r="F325" s="117" t="s">
        <v>1483</v>
      </c>
      <c r="G325" s="117" t="s">
        <v>719</v>
      </c>
      <c r="H325" s="117" t="s">
        <v>1485</v>
      </c>
      <c r="I325" s="117" t="s">
        <v>1839</v>
      </c>
      <c r="J325" s="118">
        <v>-13.657189799999999</v>
      </c>
      <c r="K325" s="118">
        <v>-73.387930999999995</v>
      </c>
      <c r="L325" s="117">
        <v>30310</v>
      </c>
      <c r="M325" s="117">
        <v>30213</v>
      </c>
    </row>
    <row r="326" spans="1:13" x14ac:dyDescent="0.25">
      <c r="A326" s="120">
        <v>325</v>
      </c>
      <c r="B326" s="120">
        <v>29</v>
      </c>
      <c r="C326" s="117" t="str">
        <f>_xlfn.XLOOKUP(B326,dimUniversidades!$A:$A,dimUniversidades!$B:$B,"(sin universidad)")</f>
        <v>Universidad Nacional José María Arguedas</v>
      </c>
      <c r="D326" s="117" t="s">
        <v>399</v>
      </c>
      <c r="E326" s="119" t="b">
        <v>0</v>
      </c>
      <c r="F326" s="117" t="s">
        <v>1483</v>
      </c>
      <c r="G326" s="117" t="s">
        <v>719</v>
      </c>
      <c r="H326" s="117" t="s">
        <v>1838</v>
      </c>
      <c r="I326" s="117" t="s">
        <v>1837</v>
      </c>
      <c r="J326" s="118">
        <v>-13.651756867191001</v>
      </c>
      <c r="K326" s="118">
        <v>-73.3633861785042</v>
      </c>
      <c r="L326" s="117">
        <v>30311</v>
      </c>
      <c r="M326" s="117">
        <v>30216</v>
      </c>
    </row>
    <row r="327" spans="1:13" x14ac:dyDescent="0.25">
      <c r="A327" s="120">
        <v>326</v>
      </c>
      <c r="B327" s="120">
        <v>29</v>
      </c>
      <c r="C327" s="117" t="str">
        <f>_xlfn.XLOOKUP(B327,dimUniversidades!$A:$A,dimUniversidades!$B:$B,"(sin universidad)")</f>
        <v>Universidad Nacional José María Arguedas</v>
      </c>
      <c r="D327" s="117" t="s">
        <v>735</v>
      </c>
      <c r="E327" s="119" t="b">
        <v>0</v>
      </c>
      <c r="F327" s="117" t="s">
        <v>1483</v>
      </c>
      <c r="G327" s="117" t="s">
        <v>719</v>
      </c>
      <c r="H327" s="117" t="s">
        <v>1485</v>
      </c>
      <c r="I327" s="117" t="s">
        <v>1836</v>
      </c>
      <c r="J327" s="118">
        <v>-13.6526527096328</v>
      </c>
      <c r="K327" s="118">
        <v>-73.367923641104497</v>
      </c>
      <c r="L327" s="117">
        <v>30310</v>
      </c>
      <c r="M327" s="117">
        <v>30213</v>
      </c>
    </row>
    <row r="328" spans="1:13" x14ac:dyDescent="0.25">
      <c r="A328" s="120">
        <v>327</v>
      </c>
      <c r="B328" s="120">
        <v>29</v>
      </c>
      <c r="C328" s="117" t="str">
        <f>_xlfn.XLOOKUP(B328,dimUniversidades!$A:$A,dimUniversidades!$B:$B,"(sin universidad)")</f>
        <v>Universidad Nacional José María Arguedas</v>
      </c>
      <c r="D328" s="117" t="s">
        <v>500</v>
      </c>
      <c r="E328" s="119" t="b">
        <v>0</v>
      </c>
      <c r="F328" s="117" t="s">
        <v>1483</v>
      </c>
      <c r="G328" s="117" t="s">
        <v>719</v>
      </c>
      <c r="H328" s="117" t="s">
        <v>719</v>
      </c>
      <c r="I328" s="117" t="s">
        <v>1835</v>
      </c>
      <c r="J328" s="118">
        <v>-13.657216032425101</v>
      </c>
      <c r="K328" s="118">
        <v>-73.387914982139606</v>
      </c>
      <c r="L328" s="117">
        <v>30301</v>
      </c>
      <c r="M328" s="117">
        <v>30201</v>
      </c>
    </row>
    <row r="329" spans="1:13" x14ac:dyDescent="0.25">
      <c r="A329" s="120">
        <v>328</v>
      </c>
      <c r="B329" s="120">
        <v>30</v>
      </c>
      <c r="C329" s="117" t="str">
        <f>_xlfn.XLOOKUP(B329,dimUniversidades!$A:$A,dimUniversidades!$B:$B,"(sin universidad)")</f>
        <v>Universidad Nacional de San Cristóbal de Huamanga</v>
      </c>
      <c r="D329" s="117" t="s">
        <v>324</v>
      </c>
      <c r="E329" s="119" t="b">
        <v>1</v>
      </c>
      <c r="F329" s="117" t="s">
        <v>1164</v>
      </c>
      <c r="G329" s="117" t="s">
        <v>1163</v>
      </c>
      <c r="H329" s="117" t="s">
        <v>1164</v>
      </c>
      <c r="I329" s="117" t="s">
        <v>1834</v>
      </c>
      <c r="J329" s="118">
        <v>-13.1612654</v>
      </c>
      <c r="K329" s="118">
        <v>-74.225733899999994</v>
      </c>
      <c r="L329" s="117">
        <v>50101</v>
      </c>
      <c r="M329" s="117">
        <v>50101</v>
      </c>
    </row>
    <row r="330" spans="1:13" x14ac:dyDescent="0.25">
      <c r="A330" s="120">
        <v>329</v>
      </c>
      <c r="B330" s="120">
        <v>30</v>
      </c>
      <c r="C330" s="117" t="str">
        <f>_xlfn.XLOOKUP(B330,dimUniversidades!$A:$A,dimUniversidades!$B:$B,"(sin universidad)")</f>
        <v>Universidad Nacional de San Cristóbal de Huamanga</v>
      </c>
      <c r="D330" s="117" t="s">
        <v>399</v>
      </c>
      <c r="E330" s="119" t="b">
        <v>0</v>
      </c>
      <c r="F330" s="117" t="s">
        <v>1164</v>
      </c>
      <c r="G330" s="117" t="s">
        <v>1163</v>
      </c>
      <c r="H330" s="117" t="s">
        <v>1164</v>
      </c>
      <c r="I330" s="117" t="s">
        <v>1833</v>
      </c>
      <c r="J330" s="118">
        <v>-13.178824799999999</v>
      </c>
      <c r="K330" s="118">
        <v>-74.200232400000004</v>
      </c>
      <c r="L330" s="117">
        <v>50101</v>
      </c>
      <c r="M330" s="117">
        <v>50101</v>
      </c>
    </row>
    <row r="331" spans="1:13" x14ac:dyDescent="0.25">
      <c r="A331" s="120">
        <v>330</v>
      </c>
      <c r="B331" s="120">
        <v>30</v>
      </c>
      <c r="C331" s="117" t="str">
        <f>_xlfn.XLOOKUP(B331,dimUniversidades!$A:$A,dimUniversidades!$B:$B,"(sin universidad)")</f>
        <v>Universidad Nacional de San Cristóbal de Huamanga</v>
      </c>
      <c r="D331" s="117" t="s">
        <v>735</v>
      </c>
      <c r="E331" s="119" t="b">
        <v>0</v>
      </c>
      <c r="F331" s="117" t="s">
        <v>1164</v>
      </c>
      <c r="G331" s="117" t="s">
        <v>1163</v>
      </c>
      <c r="H331" s="117" t="s">
        <v>1164</v>
      </c>
      <c r="I331" s="117" t="s">
        <v>1832</v>
      </c>
      <c r="J331" s="118">
        <v>-13.1489098</v>
      </c>
      <c r="K331" s="118">
        <v>-74.222683599999996</v>
      </c>
      <c r="L331" s="117">
        <v>50101</v>
      </c>
      <c r="M331" s="117">
        <v>50101</v>
      </c>
    </row>
    <row r="332" spans="1:13" x14ac:dyDescent="0.25">
      <c r="A332" s="120">
        <v>331</v>
      </c>
      <c r="B332" s="120">
        <v>30</v>
      </c>
      <c r="C332" s="117" t="str">
        <f>_xlfn.XLOOKUP(B332,dimUniversidades!$A:$A,dimUniversidades!$B:$B,"(sin universidad)")</f>
        <v>Universidad Nacional de San Cristóbal de Huamanga</v>
      </c>
      <c r="D332" s="117" t="s">
        <v>500</v>
      </c>
      <c r="E332" s="119" t="b">
        <v>0</v>
      </c>
      <c r="F332" s="117" t="s">
        <v>1164</v>
      </c>
      <c r="G332" s="117" t="s">
        <v>1163</v>
      </c>
      <c r="H332" s="117" t="s">
        <v>1164</v>
      </c>
      <c r="I332" s="117" t="s">
        <v>1831</v>
      </c>
      <c r="J332" s="118">
        <v>-13.1534242</v>
      </c>
      <c r="K332" s="118">
        <v>-74.224378900000005</v>
      </c>
      <c r="L332" s="117">
        <v>50101</v>
      </c>
      <c r="M332" s="117">
        <v>50101</v>
      </c>
    </row>
    <row r="333" spans="1:13" x14ac:dyDescent="0.25">
      <c r="A333" s="120">
        <v>332</v>
      </c>
      <c r="B333" s="120">
        <v>30</v>
      </c>
      <c r="C333" s="117" t="str">
        <f>_xlfn.XLOOKUP(B333,dimUniversidades!$A:$A,dimUniversidades!$B:$B,"(sin universidad)")</f>
        <v>Universidad Nacional de San Cristóbal de Huamanga</v>
      </c>
      <c r="D333" s="117" t="s">
        <v>1117</v>
      </c>
      <c r="E333" s="119" t="b">
        <v>0</v>
      </c>
      <c r="F333" s="117" t="s">
        <v>1164</v>
      </c>
      <c r="G333" s="117" t="s">
        <v>1163</v>
      </c>
      <c r="H333" s="117" t="s">
        <v>1164</v>
      </c>
      <c r="I333" s="117" t="s">
        <v>1830</v>
      </c>
      <c r="J333" s="118">
        <v>-13.1559472</v>
      </c>
      <c r="K333" s="118">
        <v>-74.220870099999999</v>
      </c>
      <c r="L333" s="117">
        <v>50101</v>
      </c>
      <c r="M333" s="117">
        <v>50101</v>
      </c>
    </row>
    <row r="334" spans="1:13" x14ac:dyDescent="0.25">
      <c r="A334" s="120">
        <v>333</v>
      </c>
      <c r="B334" s="120">
        <v>30</v>
      </c>
      <c r="C334" s="117" t="str">
        <f>_xlfn.XLOOKUP(B334,dimUniversidades!$A:$A,dimUniversidades!$B:$B,"(sin universidad)")</f>
        <v>Universidad Nacional de San Cristóbal de Huamanga</v>
      </c>
      <c r="D334" s="117" t="s">
        <v>1232</v>
      </c>
      <c r="E334" s="119" t="b">
        <v>0</v>
      </c>
      <c r="F334" s="117" t="s">
        <v>1164</v>
      </c>
      <c r="G334" s="117" t="s">
        <v>1163</v>
      </c>
      <c r="H334" s="117" t="s">
        <v>1164</v>
      </c>
      <c r="I334" s="117" t="s">
        <v>1829</v>
      </c>
      <c r="J334" s="118">
        <v>-13.1605886058663</v>
      </c>
      <c r="K334" s="118">
        <v>-74.223914171758295</v>
      </c>
      <c r="L334" s="117">
        <v>50101</v>
      </c>
      <c r="M334" s="117">
        <v>50101</v>
      </c>
    </row>
    <row r="335" spans="1:13" x14ac:dyDescent="0.25">
      <c r="A335" s="120">
        <v>334</v>
      </c>
      <c r="B335" s="120">
        <v>30</v>
      </c>
      <c r="C335" s="117" t="str">
        <f>_xlfn.XLOOKUP(B335,dimUniversidades!$A:$A,dimUniversidades!$B:$B,"(sin universidad)")</f>
        <v>Universidad Nacional de San Cristóbal de Huamanga</v>
      </c>
      <c r="D335" s="117" t="s">
        <v>1230</v>
      </c>
      <c r="E335" s="119" t="b">
        <v>0</v>
      </c>
      <c r="F335" s="117" t="s">
        <v>1164</v>
      </c>
      <c r="G335" s="117" t="s">
        <v>1163</v>
      </c>
      <c r="H335" s="117" t="s">
        <v>1164</v>
      </c>
      <c r="I335" s="117" t="s">
        <v>1828</v>
      </c>
      <c r="J335" s="118">
        <v>-13.168155799999999</v>
      </c>
      <c r="K335" s="118">
        <v>-74.207218699999999</v>
      </c>
      <c r="L335" s="117">
        <v>50101</v>
      </c>
      <c r="M335" s="117">
        <v>50101</v>
      </c>
    </row>
    <row r="336" spans="1:13" x14ac:dyDescent="0.25">
      <c r="A336" s="120">
        <v>335</v>
      </c>
      <c r="B336" s="120">
        <v>30</v>
      </c>
      <c r="C336" s="117" t="str">
        <f>_xlfn.XLOOKUP(B336,dimUniversidades!$A:$A,dimUniversidades!$B:$B,"(sin universidad)")</f>
        <v>Universidad Nacional de San Cristóbal de Huamanga</v>
      </c>
      <c r="D336" s="117" t="s">
        <v>1227</v>
      </c>
      <c r="E336" s="119" t="b">
        <v>0</v>
      </c>
      <c r="F336" s="117" t="s">
        <v>1164</v>
      </c>
      <c r="G336" s="117" t="s">
        <v>1163</v>
      </c>
      <c r="H336" s="117" t="s">
        <v>1164</v>
      </c>
      <c r="I336" s="117" t="s">
        <v>1827</v>
      </c>
      <c r="J336" s="118">
        <v>-13.0568865170025</v>
      </c>
      <c r="K336" s="118">
        <v>-74.213562720237704</v>
      </c>
      <c r="L336" s="117">
        <v>50101</v>
      </c>
      <c r="M336" s="117">
        <v>50101</v>
      </c>
    </row>
    <row r="337" spans="1:13" x14ac:dyDescent="0.25">
      <c r="A337" s="120">
        <v>336</v>
      </c>
      <c r="B337" s="120">
        <v>30</v>
      </c>
      <c r="C337" s="117" t="str">
        <f>_xlfn.XLOOKUP(B337,dimUniversidades!$A:$A,dimUniversidades!$B:$B,"(sin universidad)")</f>
        <v>Universidad Nacional de San Cristóbal de Huamanga</v>
      </c>
      <c r="D337" s="117" t="s">
        <v>1419</v>
      </c>
      <c r="E337" s="119" t="b">
        <v>0</v>
      </c>
      <c r="F337" s="117" t="s">
        <v>1164</v>
      </c>
      <c r="G337" s="117" t="s">
        <v>1163</v>
      </c>
      <c r="H337" s="117" t="s">
        <v>1164</v>
      </c>
      <c r="I337" s="117" t="s">
        <v>1826</v>
      </c>
      <c r="J337" s="118">
        <v>-13.3904581</v>
      </c>
      <c r="K337" s="118">
        <v>-74.263939801852402</v>
      </c>
      <c r="L337" s="117">
        <v>50101</v>
      </c>
      <c r="M337" s="117">
        <v>50101</v>
      </c>
    </row>
    <row r="338" spans="1:13" x14ac:dyDescent="0.25">
      <c r="A338" s="120">
        <v>337</v>
      </c>
      <c r="B338" s="120">
        <v>30</v>
      </c>
      <c r="C338" s="117" t="str">
        <f>_xlfn.XLOOKUP(B338,dimUniversidades!$A:$A,dimUniversidades!$B:$B,"(sin universidad)")</f>
        <v>Universidad Nacional de San Cristóbal de Huamanga</v>
      </c>
      <c r="D338" s="117" t="s">
        <v>579</v>
      </c>
      <c r="E338" s="119" t="b">
        <v>0</v>
      </c>
      <c r="F338" s="117" t="s">
        <v>374</v>
      </c>
      <c r="G338" s="117" t="s">
        <v>1262</v>
      </c>
      <c r="H338" s="117" t="s">
        <v>1823</v>
      </c>
      <c r="I338" s="117" t="s">
        <v>1825</v>
      </c>
      <c r="J338" s="118">
        <v>-12.5177532</v>
      </c>
      <c r="K338" s="118">
        <v>-73.827102400000001</v>
      </c>
      <c r="L338" s="117">
        <v>70910</v>
      </c>
      <c r="M338" s="117">
        <v>80910</v>
      </c>
    </row>
    <row r="339" spans="1:13" x14ac:dyDescent="0.25">
      <c r="A339" s="120">
        <v>338</v>
      </c>
      <c r="B339" s="120">
        <v>30</v>
      </c>
      <c r="C339" s="117" t="str">
        <f>_xlfn.XLOOKUP(B339,dimUniversidades!$A:$A,dimUniversidades!$B:$B,"(sin universidad)")</f>
        <v>Universidad Nacional de San Cristóbal de Huamanga</v>
      </c>
      <c r="D339" s="117" t="s">
        <v>1165</v>
      </c>
      <c r="E339" s="119" t="b">
        <v>0</v>
      </c>
      <c r="F339" s="117" t="s">
        <v>374</v>
      </c>
      <c r="G339" s="117" t="s">
        <v>1262</v>
      </c>
      <c r="H339" s="117" t="s">
        <v>1823</v>
      </c>
      <c r="I339" s="117" t="s">
        <v>1824</v>
      </c>
      <c r="J339" s="118">
        <v>-12.521540999999999</v>
      </c>
      <c r="K339" s="118">
        <v>-73.825948999999994</v>
      </c>
      <c r="L339" s="117">
        <v>70910</v>
      </c>
      <c r="M339" s="117">
        <v>80910</v>
      </c>
    </row>
    <row r="340" spans="1:13" x14ac:dyDescent="0.25">
      <c r="A340" s="120">
        <v>339</v>
      </c>
      <c r="B340" s="120">
        <v>30</v>
      </c>
      <c r="C340" s="117" t="str">
        <f>_xlfn.XLOOKUP(B340,dimUniversidades!$A:$A,dimUniversidades!$B:$B,"(sin universidad)")</f>
        <v>Universidad Nacional de San Cristóbal de Huamanga</v>
      </c>
      <c r="D340" s="117" t="s">
        <v>1344</v>
      </c>
      <c r="E340" s="119" t="b">
        <v>0</v>
      </c>
      <c r="F340" s="117" t="s">
        <v>374</v>
      </c>
      <c r="G340" s="117" t="s">
        <v>1262</v>
      </c>
      <c r="H340" s="117" t="s">
        <v>1823</v>
      </c>
      <c r="I340" s="117" t="s">
        <v>1822</v>
      </c>
      <c r="J340" s="118">
        <v>-12.5177532</v>
      </c>
      <c r="K340" s="118">
        <v>-73.827102400000001</v>
      </c>
      <c r="L340" s="117">
        <v>70910</v>
      </c>
      <c r="M340" s="117">
        <v>80910</v>
      </c>
    </row>
    <row r="341" spans="1:13" x14ac:dyDescent="0.25">
      <c r="A341" s="120">
        <v>340</v>
      </c>
      <c r="B341" s="120">
        <v>31</v>
      </c>
      <c r="C341" s="117" t="str">
        <f>_xlfn.XLOOKUP(B341,dimUniversidades!$A:$A,dimUniversidades!$B:$B,"(sin universidad)")</f>
        <v>Universidad Nacional Daniel Alcides Carrión</v>
      </c>
      <c r="D341" s="117" t="s">
        <v>324</v>
      </c>
      <c r="E341" s="119" t="b">
        <v>1</v>
      </c>
      <c r="F341" s="117" t="s">
        <v>506</v>
      </c>
      <c r="G341" s="117" t="s">
        <v>506</v>
      </c>
      <c r="H341" s="117" t="s">
        <v>505</v>
      </c>
      <c r="I341" s="117" t="s">
        <v>1821</v>
      </c>
      <c r="J341" s="118">
        <v>-10.668481292487099</v>
      </c>
      <c r="K341" s="118">
        <v>-76.252723182208996</v>
      </c>
      <c r="L341" s="117">
        <v>180114</v>
      </c>
      <c r="M341" s="117">
        <v>190113</v>
      </c>
    </row>
    <row r="342" spans="1:13" x14ac:dyDescent="0.25">
      <c r="A342" s="120">
        <v>341</v>
      </c>
      <c r="B342" s="120">
        <v>31</v>
      </c>
      <c r="C342" s="117" t="str">
        <f>_xlfn.XLOOKUP(B342,dimUniversidades!$A:$A,dimUniversidades!$B:$B,"(sin universidad)")</f>
        <v>Universidad Nacional Daniel Alcides Carrión</v>
      </c>
      <c r="D342" s="117" t="s">
        <v>399</v>
      </c>
      <c r="E342" s="119" t="b">
        <v>0</v>
      </c>
      <c r="F342" s="117" t="s">
        <v>506</v>
      </c>
      <c r="G342" s="117" t="s">
        <v>506</v>
      </c>
      <c r="H342" s="117" t="s">
        <v>505</v>
      </c>
      <c r="I342" s="117" t="s">
        <v>1820</v>
      </c>
      <c r="J342" s="118">
        <v>-10.664861275227</v>
      </c>
      <c r="K342" s="118">
        <v>-76.252196268126994</v>
      </c>
      <c r="L342" s="117">
        <v>180114</v>
      </c>
      <c r="M342" s="117">
        <v>190113</v>
      </c>
    </row>
    <row r="343" spans="1:13" x14ac:dyDescent="0.25">
      <c r="A343" s="120">
        <v>342</v>
      </c>
      <c r="B343" s="120">
        <v>31</v>
      </c>
      <c r="C343" s="117" t="str">
        <f>_xlfn.XLOOKUP(B343,dimUniversidades!$A:$A,dimUniversidades!$B:$B,"(sin universidad)")</f>
        <v>Universidad Nacional Daniel Alcides Carrión</v>
      </c>
      <c r="D343" s="117" t="s">
        <v>500</v>
      </c>
      <c r="E343" s="119" t="b">
        <v>0</v>
      </c>
      <c r="F343" s="117" t="s">
        <v>506</v>
      </c>
      <c r="G343" s="117" t="s">
        <v>506</v>
      </c>
      <c r="H343" s="117" t="s">
        <v>1819</v>
      </c>
      <c r="I343" s="117" t="s">
        <v>1818</v>
      </c>
      <c r="J343" s="118">
        <v>-10.769287443522099</v>
      </c>
      <c r="K343" s="118">
        <v>-75.814997558158097</v>
      </c>
      <c r="L343" s="117">
        <v>180108</v>
      </c>
      <c r="M343" s="117">
        <v>190107</v>
      </c>
    </row>
    <row r="344" spans="1:13" x14ac:dyDescent="0.25">
      <c r="A344" s="120">
        <v>343</v>
      </c>
      <c r="B344" s="120">
        <v>31</v>
      </c>
      <c r="C344" s="117" t="str">
        <f>_xlfn.XLOOKUP(B344,dimUniversidades!$A:$A,dimUniversidades!$B:$B,"(sin universidad)")</f>
        <v>Universidad Nacional Daniel Alcides Carrión</v>
      </c>
      <c r="D344" s="117" t="s">
        <v>1117</v>
      </c>
      <c r="E344" s="119" t="b">
        <v>0</v>
      </c>
      <c r="F344" s="117" t="s">
        <v>506</v>
      </c>
      <c r="G344" s="117" t="s">
        <v>506</v>
      </c>
      <c r="H344" s="117" t="s">
        <v>505</v>
      </c>
      <c r="I344" s="117" t="s">
        <v>1817</v>
      </c>
      <c r="J344" s="118">
        <v>-10.5956069479628</v>
      </c>
      <c r="K344" s="118">
        <v>-76.216226405171199</v>
      </c>
      <c r="L344" s="117">
        <v>180114</v>
      </c>
      <c r="M344" s="117">
        <v>190113</v>
      </c>
    </row>
    <row r="345" spans="1:13" x14ac:dyDescent="0.25">
      <c r="A345" s="120">
        <v>344</v>
      </c>
      <c r="B345" s="120">
        <v>31</v>
      </c>
      <c r="C345" s="117" t="str">
        <f>_xlfn.XLOOKUP(B345,dimUniversidades!$A:$A,dimUniversidades!$B:$B,"(sin universidad)")</f>
        <v>Universidad Nacional Daniel Alcides Carrión</v>
      </c>
      <c r="D345" s="117" t="s">
        <v>579</v>
      </c>
      <c r="E345" s="119" t="b">
        <v>0</v>
      </c>
      <c r="F345" s="117" t="s">
        <v>506</v>
      </c>
      <c r="G345" s="117" t="s">
        <v>1813</v>
      </c>
      <c r="H345" s="117" t="s">
        <v>1813</v>
      </c>
      <c r="I345" s="117" t="s">
        <v>1816</v>
      </c>
      <c r="J345" s="118">
        <v>-10.5944077594493</v>
      </c>
      <c r="K345" s="118">
        <v>-75.384711679779102</v>
      </c>
      <c r="L345" s="117">
        <v>180301</v>
      </c>
      <c r="M345" s="117">
        <v>190301</v>
      </c>
    </row>
    <row r="346" spans="1:13" x14ac:dyDescent="0.25">
      <c r="A346" s="120">
        <v>345</v>
      </c>
      <c r="B346" s="120">
        <v>31</v>
      </c>
      <c r="C346" s="117" t="str">
        <f>_xlfn.XLOOKUP(B346,dimUniversidades!$A:$A,dimUniversidades!$B:$B,"(sin universidad)")</f>
        <v>Universidad Nacional Daniel Alcides Carrión</v>
      </c>
      <c r="D346" s="117" t="s">
        <v>1165</v>
      </c>
      <c r="E346" s="119" t="b">
        <v>0</v>
      </c>
      <c r="F346" s="117" t="s">
        <v>506</v>
      </c>
      <c r="G346" s="117" t="s">
        <v>1813</v>
      </c>
      <c r="H346" s="117" t="s">
        <v>1815</v>
      </c>
      <c r="I346" s="117" t="s">
        <v>1814</v>
      </c>
      <c r="J346" s="118">
        <v>-10.7390337466317</v>
      </c>
      <c r="K346" s="118">
        <v>-75.269228415938599</v>
      </c>
      <c r="L346" s="117">
        <v>180305</v>
      </c>
      <c r="M346" s="117">
        <v>190307</v>
      </c>
    </row>
    <row r="347" spans="1:13" x14ac:dyDescent="0.25">
      <c r="A347" s="120">
        <v>346</v>
      </c>
      <c r="B347" s="120">
        <v>31</v>
      </c>
      <c r="C347" s="117" t="str">
        <f>_xlfn.XLOOKUP(B347,dimUniversidades!$A:$A,dimUniversidades!$B:$B,"(sin universidad)")</f>
        <v>Universidad Nacional Daniel Alcides Carrión</v>
      </c>
      <c r="D347" s="117" t="s">
        <v>1344</v>
      </c>
      <c r="E347" s="119" t="b">
        <v>0</v>
      </c>
      <c r="F347" s="117" t="s">
        <v>506</v>
      </c>
      <c r="G347" s="117" t="s">
        <v>1813</v>
      </c>
      <c r="H347" s="117" t="s">
        <v>1812</v>
      </c>
      <c r="I347" s="117" t="s">
        <v>1811</v>
      </c>
      <c r="J347" s="118">
        <v>-9.8163981000000007</v>
      </c>
      <c r="K347" s="118">
        <v>-74.686881499999998</v>
      </c>
      <c r="L347" s="117">
        <v>180308</v>
      </c>
      <c r="M347" s="117">
        <v>190308</v>
      </c>
    </row>
    <row r="348" spans="1:13" x14ac:dyDescent="0.25">
      <c r="A348" s="120">
        <v>347</v>
      </c>
      <c r="B348" s="120">
        <v>31</v>
      </c>
      <c r="C348" s="117" t="str">
        <f>_xlfn.XLOOKUP(B348,dimUniversidades!$A:$A,dimUniversidades!$B:$B,"(sin universidad)")</f>
        <v>Universidad Nacional Daniel Alcides Carrión</v>
      </c>
      <c r="D348" s="117" t="s">
        <v>1160</v>
      </c>
      <c r="E348" s="119" t="b">
        <v>0</v>
      </c>
      <c r="F348" s="117" t="s">
        <v>467</v>
      </c>
      <c r="G348" s="117" t="s">
        <v>466</v>
      </c>
      <c r="H348" s="117" t="s">
        <v>466</v>
      </c>
      <c r="I348" s="117" t="s">
        <v>1810</v>
      </c>
      <c r="J348" s="118">
        <v>-11.4159773026689</v>
      </c>
      <c r="K348" s="118">
        <v>-75.708837879845404</v>
      </c>
      <c r="L348" s="117">
        <v>110501</v>
      </c>
      <c r="M348" s="117">
        <v>120701</v>
      </c>
    </row>
    <row r="349" spans="1:13" x14ac:dyDescent="0.25">
      <c r="A349" s="120">
        <v>348</v>
      </c>
      <c r="B349" s="120">
        <v>31</v>
      </c>
      <c r="C349" s="117" t="str">
        <f>_xlfn.XLOOKUP(B349,dimUniversidades!$A:$A,dimUniversidades!$B:$B,"(sin universidad)")</f>
        <v>Universidad Nacional Daniel Alcides Carrión</v>
      </c>
      <c r="D349" s="117" t="s">
        <v>599</v>
      </c>
      <c r="E349" s="119" t="b">
        <v>0</v>
      </c>
      <c r="F349" s="117" t="s">
        <v>467</v>
      </c>
      <c r="G349" s="117" t="s">
        <v>1628</v>
      </c>
      <c r="H349" s="117" t="s">
        <v>1628</v>
      </c>
      <c r="I349" s="117" t="s">
        <v>1809</v>
      </c>
      <c r="J349" s="118">
        <v>-11.0750775458405</v>
      </c>
      <c r="K349" s="118">
        <v>-75.335673255121193</v>
      </c>
      <c r="L349" s="117">
        <v>110801</v>
      </c>
      <c r="M349" s="117">
        <v>120301</v>
      </c>
    </row>
    <row r="350" spans="1:13" x14ac:dyDescent="0.25">
      <c r="A350" s="120">
        <v>349</v>
      </c>
      <c r="B350" s="120">
        <v>31</v>
      </c>
      <c r="C350" s="117" t="str">
        <f>_xlfn.XLOOKUP(B350,dimUniversidades!$A:$A,dimUniversidades!$B:$B,"(sin universidad)")</f>
        <v>Universidad Nacional Daniel Alcides Carrión</v>
      </c>
      <c r="D350" s="117" t="s">
        <v>678</v>
      </c>
      <c r="E350" s="119" t="b">
        <v>0</v>
      </c>
      <c r="F350" s="117" t="s">
        <v>506</v>
      </c>
      <c r="G350" s="117" t="s">
        <v>1808</v>
      </c>
      <c r="H350" s="117" t="s">
        <v>1807</v>
      </c>
      <c r="I350" s="117" t="s">
        <v>1806</v>
      </c>
      <c r="J350" s="118">
        <v>-10.489939894169</v>
      </c>
      <c r="K350" s="118">
        <v>-76.507671914758305</v>
      </c>
      <c r="L350" s="117">
        <v>180201</v>
      </c>
      <c r="M350" s="117">
        <v>190201</v>
      </c>
    </row>
    <row r="351" spans="1:13" x14ac:dyDescent="0.25">
      <c r="A351" s="120">
        <v>350</v>
      </c>
      <c r="B351" s="120">
        <v>32</v>
      </c>
      <c r="C351" s="117" t="str">
        <f>_xlfn.XLOOKUP(B351,dimUniversidades!$A:$A,dimUniversidades!$B:$B,"(sin universidad)")</f>
        <v>Universidad Nacional Mayor de San Marcos</v>
      </c>
      <c r="D351" s="117" t="s">
        <v>324</v>
      </c>
      <c r="E351" s="119" t="b">
        <v>1</v>
      </c>
      <c r="F351" s="117" t="s">
        <v>385</v>
      </c>
      <c r="G351" s="117" t="s">
        <v>385</v>
      </c>
      <c r="H351" s="117" t="s">
        <v>385</v>
      </c>
      <c r="I351" s="117" t="s">
        <v>553</v>
      </c>
      <c r="J351" s="118">
        <v>-12.056025699999999</v>
      </c>
      <c r="K351" s="118">
        <v>-77.084422599999996</v>
      </c>
      <c r="L351" s="117">
        <v>140101</v>
      </c>
      <c r="M351" s="117">
        <v>150101</v>
      </c>
    </row>
    <row r="352" spans="1:13" x14ac:dyDescent="0.25">
      <c r="A352" s="120">
        <v>351</v>
      </c>
      <c r="B352" s="120">
        <v>32</v>
      </c>
      <c r="C352" s="117" t="str">
        <f>_xlfn.XLOOKUP(B352,dimUniversidades!$A:$A,dimUniversidades!$B:$B,"(sin universidad)")</f>
        <v>Universidad Nacional Mayor de San Marcos</v>
      </c>
      <c r="D352" s="117" t="s">
        <v>399</v>
      </c>
      <c r="E352" s="119" t="b">
        <v>0</v>
      </c>
      <c r="F352" s="117" t="s">
        <v>385</v>
      </c>
      <c r="G352" s="117" t="s">
        <v>385</v>
      </c>
      <c r="H352" s="117" t="s">
        <v>385</v>
      </c>
      <c r="I352" s="117" t="s">
        <v>1805</v>
      </c>
      <c r="J352" s="118">
        <v>-12.05748299221</v>
      </c>
      <c r="K352" s="118">
        <v>-77.0229917865082</v>
      </c>
      <c r="L352" s="117">
        <v>140101</v>
      </c>
      <c r="M352" s="117">
        <v>150101</v>
      </c>
    </row>
    <row r="353" spans="1:13" x14ac:dyDescent="0.25">
      <c r="A353" s="120">
        <v>352</v>
      </c>
      <c r="B353" s="120">
        <v>32</v>
      </c>
      <c r="C353" s="117" t="str">
        <f>_xlfn.XLOOKUP(B353,dimUniversidades!$A:$A,dimUniversidades!$B:$B,"(sin universidad)")</f>
        <v>Universidad Nacional Mayor de San Marcos</v>
      </c>
      <c r="D353" s="117" t="s">
        <v>735</v>
      </c>
      <c r="E353" s="119" t="b">
        <v>0</v>
      </c>
      <c r="F353" s="117" t="s">
        <v>385</v>
      </c>
      <c r="G353" s="117" t="s">
        <v>385</v>
      </c>
      <c r="H353" s="117" t="s">
        <v>1229</v>
      </c>
      <c r="I353" s="117" t="s">
        <v>1804</v>
      </c>
      <c r="J353" s="118">
        <v>-12.057763</v>
      </c>
      <c r="K353" s="118">
        <v>-77.017876599999994</v>
      </c>
      <c r="L353" s="117">
        <v>140109</v>
      </c>
      <c r="M353" s="117">
        <v>150115</v>
      </c>
    </row>
    <row r="354" spans="1:13" x14ac:dyDescent="0.25">
      <c r="A354" s="120">
        <v>353</v>
      </c>
      <c r="B354" s="120">
        <v>32</v>
      </c>
      <c r="C354" s="117" t="str">
        <f>_xlfn.XLOOKUP(B354,dimUniversidades!$A:$A,dimUniversidades!$B:$B,"(sin universidad)")</f>
        <v>Universidad Nacional Mayor de San Marcos</v>
      </c>
      <c r="D354" s="117" t="s">
        <v>500</v>
      </c>
      <c r="E354" s="119" t="b">
        <v>0</v>
      </c>
      <c r="F354" s="117" t="s">
        <v>385</v>
      </c>
      <c r="G354" s="117" t="s">
        <v>385</v>
      </c>
      <c r="H354" s="117" t="s">
        <v>1229</v>
      </c>
      <c r="I354" s="117" t="s">
        <v>1803</v>
      </c>
      <c r="J354" s="118">
        <v>-12.0578848</v>
      </c>
      <c r="K354" s="118">
        <v>-77.019387100000003</v>
      </c>
      <c r="L354" s="117">
        <v>140109</v>
      </c>
      <c r="M354" s="117">
        <v>150115</v>
      </c>
    </row>
    <row r="355" spans="1:13" x14ac:dyDescent="0.25">
      <c r="A355" s="120">
        <v>354</v>
      </c>
      <c r="B355" s="120">
        <v>32</v>
      </c>
      <c r="C355" s="117" t="str">
        <f>_xlfn.XLOOKUP(B355,dimUniversidades!$A:$A,dimUniversidades!$B:$B,"(sin universidad)")</f>
        <v>Universidad Nacional Mayor de San Marcos</v>
      </c>
      <c r="D355" s="117" t="s">
        <v>1117</v>
      </c>
      <c r="E355" s="119" t="b">
        <v>0</v>
      </c>
      <c r="F355" s="117" t="s">
        <v>385</v>
      </c>
      <c r="G355" s="117" t="s">
        <v>385</v>
      </c>
      <c r="H355" s="117" t="s">
        <v>1302</v>
      </c>
      <c r="I355" s="117" t="s">
        <v>1802</v>
      </c>
      <c r="J355" s="118">
        <v>-12.0816803514589</v>
      </c>
      <c r="K355" s="118">
        <v>-76.987697276721207</v>
      </c>
      <c r="L355" s="117">
        <v>140140</v>
      </c>
      <c r="M355" s="117">
        <v>150130</v>
      </c>
    </row>
    <row r="356" spans="1:13" x14ac:dyDescent="0.25">
      <c r="A356" s="120">
        <v>355</v>
      </c>
      <c r="B356" s="120">
        <v>32</v>
      </c>
      <c r="C356" s="117" t="str">
        <f>_xlfn.XLOOKUP(B356,dimUniversidades!$A:$A,dimUniversidades!$B:$B,"(sin universidad)")</f>
        <v>Universidad Nacional Mayor de San Marcos</v>
      </c>
      <c r="D356" s="117" t="s">
        <v>1232</v>
      </c>
      <c r="E356" s="119" t="b">
        <v>0</v>
      </c>
      <c r="F356" s="117" t="s">
        <v>385</v>
      </c>
      <c r="G356" s="117" t="s">
        <v>385</v>
      </c>
      <c r="H356" s="117" t="s">
        <v>1229</v>
      </c>
      <c r="I356" s="117" t="s">
        <v>1801</v>
      </c>
      <c r="J356" s="118">
        <v>-12.0623810666825</v>
      </c>
      <c r="K356" s="118">
        <v>-77.022228604893499</v>
      </c>
      <c r="L356" s="117">
        <v>140109</v>
      </c>
      <c r="M356" s="117">
        <v>150115</v>
      </c>
    </row>
    <row r="357" spans="1:13" x14ac:dyDescent="0.25">
      <c r="A357" s="120">
        <v>356</v>
      </c>
      <c r="B357" s="120">
        <v>32</v>
      </c>
      <c r="C357" s="117" t="str">
        <f>_xlfn.XLOOKUP(B357,dimUniversidades!$A:$A,dimUniversidades!$B:$B,"(sin universidad)")</f>
        <v>Universidad Nacional Mayor de San Marcos</v>
      </c>
      <c r="D357" s="117" t="s">
        <v>1230</v>
      </c>
      <c r="E357" s="119" t="b">
        <v>0</v>
      </c>
      <c r="F357" s="117" t="s">
        <v>385</v>
      </c>
      <c r="G357" s="117" t="s">
        <v>385</v>
      </c>
      <c r="H357" s="117" t="s">
        <v>514</v>
      </c>
      <c r="I357" s="117" t="s">
        <v>1800</v>
      </c>
      <c r="J357" s="118">
        <v>-11.9543961</v>
      </c>
      <c r="K357" s="118">
        <v>-76.986867000000004</v>
      </c>
      <c r="L357" s="117">
        <v>140137</v>
      </c>
      <c r="M357" s="117">
        <v>150132</v>
      </c>
    </row>
    <row r="358" spans="1:13" x14ac:dyDescent="0.25">
      <c r="A358" s="120">
        <v>357</v>
      </c>
      <c r="B358" s="120">
        <v>32</v>
      </c>
      <c r="C358" s="117" t="str">
        <f>_xlfn.XLOOKUP(B358,dimUniversidades!$A:$A,dimUniversidades!$B:$B,"(sin universidad)")</f>
        <v>Universidad Nacional Mayor de San Marcos</v>
      </c>
      <c r="D358" s="117" t="s">
        <v>1227</v>
      </c>
      <c r="E358" s="119" t="b">
        <v>0</v>
      </c>
      <c r="F358" s="117" t="s">
        <v>385</v>
      </c>
      <c r="G358" s="117" t="s">
        <v>385</v>
      </c>
      <c r="H358" s="117" t="s">
        <v>1182</v>
      </c>
      <c r="I358" s="117" t="s">
        <v>1799</v>
      </c>
      <c r="J358" s="118">
        <v>-12.072669899999999</v>
      </c>
      <c r="K358" s="118">
        <v>-77.0432086</v>
      </c>
      <c r="L358" s="117">
        <v>140133</v>
      </c>
      <c r="M358" s="117">
        <v>150113</v>
      </c>
    </row>
    <row r="359" spans="1:13" x14ac:dyDescent="0.25">
      <c r="A359" s="120">
        <v>358</v>
      </c>
      <c r="B359" s="120">
        <v>32</v>
      </c>
      <c r="C359" s="117" t="str">
        <f>_xlfn.XLOOKUP(B359,dimUniversidades!$A:$A,dimUniversidades!$B:$B,"(sin universidad)")</f>
        <v>Universidad Nacional Mayor de San Marcos</v>
      </c>
      <c r="D359" s="117" t="s">
        <v>1798</v>
      </c>
      <c r="E359" s="119" t="b">
        <v>0</v>
      </c>
      <c r="F359" s="117" t="s">
        <v>385</v>
      </c>
      <c r="G359" s="117" t="s">
        <v>1794</v>
      </c>
      <c r="H359" s="117" t="s">
        <v>1797</v>
      </c>
      <c r="I359" s="117" t="s">
        <v>1796</v>
      </c>
      <c r="J359" s="118">
        <v>-11.513112100000001</v>
      </c>
      <c r="K359" s="118">
        <v>-77.296883199999996</v>
      </c>
      <c r="L359" s="117">
        <v>140805</v>
      </c>
      <c r="M359" s="117">
        <v>150605</v>
      </c>
    </row>
    <row r="360" spans="1:13" x14ac:dyDescent="0.25">
      <c r="A360" s="120">
        <v>359</v>
      </c>
      <c r="B360" s="120">
        <v>32</v>
      </c>
      <c r="C360" s="117" t="str">
        <f>_xlfn.XLOOKUP(B360,dimUniversidades!$A:$A,dimUniversidades!$B:$B,"(sin universidad)")</f>
        <v>Universidad Nacional Mayor de San Marcos</v>
      </c>
      <c r="D360" s="117" t="s">
        <v>1795</v>
      </c>
      <c r="E360" s="119" t="b">
        <v>0</v>
      </c>
      <c r="F360" s="117" t="s">
        <v>385</v>
      </c>
      <c r="G360" s="117" t="s">
        <v>1794</v>
      </c>
      <c r="H360" s="117" t="s">
        <v>1794</v>
      </c>
      <c r="I360" s="117" t="s">
        <v>1793</v>
      </c>
      <c r="J360" s="118">
        <v>-11.489973900000001</v>
      </c>
      <c r="K360" s="118">
        <v>-77.197178899999997</v>
      </c>
      <c r="L360" s="117">
        <v>140801</v>
      </c>
      <c r="M360" s="117">
        <v>150601</v>
      </c>
    </row>
    <row r="361" spans="1:13" x14ac:dyDescent="0.25">
      <c r="A361" s="120">
        <v>360</v>
      </c>
      <c r="B361" s="120">
        <v>32</v>
      </c>
      <c r="C361" s="117" t="str">
        <f>_xlfn.XLOOKUP(B361,dimUniversidades!$A:$A,dimUniversidades!$B:$B,"(sin universidad)")</f>
        <v>Universidad Nacional Mayor de San Marcos</v>
      </c>
      <c r="D361" s="117" t="s">
        <v>1792</v>
      </c>
      <c r="E361" s="119" t="b">
        <v>0</v>
      </c>
      <c r="F361" s="117" t="s">
        <v>385</v>
      </c>
      <c r="G361" s="117" t="s">
        <v>1555</v>
      </c>
      <c r="H361" s="117" t="s">
        <v>1554</v>
      </c>
      <c r="I361" s="117" t="s">
        <v>1791</v>
      </c>
      <c r="J361" s="118">
        <v>-10.6670786</v>
      </c>
      <c r="K361" s="118">
        <v>-76.774645199999995</v>
      </c>
      <c r="L361" s="117">
        <v>141001</v>
      </c>
      <c r="M361" s="117">
        <v>150901</v>
      </c>
    </row>
    <row r="362" spans="1:13" x14ac:dyDescent="0.25">
      <c r="A362" s="120">
        <v>361</v>
      </c>
      <c r="B362" s="120">
        <v>32</v>
      </c>
      <c r="C362" s="117" t="str">
        <f>_xlfn.XLOOKUP(B362,dimUniversidades!$A:$A,dimUniversidades!$B:$B,"(sin universidad)")</f>
        <v>Universidad Nacional Mayor de San Marcos</v>
      </c>
      <c r="D362" s="117" t="s">
        <v>1790</v>
      </c>
      <c r="E362" s="119" t="b">
        <v>0</v>
      </c>
      <c r="F362" s="117" t="s">
        <v>385</v>
      </c>
      <c r="G362" s="117" t="s">
        <v>1159</v>
      </c>
      <c r="H362" s="117" t="s">
        <v>1789</v>
      </c>
      <c r="I362" s="117" t="s">
        <v>1788</v>
      </c>
      <c r="J362" s="118">
        <v>-12.514615900000001</v>
      </c>
      <c r="K362" s="118">
        <v>-76.734997399999997</v>
      </c>
      <c r="L362" s="117">
        <v>140405</v>
      </c>
      <c r="M362" s="117">
        <v>150505</v>
      </c>
    </row>
    <row r="363" spans="1:13" x14ac:dyDescent="0.25">
      <c r="A363" s="120">
        <v>362</v>
      </c>
      <c r="B363" s="120">
        <v>32</v>
      </c>
      <c r="C363" s="117" t="str">
        <f>_xlfn.XLOOKUP(B363,dimUniversidades!$A:$A,dimUniversidades!$B:$B,"(sin universidad)")</f>
        <v>Universidad Nacional Mayor de San Marcos</v>
      </c>
      <c r="D363" s="117" t="s">
        <v>1787</v>
      </c>
      <c r="E363" s="119" t="b">
        <v>0</v>
      </c>
      <c r="F363" s="117" t="s">
        <v>385</v>
      </c>
      <c r="G363" s="117" t="s">
        <v>385</v>
      </c>
      <c r="H363" s="117" t="s">
        <v>514</v>
      </c>
      <c r="I363" s="117" t="s">
        <v>1786</v>
      </c>
      <c r="J363" s="118">
        <v>-11.968179599999999</v>
      </c>
      <c r="K363" s="118">
        <v>-77.004263699999996</v>
      </c>
      <c r="L363" s="117">
        <v>140137</v>
      </c>
      <c r="M363" s="117">
        <v>150132</v>
      </c>
    </row>
    <row r="364" spans="1:13" x14ac:dyDescent="0.25">
      <c r="A364" s="120">
        <v>363</v>
      </c>
      <c r="B364" s="120">
        <v>33</v>
      </c>
      <c r="C364" s="117" t="str">
        <f>_xlfn.XLOOKUP(B364,dimUniversidades!$A:$A,dimUniversidades!$B:$B,"(sin universidad)")</f>
        <v>Universidad Peruana Cayetano Heredia</v>
      </c>
      <c r="D364" s="117" t="s">
        <v>324</v>
      </c>
      <c r="E364" s="119" t="b">
        <v>1</v>
      </c>
      <c r="F364" s="117" t="s">
        <v>385</v>
      </c>
      <c r="G364" s="117" t="s">
        <v>385</v>
      </c>
      <c r="H364" s="117" t="s">
        <v>1785</v>
      </c>
      <c r="I364" s="117" t="s">
        <v>1784</v>
      </c>
      <c r="J364" s="118">
        <v>-12.023884139280501</v>
      </c>
      <c r="K364" s="118">
        <v>-77.056352919608699</v>
      </c>
      <c r="L364" s="117">
        <v>140126</v>
      </c>
      <c r="M364" s="117">
        <v>150135</v>
      </c>
    </row>
    <row r="365" spans="1:13" x14ac:dyDescent="0.25">
      <c r="A365" s="120">
        <v>364</v>
      </c>
      <c r="B365" s="120">
        <v>33</v>
      </c>
      <c r="C365" s="117" t="str">
        <f>_xlfn.XLOOKUP(B365,dimUniversidades!$A:$A,dimUniversidades!$B:$B,"(sin universidad)")</f>
        <v>Universidad Peruana Cayetano Heredia</v>
      </c>
      <c r="D365" s="117" t="s">
        <v>399</v>
      </c>
      <c r="E365" s="119" t="b">
        <v>0</v>
      </c>
      <c r="F365" s="117" t="s">
        <v>385</v>
      </c>
      <c r="G365" s="117" t="s">
        <v>385</v>
      </c>
      <c r="H365" s="117" t="s">
        <v>428</v>
      </c>
      <c r="I365" s="117" t="s">
        <v>1783</v>
      </c>
      <c r="J365" s="118">
        <v>-12.0695303</v>
      </c>
      <c r="K365" s="118">
        <v>-76.968559499999998</v>
      </c>
      <c r="L365" s="117">
        <v>140110</v>
      </c>
      <c r="M365" s="117">
        <v>150114</v>
      </c>
    </row>
    <row r="366" spans="1:13" x14ac:dyDescent="0.25">
      <c r="A366" s="120">
        <v>365</v>
      </c>
      <c r="B366" s="120">
        <v>33</v>
      </c>
      <c r="C366" s="117" t="str">
        <f>_xlfn.XLOOKUP(B366,dimUniversidades!$A:$A,dimUniversidades!$B:$B,"(sin universidad)")</f>
        <v>Universidad Peruana Cayetano Heredia</v>
      </c>
      <c r="D366" s="117" t="s">
        <v>735</v>
      </c>
      <c r="E366" s="119" t="b">
        <v>0</v>
      </c>
      <c r="F366" s="117" t="s">
        <v>385</v>
      </c>
      <c r="G366" s="117" t="s">
        <v>385</v>
      </c>
      <c r="H366" s="117" t="s">
        <v>1226</v>
      </c>
      <c r="I366" s="117" t="s">
        <v>1782</v>
      </c>
      <c r="J366" s="118">
        <v>-12.091066</v>
      </c>
      <c r="K366" s="118">
        <v>-77.052041000000003</v>
      </c>
      <c r="L366" s="117">
        <v>140124</v>
      </c>
      <c r="M366" s="117">
        <v>150131</v>
      </c>
    </row>
    <row r="367" spans="1:13" x14ac:dyDescent="0.25">
      <c r="A367" s="120">
        <v>366</v>
      </c>
      <c r="B367" s="120">
        <v>33</v>
      </c>
      <c r="C367" s="117" t="str">
        <f>_xlfn.XLOOKUP(B367,dimUniversidades!$A:$A,dimUniversidades!$B:$B,"(sin universidad)")</f>
        <v>Universidad Peruana Cayetano Heredia</v>
      </c>
      <c r="D367" s="117" t="s">
        <v>500</v>
      </c>
      <c r="E367" s="119" t="b">
        <v>0</v>
      </c>
      <c r="F367" s="117" t="s">
        <v>385</v>
      </c>
      <c r="G367" s="117" t="s">
        <v>385</v>
      </c>
      <c r="H367" s="117" t="s">
        <v>664</v>
      </c>
      <c r="I367" s="117" t="s">
        <v>1781</v>
      </c>
      <c r="J367" s="118">
        <v>-12.134088989824299</v>
      </c>
      <c r="K367" s="118">
        <v>-77.026339426702805</v>
      </c>
      <c r="L367" s="117">
        <v>140115</v>
      </c>
      <c r="M367" s="117">
        <v>150122</v>
      </c>
    </row>
    <row r="368" spans="1:13" x14ac:dyDescent="0.25">
      <c r="A368" s="120">
        <v>367</v>
      </c>
      <c r="B368" s="120">
        <v>34</v>
      </c>
      <c r="C368" s="117" t="str">
        <f>_xlfn.XLOOKUP(B368,dimUniversidades!$A:$A,dimUniversidades!$B:$B,"(sin universidad)")</f>
        <v>Universidad Nacional de Moquegua</v>
      </c>
      <c r="D368" s="117" t="s">
        <v>324</v>
      </c>
      <c r="E368" s="119" t="b">
        <v>1</v>
      </c>
      <c r="F368" s="117" t="s">
        <v>1390</v>
      </c>
      <c r="G368" s="117" t="s">
        <v>1392</v>
      </c>
      <c r="H368" s="117" t="s">
        <v>1390</v>
      </c>
      <c r="I368" s="117" t="s">
        <v>1780</v>
      </c>
      <c r="J368" s="118">
        <v>-17.189858327624499</v>
      </c>
      <c r="K368" s="118">
        <v>-70.9365788756607</v>
      </c>
      <c r="L368" s="117">
        <v>170101</v>
      </c>
      <c r="M368" s="117">
        <v>180101</v>
      </c>
    </row>
    <row r="369" spans="1:13" x14ac:dyDescent="0.25">
      <c r="A369" s="120">
        <v>368</v>
      </c>
      <c r="B369" s="120">
        <v>34</v>
      </c>
      <c r="C369" s="117" t="str">
        <f>_xlfn.XLOOKUP(B369,dimUniversidades!$A:$A,dimUniversidades!$B:$B,"(sin universidad)")</f>
        <v>Universidad Nacional de Moquegua</v>
      </c>
      <c r="D369" s="117" t="s">
        <v>579</v>
      </c>
      <c r="E369" s="119" t="b">
        <v>0</v>
      </c>
      <c r="F369" s="117" t="s">
        <v>1390</v>
      </c>
      <c r="G369" s="117" t="s">
        <v>1389</v>
      </c>
      <c r="H369" s="117" t="s">
        <v>1778</v>
      </c>
      <c r="I369" s="117" t="s">
        <v>1779</v>
      </c>
      <c r="J369" s="118">
        <v>-17.601885983630002</v>
      </c>
      <c r="K369" s="118">
        <v>-71.3410615865387</v>
      </c>
      <c r="L369" s="117">
        <v>170303</v>
      </c>
      <c r="M369" s="117">
        <v>180303</v>
      </c>
    </row>
    <row r="370" spans="1:13" x14ac:dyDescent="0.25">
      <c r="A370" s="120">
        <v>369</v>
      </c>
      <c r="B370" s="120">
        <v>34</v>
      </c>
      <c r="C370" s="117" t="str">
        <f>_xlfn.XLOOKUP(B370,dimUniversidades!$A:$A,dimUniversidades!$B:$B,"(sin universidad)")</f>
        <v>Universidad Nacional de Moquegua</v>
      </c>
      <c r="D370" s="117" t="s">
        <v>1165</v>
      </c>
      <c r="E370" s="119" t="b">
        <v>0</v>
      </c>
      <c r="F370" s="117" t="s">
        <v>1390</v>
      </c>
      <c r="G370" s="117" t="s">
        <v>1389</v>
      </c>
      <c r="H370" s="117" t="s">
        <v>1778</v>
      </c>
      <c r="I370" s="117" t="s">
        <v>1777</v>
      </c>
      <c r="J370" s="118">
        <v>-17.601795299999999</v>
      </c>
      <c r="K370" s="118">
        <v>-71.344582200000005</v>
      </c>
      <c r="L370" s="117">
        <v>170303</v>
      </c>
      <c r="M370" s="117">
        <v>180303</v>
      </c>
    </row>
    <row r="371" spans="1:13" x14ac:dyDescent="0.25">
      <c r="A371" s="120">
        <v>370</v>
      </c>
      <c r="B371" s="120">
        <v>34</v>
      </c>
      <c r="C371" s="117" t="str">
        <f>_xlfn.XLOOKUP(B371,dimUniversidades!$A:$A,dimUniversidades!$B:$B,"(sin universidad)")</f>
        <v>Universidad Nacional de Moquegua</v>
      </c>
      <c r="D371" s="117" t="s">
        <v>1160</v>
      </c>
      <c r="E371" s="119" t="b">
        <v>0</v>
      </c>
      <c r="F371" s="117" t="s">
        <v>1390</v>
      </c>
      <c r="G371" s="117" t="s">
        <v>1776</v>
      </c>
      <c r="H371" s="117" t="s">
        <v>1775</v>
      </c>
      <c r="I371" s="117" t="s">
        <v>1774</v>
      </c>
      <c r="J371" s="118">
        <v>-16.139975400000001</v>
      </c>
      <c r="K371" s="118">
        <v>-70.536331300000001</v>
      </c>
      <c r="L371" s="117">
        <v>170204</v>
      </c>
      <c r="M371" s="117">
        <v>180204</v>
      </c>
    </row>
    <row r="372" spans="1:13" x14ac:dyDescent="0.25">
      <c r="A372" s="120">
        <v>371</v>
      </c>
      <c r="B372" s="120">
        <v>35</v>
      </c>
      <c r="C372" s="117" t="str">
        <f>_xlfn.XLOOKUP(B372,dimUniversidades!$A:$A,dimUniversidades!$B:$B,"(sin universidad)")</f>
        <v>Universidad de San Martín de Porres</v>
      </c>
      <c r="D372" s="117" t="s">
        <v>324</v>
      </c>
      <c r="E372" s="119" t="b">
        <v>1</v>
      </c>
      <c r="F372" s="117" t="s">
        <v>385</v>
      </c>
      <c r="G372" s="117" t="s">
        <v>385</v>
      </c>
      <c r="H372" s="117" t="s">
        <v>652</v>
      </c>
      <c r="I372" s="117" t="s">
        <v>1773</v>
      </c>
      <c r="J372" s="118">
        <v>-12.0454981296974</v>
      </c>
      <c r="K372" s="118">
        <v>-76.967658981510596</v>
      </c>
      <c r="L372" s="117">
        <v>140143</v>
      </c>
      <c r="M372" s="117">
        <v>150137</v>
      </c>
    </row>
    <row r="373" spans="1:13" x14ac:dyDescent="0.25">
      <c r="A373" s="120">
        <v>372</v>
      </c>
      <c r="B373" s="120">
        <v>35</v>
      </c>
      <c r="C373" s="117" t="str">
        <f>_xlfn.XLOOKUP(B373,dimUniversidades!$A:$A,dimUniversidades!$B:$B,"(sin universidad)")</f>
        <v>Universidad de San Martín de Porres</v>
      </c>
      <c r="D373" s="117" t="s">
        <v>399</v>
      </c>
      <c r="E373" s="119" t="b">
        <v>0</v>
      </c>
      <c r="F373" s="117" t="s">
        <v>385</v>
      </c>
      <c r="G373" s="117" t="s">
        <v>385</v>
      </c>
      <c r="H373" s="117" t="s">
        <v>428</v>
      </c>
      <c r="I373" s="117" t="s">
        <v>429</v>
      </c>
      <c r="J373" s="118">
        <v>-12.0725873422509</v>
      </c>
      <c r="K373" s="118">
        <v>-76.942287361238101</v>
      </c>
      <c r="L373" s="117">
        <v>140110</v>
      </c>
      <c r="M373" s="117">
        <v>150114</v>
      </c>
    </row>
    <row r="374" spans="1:13" x14ac:dyDescent="0.25">
      <c r="A374" s="120">
        <v>373</v>
      </c>
      <c r="B374" s="120">
        <v>35</v>
      </c>
      <c r="C374" s="117" t="str">
        <f>_xlfn.XLOOKUP(B374,dimUniversidades!$A:$A,dimUniversidades!$B:$B,"(sin universidad)")</f>
        <v>Universidad de San Martín de Porres</v>
      </c>
      <c r="D374" s="117" t="s">
        <v>735</v>
      </c>
      <c r="E374" s="119" t="b">
        <v>0</v>
      </c>
      <c r="F374" s="117" t="s">
        <v>385</v>
      </c>
      <c r="G374" s="117" t="s">
        <v>385</v>
      </c>
      <c r="H374" s="117" t="s">
        <v>428</v>
      </c>
      <c r="I374" s="117" t="s">
        <v>1772</v>
      </c>
      <c r="J374" s="118">
        <v>-12.1027640225919</v>
      </c>
      <c r="K374" s="118">
        <v>-76.948343990807302</v>
      </c>
      <c r="L374" s="117">
        <v>140110</v>
      </c>
      <c r="M374" s="117">
        <v>150114</v>
      </c>
    </row>
    <row r="375" spans="1:13" x14ac:dyDescent="0.25">
      <c r="A375" s="120">
        <v>374</v>
      </c>
      <c r="B375" s="120">
        <v>35</v>
      </c>
      <c r="C375" s="117" t="str">
        <f>_xlfn.XLOOKUP(B375,dimUniversidades!$A:$A,dimUniversidades!$B:$B,"(sin universidad)")</f>
        <v>Universidad de San Martín de Porres</v>
      </c>
      <c r="D375" s="117" t="s">
        <v>500</v>
      </c>
      <c r="E375" s="119" t="b">
        <v>0</v>
      </c>
      <c r="F375" s="117" t="s">
        <v>385</v>
      </c>
      <c r="G375" s="117" t="s">
        <v>385</v>
      </c>
      <c r="H375" s="117" t="s">
        <v>428</v>
      </c>
      <c r="I375" s="117" t="s">
        <v>1771</v>
      </c>
      <c r="J375" s="118">
        <v>-12.097840692437201</v>
      </c>
      <c r="K375" s="118">
        <v>-76.950281403704807</v>
      </c>
      <c r="L375" s="117">
        <v>140110</v>
      </c>
      <c r="M375" s="117">
        <v>150114</v>
      </c>
    </row>
    <row r="376" spans="1:13" x14ac:dyDescent="0.25">
      <c r="A376" s="120">
        <v>375</v>
      </c>
      <c r="B376" s="120">
        <v>35</v>
      </c>
      <c r="C376" s="117" t="str">
        <f>_xlfn.XLOOKUP(B376,dimUniversidades!$A:$A,dimUniversidades!$B:$B,"(sin universidad)")</f>
        <v>Universidad de San Martín de Porres</v>
      </c>
      <c r="D376" s="117" t="s">
        <v>1117</v>
      </c>
      <c r="E376" s="119" t="b">
        <v>0</v>
      </c>
      <c r="F376" s="117" t="s">
        <v>385</v>
      </c>
      <c r="G376" s="117" t="s">
        <v>385</v>
      </c>
      <c r="H376" s="117" t="s">
        <v>1206</v>
      </c>
      <c r="I376" s="117" t="s">
        <v>1770</v>
      </c>
      <c r="J376" s="118">
        <v>-12.0794646717977</v>
      </c>
      <c r="K376" s="118">
        <v>-76.998088069905805</v>
      </c>
      <c r="L376" s="117">
        <v>140138</v>
      </c>
      <c r="M376" s="117">
        <v>150134</v>
      </c>
    </row>
    <row r="377" spans="1:13" x14ac:dyDescent="0.25">
      <c r="A377" s="120">
        <v>376</v>
      </c>
      <c r="B377" s="120">
        <v>35</v>
      </c>
      <c r="C377" s="117" t="str">
        <f>_xlfn.XLOOKUP(B377,dimUniversidades!$A:$A,dimUniversidades!$B:$B,"(sin universidad)")</f>
        <v>Universidad de San Martín de Porres</v>
      </c>
      <c r="D377" s="117" t="s">
        <v>1232</v>
      </c>
      <c r="E377" s="119" t="b">
        <v>0</v>
      </c>
      <c r="F377" s="117" t="s">
        <v>385</v>
      </c>
      <c r="G377" s="117" t="s">
        <v>385</v>
      </c>
      <c r="H377" s="117" t="s">
        <v>1763</v>
      </c>
      <c r="I377" s="117" t="s">
        <v>1769</v>
      </c>
      <c r="J377" s="118">
        <v>-12.104976765679799</v>
      </c>
      <c r="K377" s="118">
        <v>-77.017655404893503</v>
      </c>
      <c r="L377" s="117">
        <v>140131</v>
      </c>
      <c r="M377" s="117">
        <v>150141</v>
      </c>
    </row>
    <row r="378" spans="1:13" x14ac:dyDescent="0.25">
      <c r="A378" s="120">
        <v>377</v>
      </c>
      <c r="B378" s="120">
        <v>35</v>
      </c>
      <c r="C378" s="117" t="str">
        <f>_xlfn.XLOOKUP(B378,dimUniversidades!$A:$A,dimUniversidades!$B:$B,"(sin universidad)")</f>
        <v>Universidad de San Martín de Porres</v>
      </c>
      <c r="D378" s="117" t="s">
        <v>1230</v>
      </c>
      <c r="E378" s="119" t="b">
        <v>0</v>
      </c>
      <c r="F378" s="117" t="s">
        <v>385</v>
      </c>
      <c r="G378" s="117" t="s">
        <v>385</v>
      </c>
      <c r="H378" s="117" t="s">
        <v>1226</v>
      </c>
      <c r="I378" s="117" t="s">
        <v>1768</v>
      </c>
      <c r="J378" s="118">
        <v>-12.092647882326601</v>
      </c>
      <c r="K378" s="118">
        <v>-77.037684290212994</v>
      </c>
      <c r="L378" s="117">
        <v>140124</v>
      </c>
      <c r="M378" s="117">
        <v>150131</v>
      </c>
    </row>
    <row r="379" spans="1:13" x14ac:dyDescent="0.25">
      <c r="A379" s="120">
        <v>378</v>
      </c>
      <c r="B379" s="120">
        <v>35</v>
      </c>
      <c r="C379" s="117" t="str">
        <f>_xlfn.XLOOKUP(B379,dimUniversidades!$A:$A,dimUniversidades!$B:$B,"(sin universidad)")</f>
        <v>Universidad de San Martín de Porres</v>
      </c>
      <c r="D379" s="117" t="s">
        <v>1227</v>
      </c>
      <c r="E379" s="119" t="b">
        <v>0</v>
      </c>
      <c r="F379" s="117" t="s">
        <v>385</v>
      </c>
      <c r="G379" s="117" t="s">
        <v>385</v>
      </c>
      <c r="H379" s="117" t="s">
        <v>1182</v>
      </c>
      <c r="I379" s="117" t="s">
        <v>1767</v>
      </c>
      <c r="J379" s="118">
        <v>-12.077849286573301</v>
      </c>
      <c r="K379" s="118">
        <v>-77.055732788989701</v>
      </c>
      <c r="L379" s="117">
        <v>140133</v>
      </c>
      <c r="M379" s="117">
        <v>150113</v>
      </c>
    </row>
    <row r="380" spans="1:13" x14ac:dyDescent="0.25">
      <c r="A380" s="120">
        <v>379</v>
      </c>
      <c r="B380" s="120">
        <v>35</v>
      </c>
      <c r="C380" s="117" t="str">
        <f>_xlfn.XLOOKUP(B380,dimUniversidades!$A:$A,dimUniversidades!$B:$B,"(sin universidad)")</f>
        <v>Universidad de San Martín de Porres</v>
      </c>
      <c r="D380" s="117" t="s">
        <v>1419</v>
      </c>
      <c r="E380" s="119" t="b">
        <v>0</v>
      </c>
      <c r="F380" s="117" t="s">
        <v>385</v>
      </c>
      <c r="G380" s="117" t="s">
        <v>385</v>
      </c>
      <c r="H380" s="117" t="s">
        <v>1182</v>
      </c>
      <c r="I380" s="117" t="s">
        <v>1766</v>
      </c>
      <c r="J380" s="118">
        <v>-12.076979631574099</v>
      </c>
      <c r="K380" s="118">
        <v>-77.042577300594303</v>
      </c>
      <c r="L380" s="117">
        <v>140133</v>
      </c>
      <c r="M380" s="117">
        <v>150113</v>
      </c>
    </row>
    <row r="381" spans="1:13" x14ac:dyDescent="0.25">
      <c r="A381" s="120">
        <v>380</v>
      </c>
      <c r="B381" s="120">
        <v>35</v>
      </c>
      <c r="C381" s="117" t="str">
        <f>_xlfn.XLOOKUP(B381,dimUniversidades!$A:$A,dimUniversidades!$B:$B,"(sin universidad)")</f>
        <v>Universidad de San Martín de Porres</v>
      </c>
      <c r="D381" s="117" t="s">
        <v>643</v>
      </c>
      <c r="E381" s="119" t="b">
        <v>0</v>
      </c>
      <c r="F381" s="117" t="s">
        <v>385</v>
      </c>
      <c r="G381" s="117" t="s">
        <v>385</v>
      </c>
      <c r="H381" s="117" t="s">
        <v>664</v>
      </c>
      <c r="I381" s="117" t="s">
        <v>1765</v>
      </c>
      <c r="J381" s="118">
        <v>-12.125495348171301</v>
      </c>
      <c r="K381" s="118">
        <v>-77.021924455854403</v>
      </c>
      <c r="L381" s="117">
        <v>140115</v>
      </c>
      <c r="M381" s="117">
        <v>150122</v>
      </c>
    </row>
    <row r="382" spans="1:13" x14ac:dyDescent="0.25">
      <c r="A382" s="120">
        <v>381</v>
      </c>
      <c r="B382" s="120">
        <v>35</v>
      </c>
      <c r="C382" s="117" t="str">
        <f>_xlfn.XLOOKUP(B382,dimUniversidades!$A:$A,dimUniversidades!$B:$B,"(sin universidad)")</f>
        <v>Universidad de San Martín de Porres</v>
      </c>
      <c r="D382" s="117" t="s">
        <v>1649</v>
      </c>
      <c r="E382" s="119" t="b">
        <v>0</v>
      </c>
      <c r="F382" s="117" t="s">
        <v>385</v>
      </c>
      <c r="G382" s="117" t="s">
        <v>385</v>
      </c>
      <c r="H382" s="117" t="s">
        <v>1206</v>
      </c>
      <c r="I382" s="117" t="s">
        <v>1764</v>
      </c>
      <c r="J382" s="118">
        <v>-12.0800768285273</v>
      </c>
      <c r="K382" s="118">
        <v>-76.997344771792996</v>
      </c>
      <c r="L382" s="117">
        <v>140138</v>
      </c>
      <c r="M382" s="117">
        <v>150134</v>
      </c>
    </row>
    <row r="383" spans="1:13" x14ac:dyDescent="0.25">
      <c r="A383" s="120">
        <v>382</v>
      </c>
      <c r="B383" s="120">
        <v>35</v>
      </c>
      <c r="C383" s="117" t="str">
        <f>_xlfn.XLOOKUP(B383,dimUniversidades!$A:$A,dimUniversidades!$B:$B,"(sin universidad)")</f>
        <v>Universidad de San Martín de Porres</v>
      </c>
      <c r="D383" s="117" t="s">
        <v>1646</v>
      </c>
      <c r="E383" s="119" t="b">
        <v>0</v>
      </c>
      <c r="F383" s="117" t="s">
        <v>385</v>
      </c>
      <c r="G383" s="117" t="s">
        <v>385</v>
      </c>
      <c r="H383" s="117" t="s">
        <v>1763</v>
      </c>
      <c r="I383" s="117" t="s">
        <v>1762</v>
      </c>
      <c r="J383" s="118">
        <v>-12.104811512461501</v>
      </c>
      <c r="K383" s="118">
        <v>-77.017573006984705</v>
      </c>
      <c r="L383" s="117">
        <v>140131</v>
      </c>
      <c r="M383" s="117">
        <v>150141</v>
      </c>
    </row>
    <row r="384" spans="1:13" x14ac:dyDescent="0.25">
      <c r="A384" s="120">
        <v>383</v>
      </c>
      <c r="B384" s="120">
        <v>35</v>
      </c>
      <c r="C384" s="117" t="str">
        <f>_xlfn.XLOOKUP(B384,dimUniversidades!$A:$A,dimUniversidades!$B:$B,"(sin universidad)")</f>
        <v>Universidad de San Martín de Porres</v>
      </c>
      <c r="D384" s="117" t="s">
        <v>1718</v>
      </c>
      <c r="E384" s="119" t="b">
        <v>0</v>
      </c>
      <c r="F384" s="117" t="s">
        <v>385</v>
      </c>
      <c r="G384" s="117" t="s">
        <v>385</v>
      </c>
      <c r="H384" s="117" t="s">
        <v>1182</v>
      </c>
      <c r="I384" s="117" t="s">
        <v>1761</v>
      </c>
      <c r="J384" s="118">
        <v>-12.077033800000001</v>
      </c>
      <c r="K384" s="118">
        <v>-77.042642499999999</v>
      </c>
      <c r="L384" s="117">
        <v>140133</v>
      </c>
      <c r="M384" s="117">
        <v>150113</v>
      </c>
    </row>
    <row r="385" spans="1:13" x14ac:dyDescent="0.25">
      <c r="A385" s="120">
        <v>384</v>
      </c>
      <c r="B385" s="120">
        <v>35</v>
      </c>
      <c r="C385" s="117" t="str">
        <f>_xlfn.XLOOKUP(B385,dimUniversidades!$A:$A,dimUniversidades!$B:$B,"(sin universidad)")</f>
        <v>Universidad de San Martín de Porres</v>
      </c>
      <c r="D385" s="117" t="s">
        <v>1760</v>
      </c>
      <c r="E385" s="119" t="b">
        <v>0</v>
      </c>
      <c r="F385" s="117" t="s">
        <v>385</v>
      </c>
      <c r="G385" s="117" t="s">
        <v>385</v>
      </c>
      <c r="H385" s="117" t="s">
        <v>1759</v>
      </c>
      <c r="I385" s="117" t="s">
        <v>1758</v>
      </c>
      <c r="J385" s="118">
        <v>-11.9291543</v>
      </c>
      <c r="K385" s="118">
        <v>-77.055359199999998</v>
      </c>
      <c r="L385" s="117">
        <v>140106</v>
      </c>
      <c r="M385" s="117">
        <v>150110</v>
      </c>
    </row>
    <row r="386" spans="1:13" x14ac:dyDescent="0.25">
      <c r="A386" s="120">
        <v>385</v>
      </c>
      <c r="B386" s="120">
        <v>35</v>
      </c>
      <c r="C386" s="117" t="str">
        <f>_xlfn.XLOOKUP(B386,dimUniversidades!$A:$A,dimUniversidades!$B:$B,"(sin universidad)")</f>
        <v>Universidad de San Martín de Porres</v>
      </c>
      <c r="D386" s="117" t="s">
        <v>579</v>
      </c>
      <c r="E386" s="119" t="b">
        <v>0</v>
      </c>
      <c r="F386" s="117" t="s">
        <v>589</v>
      </c>
      <c r="G386" s="117" t="s">
        <v>1222</v>
      </c>
      <c r="H386" s="117" t="s">
        <v>1251</v>
      </c>
      <c r="I386" s="117" t="s">
        <v>1757</v>
      </c>
      <c r="J386" s="118">
        <v>-6.77905850790905</v>
      </c>
      <c r="K386" s="118">
        <v>-79.8641572227192</v>
      </c>
      <c r="L386" s="117">
        <v>130110</v>
      </c>
      <c r="M386" s="117">
        <v>140112</v>
      </c>
    </row>
    <row r="387" spans="1:13" x14ac:dyDescent="0.25">
      <c r="A387" s="120">
        <v>386</v>
      </c>
      <c r="B387" s="120">
        <v>35</v>
      </c>
      <c r="C387" s="117" t="str">
        <f>_xlfn.XLOOKUP(B387,dimUniversidades!$A:$A,dimUniversidades!$B:$B,"(sin universidad)")</f>
        <v>Universidad de San Martín de Porres</v>
      </c>
      <c r="D387" s="117" t="s">
        <v>1160</v>
      </c>
      <c r="E387" s="119" t="b">
        <v>0</v>
      </c>
      <c r="F387" s="117" t="s">
        <v>530</v>
      </c>
      <c r="G387" s="117" t="s">
        <v>530</v>
      </c>
      <c r="H387" s="117" t="s">
        <v>530</v>
      </c>
      <c r="I387" s="117" t="s">
        <v>1756</v>
      </c>
      <c r="J387" s="118">
        <v>-16.400777608812501</v>
      </c>
      <c r="K387" s="118">
        <v>-71.538314567779494</v>
      </c>
      <c r="L387" s="117">
        <v>40101</v>
      </c>
      <c r="M387" s="117">
        <v>40101</v>
      </c>
    </row>
    <row r="388" spans="1:13" x14ac:dyDescent="0.25">
      <c r="A388" s="120">
        <v>387</v>
      </c>
      <c r="B388" s="120">
        <v>35</v>
      </c>
      <c r="C388" s="117" t="str">
        <f>_xlfn.XLOOKUP(B388,dimUniversidades!$A:$A,dimUniversidades!$B:$B,"(sin universidad)")</f>
        <v>Universidad de San Martín de Porres</v>
      </c>
      <c r="D388" s="117" t="s">
        <v>1480</v>
      </c>
      <c r="E388" s="119" t="b">
        <v>0</v>
      </c>
      <c r="F388" s="117" t="s">
        <v>530</v>
      </c>
      <c r="G388" s="117" t="s">
        <v>530</v>
      </c>
      <c r="H388" s="117" t="s">
        <v>1755</v>
      </c>
      <c r="I388" s="117" t="s">
        <v>1754</v>
      </c>
      <c r="J388" s="118">
        <v>-16.429249800000001</v>
      </c>
      <c r="K388" s="118">
        <v>-71.523754600000004</v>
      </c>
      <c r="L388" s="117">
        <v>40129</v>
      </c>
      <c r="M388" s="117">
        <v>40129</v>
      </c>
    </row>
    <row r="389" spans="1:13" x14ac:dyDescent="0.25">
      <c r="A389" s="120">
        <v>388</v>
      </c>
      <c r="B389" s="120">
        <v>36</v>
      </c>
      <c r="C389" s="117" t="str">
        <f>_xlfn.XLOOKUP(B389,dimUniversidades!$A:$A,dimUniversidades!$B:$B,"(sin universidad)")</f>
        <v>Universidad Nacional de Cajamarca</v>
      </c>
      <c r="D389" s="117" t="s">
        <v>324</v>
      </c>
      <c r="E389" s="119" t="b">
        <v>1</v>
      </c>
      <c r="F389" s="117" t="s">
        <v>420</v>
      </c>
      <c r="G389" s="117" t="s">
        <v>420</v>
      </c>
      <c r="H389" s="117" t="s">
        <v>420</v>
      </c>
      <c r="I389" s="117" t="s">
        <v>421</v>
      </c>
      <c r="J389" s="118">
        <v>-7.1671935962648501</v>
      </c>
      <c r="K389" s="118">
        <v>-78.496523075463102</v>
      </c>
      <c r="L389" s="117">
        <v>60101</v>
      </c>
      <c r="M389" s="117">
        <v>60101</v>
      </c>
    </row>
    <row r="390" spans="1:13" x14ac:dyDescent="0.25">
      <c r="A390" s="120">
        <v>389</v>
      </c>
      <c r="B390" s="120">
        <v>36</v>
      </c>
      <c r="C390" s="117" t="str">
        <f>_xlfn.XLOOKUP(B390,dimUniversidades!$A:$A,dimUniversidades!$B:$B,"(sin universidad)")</f>
        <v>Universidad Nacional de Cajamarca</v>
      </c>
      <c r="D390" s="117" t="s">
        <v>399</v>
      </c>
      <c r="E390" s="119" t="b">
        <v>0</v>
      </c>
      <c r="F390" s="117" t="s">
        <v>420</v>
      </c>
      <c r="G390" s="117" t="s">
        <v>420</v>
      </c>
      <c r="H390" s="117" t="s">
        <v>420</v>
      </c>
      <c r="I390" s="117" t="s">
        <v>1753</v>
      </c>
      <c r="J390" s="118">
        <v>-7.1584659421360302</v>
      </c>
      <c r="K390" s="118">
        <v>-78.517692295700797</v>
      </c>
      <c r="L390" s="117">
        <v>60101</v>
      </c>
      <c r="M390" s="117">
        <v>60101</v>
      </c>
    </row>
    <row r="391" spans="1:13" x14ac:dyDescent="0.25">
      <c r="A391" s="120">
        <v>390</v>
      </c>
      <c r="B391" s="120">
        <v>36</v>
      </c>
      <c r="C391" s="117" t="str">
        <f>_xlfn.XLOOKUP(B391,dimUniversidades!$A:$A,dimUniversidades!$B:$B,"(sin universidad)")</f>
        <v>Universidad Nacional de Cajamarca</v>
      </c>
      <c r="D391" s="117" t="s">
        <v>735</v>
      </c>
      <c r="E391" s="119" t="b">
        <v>0</v>
      </c>
      <c r="F391" s="117" t="s">
        <v>420</v>
      </c>
      <c r="G391" s="117" t="s">
        <v>420</v>
      </c>
      <c r="H391" s="117" t="s">
        <v>420</v>
      </c>
      <c r="I391" s="117" t="s">
        <v>1752</v>
      </c>
      <c r="J391" s="118">
        <v>-7.1581445011160296</v>
      </c>
      <c r="K391" s="118">
        <v>-78.517532368088197</v>
      </c>
      <c r="L391" s="117">
        <v>60101</v>
      </c>
      <c r="M391" s="117">
        <v>60101</v>
      </c>
    </row>
    <row r="392" spans="1:13" x14ac:dyDescent="0.25">
      <c r="A392" s="120">
        <v>391</v>
      </c>
      <c r="B392" s="120">
        <v>36</v>
      </c>
      <c r="C392" s="117" t="str">
        <f>_xlfn.XLOOKUP(B392,dimUniversidades!$A:$A,dimUniversidades!$B:$B,"(sin universidad)")</f>
        <v>Universidad Nacional de Cajamarca</v>
      </c>
      <c r="D392" s="117" t="s">
        <v>500</v>
      </c>
      <c r="E392" s="119" t="b">
        <v>0</v>
      </c>
      <c r="F392" s="117" t="s">
        <v>420</v>
      </c>
      <c r="G392" s="117" t="s">
        <v>420</v>
      </c>
      <c r="H392" s="117" t="s">
        <v>420</v>
      </c>
      <c r="I392" s="117" t="s">
        <v>1751</v>
      </c>
      <c r="J392" s="118">
        <v>-5.7423610750625098</v>
      </c>
      <c r="K392" s="118">
        <v>-78.791095061971305</v>
      </c>
      <c r="L392" s="117">
        <v>60101</v>
      </c>
      <c r="M392" s="117">
        <v>60101</v>
      </c>
    </row>
    <row r="393" spans="1:13" x14ac:dyDescent="0.25">
      <c r="A393" s="120">
        <v>392</v>
      </c>
      <c r="B393" s="120">
        <v>36</v>
      </c>
      <c r="C393" s="117" t="str">
        <f>_xlfn.XLOOKUP(B393,dimUniversidades!$A:$A,dimUniversidades!$B:$B,"(sin universidad)")</f>
        <v>Universidad Nacional de Cajamarca</v>
      </c>
      <c r="D393" s="117" t="s">
        <v>1117</v>
      </c>
      <c r="E393" s="119" t="b">
        <v>0</v>
      </c>
      <c r="F393" s="117" t="s">
        <v>420</v>
      </c>
      <c r="G393" s="117" t="s">
        <v>420</v>
      </c>
      <c r="H393" s="117" t="s">
        <v>420</v>
      </c>
      <c r="I393" s="117" t="s">
        <v>1750</v>
      </c>
      <c r="J393" s="118">
        <v>-7.1595764725120397</v>
      </c>
      <c r="K393" s="118">
        <v>-78.524985517790995</v>
      </c>
      <c r="L393" s="117">
        <v>60101</v>
      </c>
      <c r="M393" s="117">
        <v>60101</v>
      </c>
    </row>
    <row r="394" spans="1:13" x14ac:dyDescent="0.25">
      <c r="A394" s="120">
        <v>393</v>
      </c>
      <c r="B394" s="120">
        <v>36</v>
      </c>
      <c r="C394" s="117" t="str">
        <f>_xlfn.XLOOKUP(B394,dimUniversidades!$A:$A,dimUniversidades!$B:$B,"(sin universidad)")</f>
        <v>Universidad Nacional de Cajamarca</v>
      </c>
      <c r="D394" s="117" t="s">
        <v>1232</v>
      </c>
      <c r="E394" s="119" t="b">
        <v>0</v>
      </c>
      <c r="F394" s="117" t="s">
        <v>420</v>
      </c>
      <c r="G394" s="117" t="s">
        <v>420</v>
      </c>
      <c r="H394" s="117" t="s">
        <v>420</v>
      </c>
      <c r="I394" s="117" t="s">
        <v>1749</v>
      </c>
      <c r="J394" s="118">
        <v>-7.1557097966794796</v>
      </c>
      <c r="K394" s="118">
        <v>-78.516912023873104</v>
      </c>
      <c r="L394" s="117">
        <v>60101</v>
      </c>
      <c r="M394" s="117">
        <v>60101</v>
      </c>
    </row>
    <row r="395" spans="1:13" x14ac:dyDescent="0.25">
      <c r="A395" s="120">
        <v>394</v>
      </c>
      <c r="B395" s="120">
        <v>36</v>
      </c>
      <c r="C395" s="117" t="str">
        <f>_xlfn.XLOOKUP(B395,dimUniversidades!$A:$A,dimUniversidades!$B:$B,"(sin universidad)")</f>
        <v>Universidad Nacional de Cajamarca</v>
      </c>
      <c r="D395" s="117" t="s">
        <v>1230</v>
      </c>
      <c r="E395" s="119" t="b">
        <v>0</v>
      </c>
      <c r="F395" s="117" t="s">
        <v>420</v>
      </c>
      <c r="G395" s="117" t="s">
        <v>420</v>
      </c>
      <c r="H395" s="117" t="s">
        <v>420</v>
      </c>
      <c r="I395" s="117" t="s">
        <v>1748</v>
      </c>
      <c r="J395" s="118">
        <v>-7.1819037551502198</v>
      </c>
      <c r="K395" s="118">
        <v>-78.482521032640804</v>
      </c>
      <c r="L395" s="117">
        <v>60101</v>
      </c>
      <c r="M395" s="117">
        <v>60101</v>
      </c>
    </row>
    <row r="396" spans="1:13" x14ac:dyDescent="0.25">
      <c r="A396" s="120">
        <v>395</v>
      </c>
      <c r="B396" s="120">
        <v>36</v>
      </c>
      <c r="C396" s="117" t="str">
        <f>_xlfn.XLOOKUP(B396,dimUniversidades!$A:$A,dimUniversidades!$B:$B,"(sin universidad)")</f>
        <v>Universidad Nacional de Cajamarca</v>
      </c>
      <c r="D396" s="117" t="s">
        <v>1227</v>
      </c>
      <c r="E396" s="119" t="b">
        <v>0</v>
      </c>
      <c r="F396" s="117" t="s">
        <v>420</v>
      </c>
      <c r="G396" s="117" t="s">
        <v>420</v>
      </c>
      <c r="H396" s="117" t="s">
        <v>1746</v>
      </c>
      <c r="I396" s="117" t="s">
        <v>1747</v>
      </c>
      <c r="J396" s="118">
        <v>-7.1657126350597196</v>
      </c>
      <c r="K396" s="118">
        <v>-78.494321498316907</v>
      </c>
      <c r="L396" s="117">
        <v>60107</v>
      </c>
      <c r="M396" s="117">
        <v>60108</v>
      </c>
    </row>
    <row r="397" spans="1:13" x14ac:dyDescent="0.25">
      <c r="A397" s="120">
        <v>396</v>
      </c>
      <c r="B397" s="120">
        <v>36</v>
      </c>
      <c r="C397" s="117" t="str">
        <f>_xlfn.XLOOKUP(B397,dimUniversidades!$A:$A,dimUniversidades!$B:$B,"(sin universidad)")</f>
        <v>Universidad Nacional de Cajamarca</v>
      </c>
      <c r="D397" s="117" t="s">
        <v>1419</v>
      </c>
      <c r="E397" s="119" t="b">
        <v>0</v>
      </c>
      <c r="F397" s="117" t="s">
        <v>420</v>
      </c>
      <c r="G397" s="117" t="s">
        <v>420</v>
      </c>
      <c r="H397" s="117" t="s">
        <v>1746</v>
      </c>
      <c r="I397" s="117" t="s">
        <v>1745</v>
      </c>
      <c r="J397" s="118">
        <v>-7.19338061359674</v>
      </c>
      <c r="K397" s="118">
        <v>-78.427559748687699</v>
      </c>
      <c r="L397" s="117">
        <v>60107</v>
      </c>
      <c r="M397" s="117">
        <v>60108</v>
      </c>
    </row>
    <row r="398" spans="1:13" x14ac:dyDescent="0.25">
      <c r="A398" s="120">
        <v>397</v>
      </c>
      <c r="B398" s="120">
        <v>36</v>
      </c>
      <c r="C398" s="117" t="str">
        <f>_xlfn.XLOOKUP(B398,dimUniversidades!$A:$A,dimUniversidades!$B:$B,"(sin universidad)")</f>
        <v>Universidad Nacional de Cajamarca</v>
      </c>
      <c r="D398" s="117" t="s">
        <v>643</v>
      </c>
      <c r="E398" s="119" t="b">
        <v>0</v>
      </c>
      <c r="F398" s="117" t="s">
        <v>420</v>
      </c>
      <c r="G398" s="117" t="s">
        <v>420</v>
      </c>
      <c r="H398" s="117" t="s">
        <v>420</v>
      </c>
      <c r="I398" s="117" t="s">
        <v>1744</v>
      </c>
      <c r="J398" s="118">
        <v>-7.1666411619386698</v>
      </c>
      <c r="K398" s="118">
        <v>-78.494876603057904</v>
      </c>
      <c r="L398" s="117">
        <v>60101</v>
      </c>
      <c r="M398" s="117">
        <v>60101</v>
      </c>
    </row>
    <row r="399" spans="1:13" x14ac:dyDescent="0.25">
      <c r="A399" s="120">
        <v>398</v>
      </c>
      <c r="B399" s="120">
        <v>36</v>
      </c>
      <c r="C399" s="117" t="str">
        <f>_xlfn.XLOOKUP(B399,dimUniversidades!$A:$A,dimUniversidades!$B:$B,"(sin universidad)")</f>
        <v>Universidad Nacional de Cajamarca</v>
      </c>
      <c r="D399" s="117" t="s">
        <v>1649</v>
      </c>
      <c r="E399" s="119" t="b">
        <v>0</v>
      </c>
      <c r="F399" s="117" t="s">
        <v>420</v>
      </c>
      <c r="G399" s="117" t="s">
        <v>420</v>
      </c>
      <c r="H399" s="117" t="s">
        <v>420</v>
      </c>
      <c r="I399" s="117" t="s">
        <v>1743</v>
      </c>
      <c r="J399" s="118">
        <v>-7.16727819853703</v>
      </c>
      <c r="K399" s="118">
        <v>-78.496454743286094</v>
      </c>
      <c r="L399" s="117">
        <v>60101</v>
      </c>
      <c r="M399" s="117">
        <v>60101</v>
      </c>
    </row>
    <row r="400" spans="1:13" x14ac:dyDescent="0.25">
      <c r="A400" s="120">
        <v>399</v>
      </c>
      <c r="B400" s="120">
        <v>36</v>
      </c>
      <c r="C400" s="117" t="str">
        <f>_xlfn.XLOOKUP(B400,dimUniversidades!$A:$A,dimUniversidades!$B:$B,"(sin universidad)")</f>
        <v>Universidad Nacional de Cajamarca</v>
      </c>
      <c r="D400" s="117" t="s">
        <v>1646</v>
      </c>
      <c r="E400" s="119" t="b">
        <v>0</v>
      </c>
      <c r="F400" s="117" t="s">
        <v>420</v>
      </c>
      <c r="G400" s="117" t="s">
        <v>420</v>
      </c>
      <c r="H400" s="117" t="s">
        <v>420</v>
      </c>
      <c r="I400" s="117" t="s">
        <v>1742</v>
      </c>
      <c r="J400" s="118">
        <v>-7.1607664612420701</v>
      </c>
      <c r="K400" s="118">
        <v>-78.505507699999995</v>
      </c>
      <c r="L400" s="117">
        <v>60101</v>
      </c>
      <c r="M400" s="117">
        <v>60101</v>
      </c>
    </row>
    <row r="401" spans="1:13" x14ac:dyDescent="0.25">
      <c r="A401" s="120">
        <v>400</v>
      </c>
      <c r="B401" s="120">
        <v>36</v>
      </c>
      <c r="C401" s="117" t="str">
        <f>_xlfn.XLOOKUP(B401,dimUniversidades!$A:$A,dimUniversidades!$B:$B,"(sin universidad)")</f>
        <v>Universidad Nacional de Cajamarca</v>
      </c>
      <c r="D401" s="117" t="s">
        <v>579</v>
      </c>
      <c r="E401" s="119" t="b">
        <v>0</v>
      </c>
      <c r="F401" s="117" t="s">
        <v>420</v>
      </c>
      <c r="G401" s="117" t="s">
        <v>1741</v>
      </c>
      <c r="H401" s="117" t="s">
        <v>1740</v>
      </c>
      <c r="I401" s="117" t="s">
        <v>1739</v>
      </c>
      <c r="J401" s="118">
        <v>-6.6754334023322803</v>
      </c>
      <c r="K401" s="118">
        <v>-78.521453833482397</v>
      </c>
      <c r="L401" s="117">
        <v>60701</v>
      </c>
      <c r="M401" s="117">
        <v>60701</v>
      </c>
    </row>
    <row r="402" spans="1:13" x14ac:dyDescent="0.25">
      <c r="A402" s="120">
        <v>401</v>
      </c>
      <c r="B402" s="120">
        <v>36</v>
      </c>
      <c r="C402" s="117" t="str">
        <f>_xlfn.XLOOKUP(B402,dimUniversidades!$A:$A,dimUniversidades!$B:$B,"(sin universidad)")</f>
        <v>Universidad Nacional de Cajamarca</v>
      </c>
      <c r="D402" s="117" t="s">
        <v>1160</v>
      </c>
      <c r="E402" s="119" t="b">
        <v>0</v>
      </c>
      <c r="F402" s="117" t="s">
        <v>420</v>
      </c>
      <c r="G402" s="117" t="s">
        <v>1738</v>
      </c>
      <c r="H402" s="117" t="s">
        <v>1738</v>
      </c>
      <c r="I402" s="117" t="s">
        <v>1737</v>
      </c>
      <c r="J402" s="118">
        <v>-7.6088019863624403</v>
      </c>
      <c r="K402" s="118">
        <v>-78.0603815453522</v>
      </c>
      <c r="L402" s="117">
        <v>60201</v>
      </c>
      <c r="M402" s="117">
        <v>60201</v>
      </c>
    </row>
    <row r="403" spans="1:13" x14ac:dyDescent="0.25">
      <c r="A403" s="120">
        <v>402</v>
      </c>
      <c r="B403" s="120">
        <v>36</v>
      </c>
      <c r="C403" s="117" t="str">
        <f>_xlfn.XLOOKUP(B403,dimUniversidades!$A:$A,dimUniversidades!$B:$B,"(sin universidad)")</f>
        <v>Universidad Nacional de Cajamarca</v>
      </c>
      <c r="D403" s="117" t="s">
        <v>599</v>
      </c>
      <c r="E403" s="119" t="b">
        <v>0</v>
      </c>
      <c r="F403" s="117" t="s">
        <v>420</v>
      </c>
      <c r="G403" s="117" t="s">
        <v>1356</v>
      </c>
      <c r="H403" s="117" t="s">
        <v>1356</v>
      </c>
      <c r="I403" s="117" t="s">
        <v>1736</v>
      </c>
      <c r="J403" s="118">
        <v>-6.8566809366742998</v>
      </c>
      <c r="K403" s="118">
        <v>-78.142268284061402</v>
      </c>
      <c r="L403" s="117">
        <v>60301</v>
      </c>
      <c r="M403" s="117">
        <v>60301</v>
      </c>
    </row>
    <row r="404" spans="1:13" x14ac:dyDescent="0.25">
      <c r="A404" s="120">
        <v>403</v>
      </c>
      <c r="B404" s="120">
        <v>36</v>
      </c>
      <c r="C404" s="117" t="str">
        <f>_xlfn.XLOOKUP(B404,dimUniversidades!$A:$A,dimUniversidades!$B:$B,"(sin universidad)")</f>
        <v>Universidad Nacional de Cajamarca</v>
      </c>
      <c r="D404" s="117" t="s">
        <v>678</v>
      </c>
      <c r="E404" s="119" t="b">
        <v>0</v>
      </c>
      <c r="F404" s="117" t="s">
        <v>420</v>
      </c>
      <c r="G404" s="117" t="s">
        <v>676</v>
      </c>
      <c r="H404" s="117" t="s">
        <v>676</v>
      </c>
      <c r="I404" s="117" t="s">
        <v>677</v>
      </c>
      <c r="J404" s="118">
        <v>-6.5614880353600098</v>
      </c>
      <c r="K404" s="118">
        <v>-78.646476146626995</v>
      </c>
      <c r="L404" s="117">
        <v>60601</v>
      </c>
      <c r="M404" s="117">
        <v>60401</v>
      </c>
    </row>
    <row r="405" spans="1:13" x14ac:dyDescent="0.25">
      <c r="A405" s="120">
        <v>404</v>
      </c>
      <c r="B405" s="120">
        <v>36</v>
      </c>
      <c r="C405" s="117" t="str">
        <f>_xlfn.XLOOKUP(B405,dimUniversidades!$A:$A,dimUniversidades!$B:$B,"(sin universidad)")</f>
        <v>Universidad Nacional de Cajamarca</v>
      </c>
      <c r="D405" s="117" t="s">
        <v>392</v>
      </c>
      <c r="E405" s="119" t="b">
        <v>0</v>
      </c>
      <c r="F405" s="117" t="s">
        <v>420</v>
      </c>
      <c r="G405" s="117" t="s">
        <v>1248</v>
      </c>
      <c r="H405" s="117" t="s">
        <v>1248</v>
      </c>
      <c r="I405" s="117" t="s">
        <v>1735</v>
      </c>
      <c r="J405" s="118">
        <v>-5.7084570000000001</v>
      </c>
      <c r="K405" s="118">
        <v>-78.807942199999999</v>
      </c>
      <c r="L405" s="117">
        <v>60801</v>
      </c>
      <c r="M405" s="117">
        <v>60801</v>
      </c>
    </row>
    <row r="406" spans="1:13" x14ac:dyDescent="0.25">
      <c r="A406" s="120">
        <v>405</v>
      </c>
      <c r="B406" s="120">
        <v>36</v>
      </c>
      <c r="C406" s="117" t="str">
        <f>_xlfn.XLOOKUP(B406,dimUniversidades!$A:$A,dimUniversidades!$B:$B,"(sin universidad)")</f>
        <v>Universidad Nacional de Cajamarca</v>
      </c>
      <c r="D406" s="117" t="s">
        <v>1383</v>
      </c>
      <c r="E406" s="119" t="b">
        <v>0</v>
      </c>
      <c r="F406" s="117" t="s">
        <v>420</v>
      </c>
      <c r="G406" s="117" t="s">
        <v>1248</v>
      </c>
      <c r="H406" s="117" t="s">
        <v>1248</v>
      </c>
      <c r="I406" s="117" t="s">
        <v>1734</v>
      </c>
      <c r="J406" s="118">
        <v>-5.7164058587177298</v>
      </c>
      <c r="K406" s="118">
        <v>-78.801889075393703</v>
      </c>
      <c r="L406" s="117">
        <v>60801</v>
      </c>
      <c r="M406" s="117">
        <v>60801</v>
      </c>
    </row>
    <row r="407" spans="1:13" x14ac:dyDescent="0.25">
      <c r="A407" s="120">
        <v>406</v>
      </c>
      <c r="B407" s="120">
        <v>36</v>
      </c>
      <c r="C407" s="117" t="str">
        <f>_xlfn.XLOOKUP(B407,dimUniversidades!$A:$A,dimUniversidades!$B:$B,"(sin universidad)")</f>
        <v>Universidad Nacional de Cajamarca</v>
      </c>
      <c r="D407" s="117" t="s">
        <v>1733</v>
      </c>
      <c r="E407" s="119" t="b">
        <v>0</v>
      </c>
      <c r="F407" s="117" t="s">
        <v>420</v>
      </c>
      <c r="G407" s="117" t="s">
        <v>1248</v>
      </c>
      <c r="H407" s="117" t="s">
        <v>1248</v>
      </c>
      <c r="I407" s="117" t="s">
        <v>1732</v>
      </c>
      <c r="J407" s="118">
        <v>-5.71642834566918</v>
      </c>
      <c r="K407" s="118">
        <v>-78.801935992551407</v>
      </c>
      <c r="L407" s="117">
        <v>60801</v>
      </c>
      <c r="M407" s="117">
        <v>60801</v>
      </c>
    </row>
    <row r="408" spans="1:13" x14ac:dyDescent="0.25">
      <c r="A408" s="120">
        <v>407</v>
      </c>
      <c r="B408" s="120">
        <v>37</v>
      </c>
      <c r="C408" s="117" t="str">
        <f>_xlfn.XLOOKUP(B408,dimUniversidades!$A:$A,dimUniversidades!$B:$B,"(sin universidad)")</f>
        <v>Universidad Nacional de la Amazonía Peruana</v>
      </c>
      <c r="D408" s="117" t="s">
        <v>324</v>
      </c>
      <c r="E408" s="119" t="b">
        <v>1</v>
      </c>
      <c r="F408" s="117" t="s">
        <v>1312</v>
      </c>
      <c r="G408" s="117" t="s">
        <v>1400</v>
      </c>
      <c r="H408" s="117" t="s">
        <v>1399</v>
      </c>
      <c r="I408" s="117" t="s">
        <v>1731</v>
      </c>
      <c r="J408" s="118">
        <v>-3.7646214803471398</v>
      </c>
      <c r="K408" s="118">
        <v>-73.270880663254104</v>
      </c>
      <c r="L408" s="117">
        <v>150113</v>
      </c>
      <c r="M408" s="117">
        <v>160113</v>
      </c>
    </row>
    <row r="409" spans="1:13" x14ac:dyDescent="0.25">
      <c r="A409" s="120">
        <v>408</v>
      </c>
      <c r="B409" s="120">
        <v>37</v>
      </c>
      <c r="C409" s="117" t="str">
        <f>_xlfn.XLOOKUP(B409,dimUniversidades!$A:$A,dimUniversidades!$B:$B,"(sin universidad)")</f>
        <v>Universidad Nacional de la Amazonía Peruana</v>
      </c>
      <c r="D409" s="117" t="s">
        <v>399</v>
      </c>
      <c r="E409" s="119" t="b">
        <v>0</v>
      </c>
      <c r="F409" s="117" t="s">
        <v>1312</v>
      </c>
      <c r="G409" s="117" t="s">
        <v>1400</v>
      </c>
      <c r="H409" s="117" t="s">
        <v>1470</v>
      </c>
      <c r="I409" s="117" t="s">
        <v>1730</v>
      </c>
      <c r="J409" s="118">
        <v>-3.7459666061000001</v>
      </c>
      <c r="K409" s="118">
        <v>-73.245686215999996</v>
      </c>
      <c r="L409" s="117">
        <v>150101</v>
      </c>
      <c r="M409" s="117">
        <v>160101</v>
      </c>
    </row>
    <row r="410" spans="1:13" x14ac:dyDescent="0.25">
      <c r="A410" s="120">
        <v>409</v>
      </c>
      <c r="B410" s="120">
        <v>37</v>
      </c>
      <c r="C410" s="117" t="str">
        <f>_xlfn.XLOOKUP(B410,dimUniversidades!$A:$A,dimUniversidades!$B:$B,"(sin universidad)")</f>
        <v>Universidad Nacional de la Amazonía Peruana</v>
      </c>
      <c r="D410" s="117" t="s">
        <v>735</v>
      </c>
      <c r="E410" s="119" t="b">
        <v>0</v>
      </c>
      <c r="F410" s="117" t="s">
        <v>1312</v>
      </c>
      <c r="G410" s="117" t="s">
        <v>1400</v>
      </c>
      <c r="H410" s="117" t="s">
        <v>1470</v>
      </c>
      <c r="I410" s="117" t="s">
        <v>1729</v>
      </c>
      <c r="J410" s="118">
        <v>-3.7414085512217201</v>
      </c>
      <c r="K410" s="118">
        <v>-73.245493096745903</v>
      </c>
      <c r="L410" s="117">
        <v>150101</v>
      </c>
      <c r="M410" s="117">
        <v>160101</v>
      </c>
    </row>
    <row r="411" spans="1:13" x14ac:dyDescent="0.25">
      <c r="A411" s="120">
        <v>410</v>
      </c>
      <c r="B411" s="120">
        <v>37</v>
      </c>
      <c r="C411" s="117" t="str">
        <f>_xlfn.XLOOKUP(B411,dimUniversidades!$A:$A,dimUniversidades!$B:$B,"(sin universidad)")</f>
        <v>Universidad Nacional de la Amazonía Peruana</v>
      </c>
      <c r="D411" s="117" t="s">
        <v>500</v>
      </c>
      <c r="E411" s="119" t="b">
        <v>0</v>
      </c>
      <c r="F411" s="117" t="s">
        <v>1312</v>
      </c>
      <c r="G411" s="117" t="s">
        <v>1400</v>
      </c>
      <c r="H411" s="117" t="s">
        <v>1399</v>
      </c>
      <c r="I411" s="117" t="s">
        <v>1728</v>
      </c>
      <c r="J411" s="118">
        <v>-3.7718839716064001</v>
      </c>
      <c r="K411" s="118">
        <v>-73.294811268292193</v>
      </c>
      <c r="L411" s="117">
        <v>150113</v>
      </c>
      <c r="M411" s="117">
        <v>160113</v>
      </c>
    </row>
    <row r="412" spans="1:13" x14ac:dyDescent="0.25">
      <c r="A412" s="120">
        <v>411</v>
      </c>
      <c r="B412" s="120">
        <v>37</v>
      </c>
      <c r="C412" s="117" t="str">
        <f>_xlfn.XLOOKUP(B412,dimUniversidades!$A:$A,dimUniversidades!$B:$B,"(sin universidad)")</f>
        <v>Universidad Nacional de la Amazonía Peruana</v>
      </c>
      <c r="D412" s="117" t="s">
        <v>1117</v>
      </c>
      <c r="E412" s="119" t="b">
        <v>0</v>
      </c>
      <c r="F412" s="117" t="s">
        <v>1312</v>
      </c>
      <c r="G412" s="117" t="s">
        <v>1400</v>
      </c>
      <c r="H412" s="117" t="s">
        <v>1470</v>
      </c>
      <c r="I412" s="117" t="s">
        <v>1727</v>
      </c>
      <c r="J412" s="118">
        <v>-3.74898038542015</v>
      </c>
      <c r="K412" s="118">
        <v>-73.249144054208998</v>
      </c>
      <c r="L412" s="117">
        <v>150101</v>
      </c>
      <c r="M412" s="117">
        <v>160101</v>
      </c>
    </row>
    <row r="413" spans="1:13" x14ac:dyDescent="0.25">
      <c r="A413" s="120">
        <v>412</v>
      </c>
      <c r="B413" s="120">
        <v>37</v>
      </c>
      <c r="C413" s="117" t="str">
        <f>_xlfn.XLOOKUP(B413,dimUniversidades!$A:$A,dimUniversidades!$B:$B,"(sin universidad)")</f>
        <v>Universidad Nacional de la Amazonía Peruana</v>
      </c>
      <c r="D413" s="117" t="s">
        <v>1232</v>
      </c>
      <c r="E413" s="119" t="b">
        <v>0</v>
      </c>
      <c r="F413" s="117" t="s">
        <v>1312</v>
      </c>
      <c r="G413" s="117" t="s">
        <v>1400</v>
      </c>
      <c r="H413" s="117" t="s">
        <v>1470</v>
      </c>
      <c r="I413" s="117" t="s">
        <v>1726</v>
      </c>
      <c r="J413" s="118">
        <v>-3.7496090618000002</v>
      </c>
      <c r="K413" s="118">
        <v>-73.247230568999996</v>
      </c>
      <c r="L413" s="117">
        <v>150101</v>
      </c>
      <c r="M413" s="117">
        <v>160101</v>
      </c>
    </row>
    <row r="414" spans="1:13" x14ac:dyDescent="0.25">
      <c r="A414" s="120">
        <v>413</v>
      </c>
      <c r="B414" s="120">
        <v>37</v>
      </c>
      <c r="C414" s="117" t="str">
        <f>_xlfn.XLOOKUP(B414,dimUniversidades!$A:$A,dimUniversidades!$B:$B,"(sin universidad)")</f>
        <v>Universidad Nacional de la Amazonía Peruana</v>
      </c>
      <c r="D414" s="117" t="s">
        <v>1230</v>
      </c>
      <c r="E414" s="119" t="b">
        <v>0</v>
      </c>
      <c r="F414" s="117" t="s">
        <v>1312</v>
      </c>
      <c r="G414" s="117" t="s">
        <v>1400</v>
      </c>
      <c r="H414" s="117" t="s">
        <v>1470</v>
      </c>
      <c r="I414" s="117" t="s">
        <v>1725</v>
      </c>
      <c r="J414" s="118">
        <v>-3.7538959675000001</v>
      </c>
      <c r="K414" s="118">
        <v>-73.252431095999995</v>
      </c>
      <c r="L414" s="117">
        <v>150101</v>
      </c>
      <c r="M414" s="117">
        <v>160101</v>
      </c>
    </row>
    <row r="415" spans="1:13" x14ac:dyDescent="0.25">
      <c r="A415" s="120">
        <v>414</v>
      </c>
      <c r="B415" s="120">
        <v>37</v>
      </c>
      <c r="C415" s="117" t="str">
        <f>_xlfn.XLOOKUP(B415,dimUniversidades!$A:$A,dimUniversidades!$B:$B,"(sin universidad)")</f>
        <v>Universidad Nacional de la Amazonía Peruana</v>
      </c>
      <c r="D415" s="117" t="s">
        <v>1227</v>
      </c>
      <c r="E415" s="119" t="b">
        <v>0</v>
      </c>
      <c r="F415" s="117" t="s">
        <v>1312</v>
      </c>
      <c r="G415" s="117" t="s">
        <v>1400</v>
      </c>
      <c r="H415" s="117" t="s">
        <v>1470</v>
      </c>
      <c r="I415" s="117" t="s">
        <v>1724</v>
      </c>
      <c r="J415" s="118">
        <v>-3.7527575000000102</v>
      </c>
      <c r="K415" s="118">
        <v>-73.270032144180306</v>
      </c>
      <c r="L415" s="117">
        <v>150101</v>
      </c>
      <c r="M415" s="117">
        <v>160101</v>
      </c>
    </row>
    <row r="416" spans="1:13" x14ac:dyDescent="0.25">
      <c r="A416" s="120">
        <v>415</v>
      </c>
      <c r="B416" s="120">
        <v>37</v>
      </c>
      <c r="C416" s="117" t="str">
        <f>_xlfn.XLOOKUP(B416,dimUniversidades!$A:$A,dimUniversidades!$B:$B,"(sin universidad)")</f>
        <v>Universidad Nacional de la Amazonía Peruana</v>
      </c>
      <c r="D416" s="117" t="s">
        <v>1419</v>
      </c>
      <c r="E416" s="119" t="b">
        <v>0</v>
      </c>
      <c r="F416" s="117" t="s">
        <v>1312</v>
      </c>
      <c r="G416" s="117" t="s">
        <v>1400</v>
      </c>
      <c r="H416" s="117" t="s">
        <v>1399</v>
      </c>
      <c r="I416" s="117" t="s">
        <v>1723</v>
      </c>
      <c r="J416" s="118">
        <v>-3.7635016334973899</v>
      </c>
      <c r="K416" s="118">
        <v>-73.267034586327895</v>
      </c>
      <c r="L416" s="117">
        <v>150113</v>
      </c>
      <c r="M416" s="117">
        <v>160113</v>
      </c>
    </row>
    <row r="417" spans="1:13" x14ac:dyDescent="0.25">
      <c r="A417" s="120">
        <v>416</v>
      </c>
      <c r="B417" s="120">
        <v>37</v>
      </c>
      <c r="C417" s="117" t="str">
        <f>_xlfn.XLOOKUP(B417,dimUniversidades!$A:$A,dimUniversidades!$B:$B,"(sin universidad)")</f>
        <v>Universidad Nacional de la Amazonía Peruana</v>
      </c>
      <c r="D417" s="117" t="s">
        <v>643</v>
      </c>
      <c r="E417" s="119" t="b">
        <v>0</v>
      </c>
      <c r="F417" s="117" t="s">
        <v>1312</v>
      </c>
      <c r="G417" s="117" t="s">
        <v>1400</v>
      </c>
      <c r="H417" s="117" t="s">
        <v>1722</v>
      </c>
      <c r="I417" s="117" t="s">
        <v>1721</v>
      </c>
      <c r="J417" s="118">
        <v>-3.7218924481163498</v>
      </c>
      <c r="K417" s="118">
        <v>-73.258681539836104</v>
      </c>
      <c r="L417" s="117">
        <v>150111</v>
      </c>
      <c r="M417" s="117">
        <v>160108</v>
      </c>
    </row>
    <row r="418" spans="1:13" x14ac:dyDescent="0.25">
      <c r="A418" s="120">
        <v>417</v>
      </c>
      <c r="B418" s="120">
        <v>37</v>
      </c>
      <c r="C418" s="117" t="str">
        <f>_xlfn.XLOOKUP(B418,dimUniversidades!$A:$A,dimUniversidades!$B:$B,"(sin universidad)")</f>
        <v>Universidad Nacional de la Amazonía Peruana</v>
      </c>
      <c r="D418" s="117" t="s">
        <v>1649</v>
      </c>
      <c r="E418" s="119" t="b">
        <v>0</v>
      </c>
      <c r="F418" s="117" t="s">
        <v>1312</v>
      </c>
      <c r="G418" s="117" t="s">
        <v>1400</v>
      </c>
      <c r="H418" s="117" t="s">
        <v>1399</v>
      </c>
      <c r="I418" s="117" t="s">
        <v>1720</v>
      </c>
      <c r="J418" s="118">
        <v>-3.7565785452420299</v>
      </c>
      <c r="K418" s="118">
        <v>-73.251150898862804</v>
      </c>
      <c r="L418" s="117">
        <v>150113</v>
      </c>
      <c r="M418" s="117">
        <v>160113</v>
      </c>
    </row>
    <row r="419" spans="1:13" x14ac:dyDescent="0.25">
      <c r="A419" s="120">
        <v>418</v>
      </c>
      <c r="B419" s="120">
        <v>37</v>
      </c>
      <c r="C419" s="117" t="str">
        <f>_xlfn.XLOOKUP(B419,dimUniversidades!$A:$A,dimUniversidades!$B:$B,"(sin universidad)")</f>
        <v>Universidad Nacional de la Amazonía Peruana</v>
      </c>
      <c r="D419" s="117" t="s">
        <v>1646</v>
      </c>
      <c r="E419" s="119" t="b">
        <v>0</v>
      </c>
      <c r="F419" s="117" t="s">
        <v>1312</v>
      </c>
      <c r="G419" s="117" t="s">
        <v>1400</v>
      </c>
      <c r="H419" s="117" t="s">
        <v>1470</v>
      </c>
      <c r="I419" s="117" t="s">
        <v>1719</v>
      </c>
      <c r="J419" s="118">
        <v>-3.7486377000000002</v>
      </c>
      <c r="K419" s="118">
        <v>-73.248513299999999</v>
      </c>
      <c r="L419" s="117">
        <v>150101</v>
      </c>
      <c r="M419" s="117">
        <v>160101</v>
      </c>
    </row>
    <row r="420" spans="1:13" x14ac:dyDescent="0.25">
      <c r="A420" s="120">
        <v>419</v>
      </c>
      <c r="B420" s="120">
        <v>37</v>
      </c>
      <c r="C420" s="117" t="str">
        <f>_xlfn.XLOOKUP(B420,dimUniversidades!$A:$A,dimUniversidades!$B:$B,"(sin universidad)")</f>
        <v>Universidad Nacional de la Amazonía Peruana</v>
      </c>
      <c r="D420" s="117" t="s">
        <v>1718</v>
      </c>
      <c r="E420" s="119" t="b">
        <v>0</v>
      </c>
      <c r="F420" s="117" t="s">
        <v>1312</v>
      </c>
      <c r="G420" s="117" t="s">
        <v>1400</v>
      </c>
      <c r="H420" s="117" t="s">
        <v>1470</v>
      </c>
      <c r="I420" s="117" t="s">
        <v>1717</v>
      </c>
      <c r="J420" s="118">
        <v>-3.7478685999999999</v>
      </c>
      <c r="K420" s="118">
        <v>-73.246541800000003</v>
      </c>
      <c r="L420" s="117">
        <v>150101</v>
      </c>
      <c r="M420" s="117">
        <v>160101</v>
      </c>
    </row>
    <row r="421" spans="1:13" x14ac:dyDescent="0.25">
      <c r="A421" s="120">
        <v>420</v>
      </c>
      <c r="B421" s="120">
        <v>37</v>
      </c>
      <c r="C421" s="117" t="str">
        <f>_xlfn.XLOOKUP(B421,dimUniversidades!$A:$A,dimUniversidades!$B:$B,"(sin universidad)")</f>
        <v>Universidad Nacional de la Amazonía Peruana</v>
      </c>
      <c r="D421" s="117" t="s">
        <v>1716</v>
      </c>
      <c r="E421" s="119" t="b">
        <v>0</v>
      </c>
      <c r="F421" s="117" t="s">
        <v>1312</v>
      </c>
      <c r="G421" s="117" t="s">
        <v>1400</v>
      </c>
      <c r="H421" s="117" t="s">
        <v>1470</v>
      </c>
      <c r="I421" s="117" t="s">
        <v>1715</v>
      </c>
      <c r="J421" s="118">
        <v>-3.7453853061514302</v>
      </c>
      <c r="K421" s="118">
        <v>-73.245677266372994</v>
      </c>
      <c r="L421" s="117">
        <v>150101</v>
      </c>
      <c r="M421" s="117">
        <v>160101</v>
      </c>
    </row>
    <row r="422" spans="1:13" x14ac:dyDescent="0.25">
      <c r="A422" s="120">
        <v>421</v>
      </c>
      <c r="B422" s="120">
        <v>37</v>
      </c>
      <c r="C422" s="117" t="str">
        <f>_xlfn.XLOOKUP(B422,dimUniversidades!$A:$A,dimUniversidades!$B:$B,"(sin universidad)")</f>
        <v>Universidad Nacional de la Amazonía Peruana</v>
      </c>
      <c r="D422" s="117" t="s">
        <v>579</v>
      </c>
      <c r="E422" s="119" t="b">
        <v>0</v>
      </c>
      <c r="F422" s="117" t="s">
        <v>1312</v>
      </c>
      <c r="G422" s="117" t="s">
        <v>1311</v>
      </c>
      <c r="H422" s="117" t="s">
        <v>1310</v>
      </c>
      <c r="I422" s="117" t="s">
        <v>1714</v>
      </c>
      <c r="J422" s="118">
        <v>-5.9007717</v>
      </c>
      <c r="K422" s="118">
        <v>-76.112904799999995</v>
      </c>
      <c r="L422" s="117">
        <v>150201</v>
      </c>
      <c r="M422" s="117">
        <v>160201</v>
      </c>
    </row>
    <row r="423" spans="1:13" x14ac:dyDescent="0.25">
      <c r="A423" s="120">
        <v>422</v>
      </c>
      <c r="B423" s="120">
        <v>37</v>
      </c>
      <c r="C423" s="117" t="str">
        <f>_xlfn.XLOOKUP(B423,dimUniversidades!$A:$A,dimUniversidades!$B:$B,"(sin universidad)")</f>
        <v>Universidad Nacional de la Amazonía Peruana</v>
      </c>
      <c r="D423" s="117" t="s">
        <v>1165</v>
      </c>
      <c r="E423" s="119" t="b">
        <v>0</v>
      </c>
      <c r="F423" s="117" t="s">
        <v>1312</v>
      </c>
      <c r="G423" s="117" t="s">
        <v>1311</v>
      </c>
      <c r="H423" s="117" t="s">
        <v>1310</v>
      </c>
      <c r="I423" s="117" t="s">
        <v>1713</v>
      </c>
      <c r="J423" s="118">
        <v>-5.8904918000000004</v>
      </c>
      <c r="K423" s="118">
        <v>-76.109385399999994</v>
      </c>
      <c r="L423" s="117">
        <v>150201</v>
      </c>
      <c r="M423" s="117">
        <v>160201</v>
      </c>
    </row>
    <row r="424" spans="1:13" x14ac:dyDescent="0.25">
      <c r="A424" s="120">
        <v>423</v>
      </c>
      <c r="B424" s="120">
        <v>37</v>
      </c>
      <c r="C424" s="117" t="str">
        <f>_xlfn.XLOOKUP(B424,dimUniversidades!$A:$A,dimUniversidades!$B:$B,"(sin universidad)")</f>
        <v>Universidad Nacional de la Amazonía Peruana</v>
      </c>
      <c r="D424" s="117" t="s">
        <v>1160</v>
      </c>
      <c r="E424" s="119" t="b">
        <v>0</v>
      </c>
      <c r="F424" s="117" t="s">
        <v>1312</v>
      </c>
      <c r="G424" s="117" t="s">
        <v>1712</v>
      </c>
      <c r="H424" s="117" t="s">
        <v>1712</v>
      </c>
      <c r="I424" s="117" t="s">
        <v>1711</v>
      </c>
      <c r="J424" s="118">
        <v>-5.0615682645486899</v>
      </c>
      <c r="K424" s="118">
        <v>-73.850899561376906</v>
      </c>
      <c r="L424" s="117">
        <v>150401</v>
      </c>
      <c r="M424" s="117">
        <v>160501</v>
      </c>
    </row>
    <row r="425" spans="1:13" x14ac:dyDescent="0.25">
      <c r="A425" s="120">
        <v>424</v>
      </c>
      <c r="B425" s="120">
        <v>37</v>
      </c>
      <c r="C425" s="117" t="str">
        <f>_xlfn.XLOOKUP(B425,dimUniversidades!$A:$A,dimUniversidades!$B:$B,"(sin universidad)")</f>
        <v>Universidad Nacional de la Amazonía Peruana</v>
      </c>
      <c r="D425" s="117" t="s">
        <v>599</v>
      </c>
      <c r="E425" s="119" t="b">
        <v>0</v>
      </c>
      <c r="F425" s="117" t="s">
        <v>1312</v>
      </c>
      <c r="G425" s="117" t="s">
        <v>1152</v>
      </c>
      <c r="H425" s="117" t="s">
        <v>1710</v>
      </c>
      <c r="I425" s="117" t="s">
        <v>1709</v>
      </c>
      <c r="J425" s="118">
        <v>-7.3439947902071196</v>
      </c>
      <c r="K425" s="118">
        <v>-75.005853522684504</v>
      </c>
      <c r="L425" s="117">
        <v>150501</v>
      </c>
      <c r="M425" s="117">
        <v>160601</v>
      </c>
    </row>
    <row r="426" spans="1:13" x14ac:dyDescent="0.25">
      <c r="A426" s="120">
        <v>425</v>
      </c>
      <c r="B426" s="120">
        <v>37</v>
      </c>
      <c r="C426" s="117" t="str">
        <f>_xlfn.XLOOKUP(B426,dimUniversidades!$A:$A,dimUniversidades!$B:$B,"(sin universidad)")</f>
        <v>Universidad Nacional de la Amazonía Peruana</v>
      </c>
      <c r="D426" s="117" t="s">
        <v>678</v>
      </c>
      <c r="E426" s="119" t="b">
        <v>0</v>
      </c>
      <c r="F426" s="117" t="s">
        <v>1312</v>
      </c>
      <c r="G426" s="117" t="s">
        <v>1706</v>
      </c>
      <c r="H426" s="117" t="s">
        <v>487</v>
      </c>
      <c r="I426" s="117" t="s">
        <v>1708</v>
      </c>
      <c r="J426" s="118">
        <v>-4.8321889000000002</v>
      </c>
      <c r="K426" s="118">
        <v>-76.697867000000002</v>
      </c>
      <c r="L426" s="117">
        <v>150701</v>
      </c>
      <c r="M426" s="117">
        <v>160701</v>
      </c>
    </row>
    <row r="427" spans="1:13" x14ac:dyDescent="0.25">
      <c r="A427" s="120">
        <v>426</v>
      </c>
      <c r="B427" s="120">
        <v>37</v>
      </c>
      <c r="C427" s="117" t="str">
        <f>_xlfn.XLOOKUP(B427,dimUniversidades!$A:$A,dimUniversidades!$B:$B,"(sin universidad)")</f>
        <v>Universidad Nacional de la Amazonía Peruana</v>
      </c>
      <c r="D427" s="117" t="s">
        <v>1707</v>
      </c>
      <c r="E427" s="119" t="b">
        <v>0</v>
      </c>
      <c r="F427" s="117" t="s">
        <v>1312</v>
      </c>
      <c r="G427" s="117" t="s">
        <v>1706</v>
      </c>
      <c r="H427" s="117" t="s">
        <v>487</v>
      </c>
      <c r="I427" s="117" t="s">
        <v>1705</v>
      </c>
      <c r="J427" s="118">
        <v>-4.8321889000000002</v>
      </c>
      <c r="K427" s="118">
        <v>-76.697867000000002</v>
      </c>
      <c r="L427" s="117">
        <v>150701</v>
      </c>
      <c r="M427" s="117">
        <v>160701</v>
      </c>
    </row>
    <row r="428" spans="1:13" x14ac:dyDescent="0.25">
      <c r="A428" s="120">
        <v>427</v>
      </c>
      <c r="B428" s="120">
        <v>37</v>
      </c>
      <c r="C428" s="117" t="str">
        <f>_xlfn.XLOOKUP(B428,dimUniversidades!$A:$A,dimUniversidades!$B:$B,"(sin universidad)")</f>
        <v>Universidad Nacional de la Amazonía Peruana</v>
      </c>
      <c r="D428" s="117" t="s">
        <v>392</v>
      </c>
      <c r="E428" s="119" t="b">
        <v>0</v>
      </c>
      <c r="F428" s="117" t="s">
        <v>1312</v>
      </c>
      <c r="G428" s="117" t="s">
        <v>1704</v>
      </c>
      <c r="H428" s="117" t="s">
        <v>1703</v>
      </c>
      <c r="I428" s="117" t="s">
        <v>1702</v>
      </c>
      <c r="J428" s="118">
        <v>-3.9091730674348399</v>
      </c>
      <c r="K428" s="118">
        <v>-70.517197728836095</v>
      </c>
      <c r="L428" s="117">
        <v>150601</v>
      </c>
      <c r="M428" s="117">
        <v>160401</v>
      </c>
    </row>
    <row r="429" spans="1:13" x14ac:dyDescent="0.25">
      <c r="A429" s="120">
        <v>428</v>
      </c>
      <c r="B429" s="120">
        <v>37</v>
      </c>
      <c r="C429" s="117" t="str">
        <f>_xlfn.XLOOKUP(B429,dimUniversidades!$A:$A,dimUniversidades!$B:$B,"(sin universidad)")</f>
        <v>Universidad Nacional de la Amazonía Peruana</v>
      </c>
      <c r="D429" s="117" t="s">
        <v>1153</v>
      </c>
      <c r="E429" s="119" t="b">
        <v>0</v>
      </c>
      <c r="F429" s="117" t="s">
        <v>1312</v>
      </c>
      <c r="G429" s="117" t="s">
        <v>1312</v>
      </c>
      <c r="H429" s="117" t="s">
        <v>1701</v>
      </c>
      <c r="I429" s="117" t="s">
        <v>1700</v>
      </c>
      <c r="J429" s="118">
        <v>-4.5050176000000004</v>
      </c>
      <c r="K429" s="118">
        <v>-73.577007199999997</v>
      </c>
      <c r="L429" s="117">
        <v>150301</v>
      </c>
      <c r="M429" s="117">
        <v>160301</v>
      </c>
    </row>
    <row r="430" spans="1:13" x14ac:dyDescent="0.25">
      <c r="A430" s="120">
        <v>429</v>
      </c>
      <c r="B430" s="120">
        <v>38</v>
      </c>
      <c r="C430" s="117" t="str">
        <f>_xlfn.XLOOKUP(B430,dimUniversidades!$A:$A,dimUniversidades!$B:$B,"(sin universidad)")</f>
        <v>Universidad Privada Norbert Wiener S.A.</v>
      </c>
      <c r="D430" s="117" t="s">
        <v>324</v>
      </c>
      <c r="E430" s="119" t="b">
        <v>1</v>
      </c>
      <c r="F430" s="117" t="s">
        <v>385</v>
      </c>
      <c r="G430" s="117" t="s">
        <v>385</v>
      </c>
      <c r="H430" s="117" t="s">
        <v>385</v>
      </c>
      <c r="I430" s="117" t="s">
        <v>1699</v>
      </c>
      <c r="J430" s="118">
        <v>-12.069603325030799</v>
      </c>
      <c r="K430" s="118">
        <v>-77.036980355750302</v>
      </c>
      <c r="L430" s="117">
        <v>140101</v>
      </c>
      <c r="M430" s="117">
        <v>150101</v>
      </c>
    </row>
    <row r="431" spans="1:13" x14ac:dyDescent="0.25">
      <c r="A431" s="120">
        <v>430</v>
      </c>
      <c r="B431" s="120">
        <v>38</v>
      </c>
      <c r="C431" s="117" t="str">
        <f>_xlfn.XLOOKUP(B431,dimUniversidades!$A:$A,dimUniversidades!$B:$B,"(sin universidad)")</f>
        <v>Universidad Privada Norbert Wiener S.A.</v>
      </c>
      <c r="D431" s="117" t="s">
        <v>399</v>
      </c>
      <c r="E431" s="119" t="b">
        <v>0</v>
      </c>
      <c r="F431" s="117" t="s">
        <v>385</v>
      </c>
      <c r="G431" s="117" t="s">
        <v>385</v>
      </c>
      <c r="H431" s="117" t="s">
        <v>385</v>
      </c>
      <c r="I431" s="117" t="s">
        <v>1698</v>
      </c>
      <c r="J431" s="118">
        <v>-12.068790512652001</v>
      </c>
      <c r="K431" s="118">
        <v>-77.036980799999995</v>
      </c>
      <c r="L431" s="117">
        <v>140101</v>
      </c>
      <c r="M431" s="117">
        <v>150101</v>
      </c>
    </row>
    <row r="432" spans="1:13" x14ac:dyDescent="0.25">
      <c r="A432" s="120">
        <v>431</v>
      </c>
      <c r="B432" s="120">
        <v>38</v>
      </c>
      <c r="C432" s="117" t="str">
        <f>_xlfn.XLOOKUP(B432,dimUniversidades!$A:$A,dimUniversidades!$B:$B,"(sin universidad)")</f>
        <v>Universidad Privada Norbert Wiener S.A.</v>
      </c>
      <c r="D432" s="117" t="s">
        <v>735</v>
      </c>
      <c r="E432" s="119" t="b">
        <v>0</v>
      </c>
      <c r="F432" s="117" t="s">
        <v>385</v>
      </c>
      <c r="G432" s="117" t="s">
        <v>385</v>
      </c>
      <c r="H432" s="117" t="s">
        <v>1236</v>
      </c>
      <c r="I432" s="117" t="s">
        <v>1697</v>
      </c>
      <c r="J432" s="118">
        <v>-12.089720477450401</v>
      </c>
      <c r="K432" s="118">
        <v>-77.032508715344306</v>
      </c>
      <c r="L432" s="117">
        <v>140111</v>
      </c>
      <c r="M432" s="117">
        <v>150116</v>
      </c>
    </row>
    <row r="433" spans="1:13" x14ac:dyDescent="0.25">
      <c r="A433" s="120">
        <v>432</v>
      </c>
      <c r="B433" s="120">
        <v>38</v>
      </c>
      <c r="C433" s="117" t="str">
        <f>_xlfn.XLOOKUP(B433,dimUniversidades!$A:$A,dimUniversidades!$B:$B,"(sin universidad)")</f>
        <v>Universidad Privada Norbert Wiener S.A.</v>
      </c>
      <c r="D433" s="117" t="s">
        <v>500</v>
      </c>
      <c r="E433" s="119" t="b">
        <v>0</v>
      </c>
      <c r="F433" s="117" t="s">
        <v>385</v>
      </c>
      <c r="G433" s="117" t="s">
        <v>385</v>
      </c>
      <c r="H433" s="117" t="s">
        <v>385</v>
      </c>
      <c r="I433" s="117" t="s">
        <v>1696</v>
      </c>
      <c r="J433" s="118">
        <v>-11.932851400000001</v>
      </c>
      <c r="K433" s="118">
        <v>-77.057024100000007</v>
      </c>
      <c r="L433" s="117">
        <v>140101</v>
      </c>
      <c r="M433" s="117">
        <v>150101</v>
      </c>
    </row>
    <row r="434" spans="1:13" x14ac:dyDescent="0.25">
      <c r="A434" s="120">
        <v>433</v>
      </c>
      <c r="B434" s="120">
        <v>38</v>
      </c>
      <c r="C434" s="117" t="str">
        <f>_xlfn.XLOOKUP(B434,dimUniversidades!$A:$A,dimUniversidades!$B:$B,"(sin universidad)")</f>
        <v>Universidad Privada Norbert Wiener S.A.</v>
      </c>
      <c r="D434" s="117" t="s">
        <v>1117</v>
      </c>
      <c r="E434" s="119" t="b">
        <v>0</v>
      </c>
      <c r="F434" s="117" t="s">
        <v>385</v>
      </c>
      <c r="G434" s="117" t="s">
        <v>385</v>
      </c>
      <c r="H434" s="117" t="s">
        <v>1236</v>
      </c>
      <c r="I434" s="117" t="s">
        <v>1695</v>
      </c>
      <c r="J434" s="118">
        <v>-12.0803473</v>
      </c>
      <c r="K434" s="118">
        <v>-77.035869300000002</v>
      </c>
      <c r="L434" s="117">
        <v>140111</v>
      </c>
      <c r="M434" s="117">
        <v>150116</v>
      </c>
    </row>
    <row r="435" spans="1:13" x14ac:dyDescent="0.25">
      <c r="A435" s="120">
        <v>434</v>
      </c>
      <c r="B435" s="120">
        <v>38</v>
      </c>
      <c r="C435" s="117" t="str">
        <f>_xlfn.XLOOKUP(B435,dimUniversidades!$A:$A,dimUniversidades!$B:$B,"(sin universidad)")</f>
        <v>Universidad Privada Norbert Wiener S.A.</v>
      </c>
      <c r="D435" s="117" t="s">
        <v>1232</v>
      </c>
      <c r="E435" s="119" t="b">
        <v>0</v>
      </c>
      <c r="F435" s="117" t="s">
        <v>385</v>
      </c>
      <c r="G435" s="117" t="s">
        <v>385</v>
      </c>
      <c r="H435" s="117" t="s">
        <v>1121</v>
      </c>
      <c r="I435" s="117" t="s">
        <v>1694</v>
      </c>
      <c r="J435" s="118">
        <v>-11.9960051</v>
      </c>
      <c r="K435" s="118">
        <v>-77.060437699999994</v>
      </c>
      <c r="L435" s="117">
        <v>140134</v>
      </c>
      <c r="M435" s="117">
        <v>150112</v>
      </c>
    </row>
    <row r="436" spans="1:13" x14ac:dyDescent="0.25">
      <c r="A436" s="120">
        <v>435</v>
      </c>
      <c r="B436" s="120">
        <v>39</v>
      </c>
      <c r="C436" s="117" t="str">
        <f>_xlfn.XLOOKUP(B436,dimUniversidades!$A:$A,dimUniversidades!$B:$B,"(sin universidad)")</f>
        <v>Universidad Nacional Amazónica de Madre de Dios</v>
      </c>
      <c r="D436" s="117" t="s">
        <v>324</v>
      </c>
      <c r="E436" s="119" t="b">
        <v>1</v>
      </c>
      <c r="F436" s="117" t="s">
        <v>597</v>
      </c>
      <c r="G436" s="117" t="s">
        <v>596</v>
      </c>
      <c r="H436" s="117" t="s">
        <v>596</v>
      </c>
      <c r="I436" s="117" t="s">
        <v>1693</v>
      </c>
      <c r="J436" s="118">
        <v>-12.5885658</v>
      </c>
      <c r="K436" s="118">
        <v>-69.209527399999999</v>
      </c>
      <c r="L436" s="117">
        <v>160101</v>
      </c>
      <c r="M436" s="117">
        <v>170101</v>
      </c>
    </row>
    <row r="437" spans="1:13" x14ac:dyDescent="0.25">
      <c r="A437" s="120">
        <v>436</v>
      </c>
      <c r="B437" s="120">
        <v>39</v>
      </c>
      <c r="C437" s="117" t="str">
        <f>_xlfn.XLOOKUP(B437,dimUniversidades!$A:$A,dimUniversidades!$B:$B,"(sin universidad)")</f>
        <v>Universidad Nacional Amazónica de Madre de Dios</v>
      </c>
      <c r="D437" s="117" t="s">
        <v>399</v>
      </c>
      <c r="E437" s="119" t="b">
        <v>0</v>
      </c>
      <c r="F437" s="117" t="s">
        <v>597</v>
      </c>
      <c r="G437" s="117" t="s">
        <v>596</v>
      </c>
      <c r="H437" s="117" t="s">
        <v>1692</v>
      </c>
      <c r="I437" s="117" t="s">
        <v>1691</v>
      </c>
      <c r="J437" s="118">
        <v>-12.5886931559719</v>
      </c>
      <c r="K437" s="118">
        <v>-69.209521998571702</v>
      </c>
      <c r="L437" s="117">
        <v>160103</v>
      </c>
      <c r="M437" s="117">
        <v>170103</v>
      </c>
    </row>
    <row r="438" spans="1:13" x14ac:dyDescent="0.25">
      <c r="A438" s="120">
        <v>437</v>
      </c>
      <c r="B438" s="120">
        <v>40</v>
      </c>
      <c r="C438" s="117" t="str">
        <f>_xlfn.XLOOKUP(B438,dimUniversidades!$A:$A,dimUniversidades!$B:$B,"(sin universidad)")</f>
        <v>Universidad Nacional de Huancavelica</v>
      </c>
      <c r="D438" s="117" t="s">
        <v>324</v>
      </c>
      <c r="E438" s="119" t="b">
        <v>1</v>
      </c>
      <c r="F438" s="117" t="s">
        <v>564</v>
      </c>
      <c r="G438" s="117" t="s">
        <v>564</v>
      </c>
      <c r="H438" s="117" t="s">
        <v>564</v>
      </c>
      <c r="I438" s="117" t="s">
        <v>1690</v>
      </c>
      <c r="J438" s="118">
        <v>-12.778136699999999</v>
      </c>
      <c r="K438" s="118">
        <v>-74.961439200000001</v>
      </c>
      <c r="L438" s="117">
        <v>80101</v>
      </c>
      <c r="M438" s="117">
        <v>90101</v>
      </c>
    </row>
    <row r="439" spans="1:13" x14ac:dyDescent="0.25">
      <c r="A439" s="120">
        <v>438</v>
      </c>
      <c r="B439" s="120">
        <v>40</v>
      </c>
      <c r="C439" s="117" t="str">
        <f>_xlfn.XLOOKUP(B439,dimUniversidades!$A:$A,dimUniversidades!$B:$B,"(sin universidad)")</f>
        <v>Universidad Nacional de Huancavelica</v>
      </c>
      <c r="D439" s="117" t="s">
        <v>579</v>
      </c>
      <c r="E439" s="119" t="b">
        <v>0</v>
      </c>
      <c r="F439" s="117" t="s">
        <v>564</v>
      </c>
      <c r="G439" s="117" t="s">
        <v>465</v>
      </c>
      <c r="H439" s="117" t="s">
        <v>465</v>
      </c>
      <c r="I439" s="117" t="s">
        <v>1689</v>
      </c>
      <c r="J439" s="118">
        <v>-12.8422189630292</v>
      </c>
      <c r="K439" s="118">
        <v>-74.563203963121097</v>
      </c>
      <c r="L439" s="117">
        <v>80201</v>
      </c>
      <c r="M439" s="117">
        <v>90201</v>
      </c>
    </row>
    <row r="440" spans="1:13" x14ac:dyDescent="0.25">
      <c r="A440" s="120">
        <v>439</v>
      </c>
      <c r="B440" s="120">
        <v>40</v>
      </c>
      <c r="C440" s="117" t="str">
        <f>_xlfn.XLOOKUP(B440,dimUniversidades!$A:$A,dimUniversidades!$B:$B,"(sin universidad)")</f>
        <v>Universidad Nacional de Huancavelica</v>
      </c>
      <c r="D440" s="117" t="s">
        <v>1160</v>
      </c>
      <c r="E440" s="119" t="b">
        <v>0</v>
      </c>
      <c r="F440" s="117" t="s">
        <v>564</v>
      </c>
      <c r="G440" s="117" t="s">
        <v>733</v>
      </c>
      <c r="H440" s="117" t="s">
        <v>1688</v>
      </c>
      <c r="I440" s="117" t="s">
        <v>1687</v>
      </c>
      <c r="J440" s="118">
        <v>-12.395559507271599</v>
      </c>
      <c r="K440" s="118">
        <v>-74.8724575185242</v>
      </c>
      <c r="L440" s="117">
        <v>80501</v>
      </c>
      <c r="M440" s="117">
        <v>90701</v>
      </c>
    </row>
    <row r="441" spans="1:13" x14ac:dyDescent="0.25">
      <c r="A441" s="120">
        <v>440</v>
      </c>
      <c r="B441" s="120">
        <v>40</v>
      </c>
      <c r="C441" s="117" t="str">
        <f>_xlfn.XLOOKUP(B441,dimUniversidades!$A:$A,dimUniversidades!$B:$B,"(sin universidad)")</f>
        <v>Universidad Nacional de Huancavelica</v>
      </c>
      <c r="D441" s="117" t="s">
        <v>1480</v>
      </c>
      <c r="E441" s="119" t="b">
        <v>0</v>
      </c>
      <c r="F441" s="117" t="s">
        <v>564</v>
      </c>
      <c r="G441" s="117" t="s">
        <v>733</v>
      </c>
      <c r="H441" s="117" t="s">
        <v>1686</v>
      </c>
      <c r="I441" s="117" t="s">
        <v>1685</v>
      </c>
      <c r="J441" s="118">
        <v>-12.389291911805101</v>
      </c>
      <c r="K441" s="118">
        <v>-74.859073892065496</v>
      </c>
      <c r="L441" s="117">
        <v>80509</v>
      </c>
      <c r="M441" s="117">
        <v>90706</v>
      </c>
    </row>
    <row r="442" spans="1:13" x14ac:dyDescent="0.25">
      <c r="A442" s="120">
        <v>441</v>
      </c>
      <c r="B442" s="120">
        <v>40</v>
      </c>
      <c r="C442" s="117" t="str">
        <f>_xlfn.XLOOKUP(B442,dimUniversidades!$A:$A,dimUniversidades!$B:$B,"(sin universidad)")</f>
        <v>Universidad Nacional de Huancavelica</v>
      </c>
      <c r="D442" s="117" t="s">
        <v>599</v>
      </c>
      <c r="E442" s="119" t="b">
        <v>0</v>
      </c>
      <c r="F442" s="117" t="s">
        <v>564</v>
      </c>
      <c r="G442" s="117" t="s">
        <v>563</v>
      </c>
      <c r="H442" s="117" t="s">
        <v>562</v>
      </c>
      <c r="I442" s="117" t="s">
        <v>1684</v>
      </c>
      <c r="J442" s="118">
        <v>-12.9882592</v>
      </c>
      <c r="K442" s="118">
        <v>-74.719747900000002</v>
      </c>
      <c r="L442" s="117">
        <v>80301</v>
      </c>
      <c r="M442" s="117">
        <v>90301</v>
      </c>
    </row>
    <row r="443" spans="1:13" x14ac:dyDescent="0.25">
      <c r="A443" s="120">
        <v>442</v>
      </c>
      <c r="B443" s="120">
        <v>41</v>
      </c>
      <c r="C443" s="117" t="str">
        <f>_xlfn.XLOOKUP(B443,dimUniversidades!$A:$A,dimUniversidades!$B:$B,"(sin universidad)")</f>
        <v>Universidad Nacional Ciro Alegría</v>
      </c>
      <c r="D443" s="117" t="s">
        <v>324</v>
      </c>
      <c r="E443" s="119" t="b">
        <v>1</v>
      </c>
      <c r="F443" s="117" t="s">
        <v>397</v>
      </c>
      <c r="G443" s="117" t="s">
        <v>1680</v>
      </c>
      <c r="H443" s="117" t="s">
        <v>572</v>
      </c>
      <c r="I443" s="117" t="s">
        <v>1683</v>
      </c>
      <c r="J443" s="118">
        <v>-7.8125129938000004</v>
      </c>
      <c r="K443" s="118">
        <v>-78.045370788</v>
      </c>
      <c r="L443" s="117">
        <v>120301</v>
      </c>
      <c r="M443" s="117">
        <v>130901</v>
      </c>
    </row>
    <row r="444" spans="1:13" x14ac:dyDescent="0.25">
      <c r="A444" s="120">
        <v>443</v>
      </c>
      <c r="B444" s="120">
        <v>41</v>
      </c>
      <c r="C444" s="117" t="str">
        <f>_xlfn.XLOOKUP(B444,dimUniversidades!$A:$A,dimUniversidades!$B:$B,"(sin universidad)")</f>
        <v>Universidad Nacional Ciro Alegría</v>
      </c>
      <c r="D444" s="117" t="s">
        <v>399</v>
      </c>
      <c r="E444" s="119" t="b">
        <v>0</v>
      </c>
      <c r="F444" s="117" t="s">
        <v>397</v>
      </c>
      <c r="G444" s="117" t="s">
        <v>1680</v>
      </c>
      <c r="H444" s="117" t="s">
        <v>572</v>
      </c>
      <c r="I444" s="117" t="s">
        <v>573</v>
      </c>
      <c r="J444" s="118">
        <v>-7.8164610000000003</v>
      </c>
      <c r="K444" s="118">
        <v>-78.045204799999993</v>
      </c>
      <c r="L444" s="117">
        <v>120301</v>
      </c>
      <c r="M444" s="117">
        <v>130901</v>
      </c>
    </row>
    <row r="445" spans="1:13" x14ac:dyDescent="0.25">
      <c r="A445" s="120">
        <v>444</v>
      </c>
      <c r="B445" s="120">
        <v>41</v>
      </c>
      <c r="C445" s="117" t="str">
        <f>_xlfn.XLOOKUP(B445,dimUniversidades!$A:$A,dimUniversidades!$B:$B,"(sin universidad)")</f>
        <v>Universidad Nacional Ciro Alegría</v>
      </c>
      <c r="D445" s="117" t="s">
        <v>735</v>
      </c>
      <c r="E445" s="119" t="b">
        <v>0</v>
      </c>
      <c r="F445" s="117" t="s">
        <v>397</v>
      </c>
      <c r="G445" s="117" t="s">
        <v>1680</v>
      </c>
      <c r="H445" s="117" t="s">
        <v>572</v>
      </c>
      <c r="I445" s="117" t="s">
        <v>1682</v>
      </c>
      <c r="J445" s="118">
        <v>-7.8164610000000003</v>
      </c>
      <c r="K445" s="118">
        <v>-78.045204799999993</v>
      </c>
      <c r="L445" s="117">
        <v>120301</v>
      </c>
      <c r="M445" s="117">
        <v>130901</v>
      </c>
    </row>
    <row r="446" spans="1:13" x14ac:dyDescent="0.25">
      <c r="A446" s="120">
        <v>445</v>
      </c>
      <c r="B446" s="120">
        <v>41</v>
      </c>
      <c r="C446" s="117" t="str">
        <f>_xlfn.XLOOKUP(B446,dimUniversidades!$A:$A,dimUniversidades!$B:$B,"(sin universidad)")</f>
        <v>Universidad Nacional Ciro Alegría</v>
      </c>
      <c r="D446" s="117" t="s">
        <v>500</v>
      </c>
      <c r="E446" s="119" t="b">
        <v>0</v>
      </c>
      <c r="F446" s="117" t="s">
        <v>397</v>
      </c>
      <c r="G446" s="117" t="s">
        <v>1680</v>
      </c>
      <c r="H446" s="117" t="s">
        <v>572</v>
      </c>
      <c r="I446" s="117" t="s">
        <v>1681</v>
      </c>
      <c r="J446" s="118">
        <v>-7.8164610000000003</v>
      </c>
      <c r="K446" s="118">
        <v>-78.045204799999993</v>
      </c>
      <c r="L446" s="117">
        <v>120301</v>
      </c>
      <c r="M446" s="117">
        <v>130901</v>
      </c>
    </row>
    <row r="447" spans="1:13" x14ac:dyDescent="0.25">
      <c r="A447" s="120">
        <v>446</v>
      </c>
      <c r="B447" s="120">
        <v>41</v>
      </c>
      <c r="C447" s="117" t="str">
        <f>_xlfn.XLOOKUP(B447,dimUniversidades!$A:$A,dimUniversidades!$B:$B,"(sin universidad)")</f>
        <v>Universidad Nacional Ciro Alegría</v>
      </c>
      <c r="D447" s="117" t="s">
        <v>1117</v>
      </c>
      <c r="E447" s="119" t="b">
        <v>0</v>
      </c>
      <c r="F447" s="117" t="s">
        <v>397</v>
      </c>
      <c r="G447" s="117" t="s">
        <v>1680</v>
      </c>
      <c r="H447" s="117" t="s">
        <v>572</v>
      </c>
      <c r="I447" s="117" t="s">
        <v>1679</v>
      </c>
      <c r="J447" s="118">
        <v>-7.8164610000000003</v>
      </c>
      <c r="K447" s="118">
        <v>-78.045204799999993</v>
      </c>
      <c r="L447" s="117">
        <v>120301</v>
      </c>
      <c r="M447" s="117">
        <v>130901</v>
      </c>
    </row>
    <row r="448" spans="1:13" x14ac:dyDescent="0.25">
      <c r="A448" s="120">
        <v>447</v>
      </c>
      <c r="B448" s="120">
        <v>42</v>
      </c>
      <c r="C448" s="117" t="str">
        <f>_xlfn.XLOOKUP(B448,dimUniversidades!$A:$A,dimUniversidades!$B:$B,"(sin universidad)")</f>
        <v>Universidad de Ciencias y Artes de América Latina S.A.C.</v>
      </c>
      <c r="D448" s="117" t="s">
        <v>324</v>
      </c>
      <c r="E448" s="119" t="b">
        <v>1</v>
      </c>
      <c r="F448" s="117" t="s">
        <v>385</v>
      </c>
      <c r="G448" s="117" t="s">
        <v>385</v>
      </c>
      <c r="H448" s="117" t="s">
        <v>428</v>
      </c>
      <c r="I448" s="117" t="s">
        <v>1678</v>
      </c>
      <c r="J448" s="118">
        <v>-12.0857224</v>
      </c>
      <c r="K448" s="118">
        <v>-76.908668800000001</v>
      </c>
      <c r="L448" s="117">
        <v>140110</v>
      </c>
      <c r="M448" s="117">
        <v>150114</v>
      </c>
    </row>
    <row r="449" spans="1:13" x14ac:dyDescent="0.25">
      <c r="A449" s="120">
        <v>448</v>
      </c>
      <c r="B449" s="120">
        <v>43</v>
      </c>
      <c r="C449" s="117" t="str">
        <f>_xlfn.XLOOKUP(B449,dimUniversidades!$A:$A,dimUniversidades!$B:$B,"(sin universidad)")</f>
        <v>Universidad Nacional Agraria La Molina</v>
      </c>
      <c r="D449" s="117" t="s">
        <v>324</v>
      </c>
      <c r="E449" s="119" t="b">
        <v>1</v>
      </c>
      <c r="F449" s="117" t="s">
        <v>385</v>
      </c>
      <c r="G449" s="117" t="s">
        <v>385</v>
      </c>
      <c r="H449" s="117" t="s">
        <v>428</v>
      </c>
      <c r="I449" s="117" t="s">
        <v>1677</v>
      </c>
      <c r="J449" s="118">
        <v>-12.078428817173901</v>
      </c>
      <c r="K449" s="118">
        <v>-76.946594564344394</v>
      </c>
      <c r="L449" s="117">
        <v>140110</v>
      </c>
      <c r="M449" s="117">
        <v>150114</v>
      </c>
    </row>
    <row r="450" spans="1:13" x14ac:dyDescent="0.25">
      <c r="A450" s="120">
        <v>449</v>
      </c>
      <c r="B450" s="120">
        <v>44</v>
      </c>
      <c r="C450" s="117" t="str">
        <f>_xlfn.XLOOKUP(B450,dimUniversidades!$A:$A,dimUniversidades!$B:$B,"(sin universidad)")</f>
        <v>Universidad Nacional de Barranca</v>
      </c>
      <c r="D450" s="117" t="s">
        <v>324</v>
      </c>
      <c r="E450" s="119" t="b">
        <v>1</v>
      </c>
      <c r="F450" s="117" t="s">
        <v>385</v>
      </c>
      <c r="G450" s="117" t="s">
        <v>487</v>
      </c>
      <c r="H450" s="117" t="s">
        <v>487</v>
      </c>
      <c r="I450" s="117" t="s">
        <v>648</v>
      </c>
      <c r="J450" s="118">
        <v>-10.754300199999999</v>
      </c>
      <c r="K450" s="118">
        <v>-77.758257200000003</v>
      </c>
      <c r="L450" s="117">
        <v>140901</v>
      </c>
      <c r="M450" s="117">
        <v>150201</v>
      </c>
    </row>
    <row r="451" spans="1:13" x14ac:dyDescent="0.25">
      <c r="A451" s="120">
        <v>450</v>
      </c>
      <c r="B451" s="120">
        <v>44</v>
      </c>
      <c r="C451" s="117" t="str">
        <f>_xlfn.XLOOKUP(B451,dimUniversidades!$A:$A,dimUniversidades!$B:$B,"(sin universidad)")</f>
        <v>Universidad Nacional de Barranca</v>
      </c>
      <c r="D451" s="117" t="s">
        <v>399</v>
      </c>
      <c r="E451" s="119" t="b">
        <v>0</v>
      </c>
      <c r="F451" s="117" t="s">
        <v>385</v>
      </c>
      <c r="G451" s="117" t="s">
        <v>487</v>
      </c>
      <c r="H451" s="117" t="s">
        <v>487</v>
      </c>
      <c r="I451" s="117" t="s">
        <v>1676</v>
      </c>
      <c r="J451" s="118">
        <v>-10.7230259</v>
      </c>
      <c r="K451" s="118">
        <v>-77.687969600000002</v>
      </c>
      <c r="L451" s="117">
        <v>140901</v>
      </c>
      <c r="M451" s="117">
        <v>150201</v>
      </c>
    </row>
    <row r="452" spans="1:13" x14ac:dyDescent="0.25">
      <c r="A452" s="120">
        <v>451</v>
      </c>
      <c r="B452" s="120">
        <v>45</v>
      </c>
      <c r="C452" s="117" t="str">
        <f>_xlfn.XLOOKUP(B452,dimUniversidades!$A:$A,dimUniversidades!$B:$B,"(sin universidad)")</f>
        <v>Universidad Peruana Los Andes</v>
      </c>
      <c r="D452" s="117" t="s">
        <v>324</v>
      </c>
      <c r="E452" s="119" t="b">
        <v>1</v>
      </c>
      <c r="F452" s="117" t="s">
        <v>467</v>
      </c>
      <c r="G452" s="117" t="s">
        <v>631</v>
      </c>
      <c r="H452" s="117" t="s">
        <v>631</v>
      </c>
      <c r="I452" s="117" t="s">
        <v>632</v>
      </c>
      <c r="J452" s="118">
        <v>-12.040038300000001</v>
      </c>
      <c r="K452" s="118">
        <v>-75.192443400000002</v>
      </c>
      <c r="L452" s="117">
        <v>110101</v>
      </c>
      <c r="M452" s="117">
        <v>120101</v>
      </c>
    </row>
    <row r="453" spans="1:13" x14ac:dyDescent="0.25">
      <c r="A453" s="120">
        <v>452</v>
      </c>
      <c r="B453" s="120">
        <v>45</v>
      </c>
      <c r="C453" s="117" t="str">
        <f>_xlfn.XLOOKUP(B453,dimUniversidades!$A:$A,dimUniversidades!$B:$B,"(sin universidad)")</f>
        <v>Universidad Peruana Los Andes</v>
      </c>
      <c r="D453" s="117" t="s">
        <v>399</v>
      </c>
      <c r="E453" s="119" t="b">
        <v>0</v>
      </c>
      <c r="F453" s="117" t="s">
        <v>467</v>
      </c>
      <c r="G453" s="117" t="s">
        <v>631</v>
      </c>
      <c r="H453" s="117" t="s">
        <v>1268</v>
      </c>
      <c r="I453" s="117" t="s">
        <v>1675</v>
      </c>
      <c r="J453" s="118">
        <v>-12.051815899999999</v>
      </c>
      <c r="K453" s="118">
        <v>-75.214533599999996</v>
      </c>
      <c r="L453" s="117">
        <v>110113</v>
      </c>
      <c r="M453" s="117">
        <v>120114</v>
      </c>
    </row>
    <row r="454" spans="1:13" x14ac:dyDescent="0.25">
      <c r="A454" s="120">
        <v>453</v>
      </c>
      <c r="B454" s="120">
        <v>45</v>
      </c>
      <c r="C454" s="117" t="str">
        <f>_xlfn.XLOOKUP(B454,dimUniversidades!$A:$A,dimUniversidades!$B:$B,"(sin universidad)")</f>
        <v>Universidad Peruana Los Andes</v>
      </c>
      <c r="D454" s="117" t="s">
        <v>579</v>
      </c>
      <c r="E454" s="119" t="b">
        <v>0</v>
      </c>
      <c r="F454" s="117" t="s">
        <v>385</v>
      </c>
      <c r="G454" s="117" t="s">
        <v>385</v>
      </c>
      <c r="H454" s="117" t="s">
        <v>1182</v>
      </c>
      <c r="I454" s="117" t="s">
        <v>1674</v>
      </c>
      <c r="J454" s="118">
        <v>-12.075294400000001</v>
      </c>
      <c r="K454" s="118">
        <v>-77.041539900000004</v>
      </c>
      <c r="L454" s="117">
        <v>140133</v>
      </c>
      <c r="M454" s="117">
        <v>150113</v>
      </c>
    </row>
    <row r="455" spans="1:13" x14ac:dyDescent="0.25">
      <c r="A455" s="120">
        <v>454</v>
      </c>
      <c r="B455" s="120">
        <v>45</v>
      </c>
      <c r="C455" s="117" t="str">
        <f>_xlfn.XLOOKUP(B455,dimUniversidades!$A:$A,dimUniversidades!$B:$B,"(sin universidad)")</f>
        <v>Universidad Peruana Los Andes</v>
      </c>
      <c r="D455" s="117" t="s">
        <v>1165</v>
      </c>
      <c r="E455" s="119" t="b">
        <v>0</v>
      </c>
      <c r="F455" s="117" t="s">
        <v>385</v>
      </c>
      <c r="G455" s="117" t="s">
        <v>385</v>
      </c>
      <c r="H455" s="117" t="s">
        <v>1236</v>
      </c>
      <c r="I455" s="117" t="s">
        <v>1673</v>
      </c>
      <c r="J455" s="118">
        <v>-12.089348851353</v>
      </c>
      <c r="K455" s="118">
        <v>-77.024273221257005</v>
      </c>
      <c r="L455" s="117">
        <v>140111</v>
      </c>
      <c r="M455" s="117">
        <v>150116</v>
      </c>
    </row>
    <row r="456" spans="1:13" x14ac:dyDescent="0.25">
      <c r="A456" s="120">
        <v>455</v>
      </c>
      <c r="B456" s="120">
        <v>45</v>
      </c>
      <c r="C456" s="117" t="str">
        <f>_xlfn.XLOOKUP(B456,dimUniversidades!$A:$A,dimUniversidades!$B:$B,"(sin universidad)")</f>
        <v>Universidad Peruana Los Andes</v>
      </c>
      <c r="D456" s="117" t="s">
        <v>1344</v>
      </c>
      <c r="E456" s="119" t="b">
        <v>0</v>
      </c>
      <c r="F456" s="117" t="s">
        <v>385</v>
      </c>
      <c r="G456" s="117" t="s">
        <v>385</v>
      </c>
      <c r="H456" s="117" t="s">
        <v>385</v>
      </c>
      <c r="I456" s="117" t="s">
        <v>1672</v>
      </c>
      <c r="J456" s="118">
        <v>-12.074316400000001</v>
      </c>
      <c r="K456" s="118">
        <v>-77.032510900000005</v>
      </c>
      <c r="L456" s="117">
        <v>140101</v>
      </c>
      <c r="M456" s="117">
        <v>150101</v>
      </c>
    </row>
    <row r="457" spans="1:13" x14ac:dyDescent="0.25">
      <c r="A457" s="120">
        <v>456</v>
      </c>
      <c r="B457" s="120">
        <v>45</v>
      </c>
      <c r="C457" s="117" t="str">
        <f>_xlfn.XLOOKUP(B457,dimUniversidades!$A:$A,dimUniversidades!$B:$B,"(sin universidad)")</f>
        <v>Universidad Peruana Los Andes</v>
      </c>
      <c r="D457" s="117" t="s">
        <v>1160</v>
      </c>
      <c r="E457" s="119" t="b">
        <v>0</v>
      </c>
      <c r="F457" s="117" t="s">
        <v>467</v>
      </c>
      <c r="G457" s="117" t="s">
        <v>1147</v>
      </c>
      <c r="H457" s="117" t="s">
        <v>1671</v>
      </c>
      <c r="I457" s="117" t="s">
        <v>1670</v>
      </c>
      <c r="J457" s="118">
        <v>-11.2513618</v>
      </c>
      <c r="K457" s="118">
        <v>-74.638693099999998</v>
      </c>
      <c r="L457" s="117">
        <v>110708</v>
      </c>
      <c r="M457" s="117">
        <v>120608</v>
      </c>
    </row>
    <row r="458" spans="1:13" x14ac:dyDescent="0.25">
      <c r="A458" s="120">
        <v>457</v>
      </c>
      <c r="B458" s="120">
        <v>45</v>
      </c>
      <c r="C458" s="117" t="str">
        <f>_xlfn.XLOOKUP(B458,dimUniversidades!$A:$A,dimUniversidades!$B:$B,"(sin universidad)")</f>
        <v>Universidad Peruana Los Andes</v>
      </c>
      <c r="D458" s="117" t="s">
        <v>599</v>
      </c>
      <c r="E458" s="119" t="b">
        <v>0</v>
      </c>
      <c r="F458" s="117" t="s">
        <v>467</v>
      </c>
      <c r="G458" s="117" t="s">
        <v>1628</v>
      </c>
      <c r="H458" s="117" t="s">
        <v>1628</v>
      </c>
      <c r="I458" s="117" t="s">
        <v>1669</v>
      </c>
      <c r="J458" s="118">
        <v>-11.072104734718399</v>
      </c>
      <c r="K458" s="118">
        <v>-75.338416739286799</v>
      </c>
      <c r="L458" s="117">
        <v>110801</v>
      </c>
      <c r="M458" s="117">
        <v>120301</v>
      </c>
    </row>
    <row r="459" spans="1:13" x14ac:dyDescent="0.25">
      <c r="A459" s="120">
        <v>458</v>
      </c>
      <c r="B459" s="120">
        <v>45</v>
      </c>
      <c r="C459" s="117" t="str">
        <f>_xlfn.XLOOKUP(B459,dimUniversidades!$A:$A,dimUniversidades!$B:$B,"(sin universidad)")</f>
        <v>Universidad Peruana Los Andes</v>
      </c>
      <c r="D459" s="117" t="s">
        <v>1153</v>
      </c>
      <c r="E459" s="119" t="b">
        <v>0</v>
      </c>
      <c r="F459" s="117" t="s">
        <v>564</v>
      </c>
      <c r="G459" s="117" t="s">
        <v>564</v>
      </c>
      <c r="H459" s="117" t="s">
        <v>1668</v>
      </c>
      <c r="I459" s="117" t="s">
        <v>1667</v>
      </c>
      <c r="J459" s="118">
        <v>-12.7859494</v>
      </c>
      <c r="K459" s="118">
        <v>-74.979948699999994</v>
      </c>
      <c r="L459" s="117">
        <v>80119</v>
      </c>
      <c r="M459" s="117">
        <v>90118</v>
      </c>
    </row>
    <row r="460" spans="1:13" x14ac:dyDescent="0.25">
      <c r="A460" s="120">
        <v>459</v>
      </c>
      <c r="B460" s="120">
        <v>45</v>
      </c>
      <c r="C460" s="117" t="str">
        <f>_xlfn.XLOOKUP(B460,dimUniversidades!$A:$A,dimUniversidades!$B:$B,"(sin universidad)")</f>
        <v>Universidad Peruana Los Andes</v>
      </c>
      <c r="D460" s="117" t="s">
        <v>1148</v>
      </c>
      <c r="E460" s="119" t="b">
        <v>0</v>
      </c>
      <c r="F460" s="117" t="s">
        <v>1128</v>
      </c>
      <c r="G460" s="117" t="s">
        <v>1128</v>
      </c>
      <c r="H460" s="117" t="s">
        <v>1127</v>
      </c>
      <c r="I460" s="117" t="s">
        <v>1666</v>
      </c>
      <c r="J460" s="118">
        <v>-6.5846366999999999</v>
      </c>
      <c r="K460" s="118">
        <v>-76.332035300000001</v>
      </c>
      <c r="L460" s="117">
        <v>90101</v>
      </c>
      <c r="M460" s="117">
        <v>100101</v>
      </c>
    </row>
    <row r="461" spans="1:13" x14ac:dyDescent="0.25">
      <c r="A461" s="120">
        <v>460</v>
      </c>
      <c r="B461" s="120">
        <v>45</v>
      </c>
      <c r="C461" s="117" t="str">
        <f>_xlfn.XLOOKUP(B461,dimUniversidades!$A:$A,dimUniversidades!$B:$B,"(sin universidad)")</f>
        <v>Universidad Peruana Los Andes</v>
      </c>
      <c r="D461" s="117" t="s">
        <v>1145</v>
      </c>
      <c r="E461" s="119" t="b">
        <v>0</v>
      </c>
      <c r="F461" s="117" t="s">
        <v>506</v>
      </c>
      <c r="G461" s="117" t="s">
        <v>506</v>
      </c>
      <c r="H461" s="117" t="s">
        <v>1665</v>
      </c>
      <c r="I461" s="117" t="s">
        <v>1664</v>
      </c>
      <c r="J461" s="118">
        <v>-10.6888565</v>
      </c>
      <c r="K461" s="118">
        <v>-76.249734099999998</v>
      </c>
      <c r="L461" s="117">
        <v>180101</v>
      </c>
      <c r="M461" s="117">
        <v>190101</v>
      </c>
    </row>
    <row r="462" spans="1:13" x14ac:dyDescent="0.25">
      <c r="A462" s="120">
        <v>461</v>
      </c>
      <c r="B462" s="120">
        <v>46</v>
      </c>
      <c r="C462" s="117" t="str">
        <f>_xlfn.XLOOKUP(B462,dimUniversidades!$A:$A,dimUniversidades!$B:$B,"(sin universidad)")</f>
        <v>Universidad Nacional de Tumbes</v>
      </c>
      <c r="D462" s="117" t="s">
        <v>324</v>
      </c>
      <c r="E462" s="119" t="b">
        <v>1</v>
      </c>
      <c r="F462" s="117" t="s">
        <v>606</v>
      </c>
      <c r="G462" s="117" t="s">
        <v>606</v>
      </c>
      <c r="H462" s="117" t="s">
        <v>606</v>
      </c>
      <c r="I462" s="117" t="s">
        <v>1663</v>
      </c>
      <c r="J462" s="118">
        <v>-3.585267</v>
      </c>
      <c r="K462" s="118">
        <v>-80.443304999999995</v>
      </c>
      <c r="L462" s="117">
        <v>230101</v>
      </c>
      <c r="M462" s="117">
        <v>240101</v>
      </c>
    </row>
    <row r="463" spans="1:13" x14ac:dyDescent="0.25">
      <c r="A463" s="120">
        <v>462</v>
      </c>
      <c r="B463" s="120">
        <v>46</v>
      </c>
      <c r="C463" s="117" t="str">
        <f>_xlfn.XLOOKUP(B463,dimUniversidades!$A:$A,dimUniversidades!$B:$B,"(sin universidad)")</f>
        <v>Universidad Nacional de Tumbes</v>
      </c>
      <c r="D463" s="117" t="s">
        <v>399</v>
      </c>
      <c r="E463" s="119" t="b">
        <v>0</v>
      </c>
      <c r="F463" s="117" t="s">
        <v>606</v>
      </c>
      <c r="G463" s="117" t="s">
        <v>606</v>
      </c>
      <c r="H463" s="117" t="s">
        <v>1662</v>
      </c>
      <c r="I463" s="117" t="s">
        <v>1661</v>
      </c>
      <c r="J463" s="118">
        <v>-3.5564653295655599</v>
      </c>
      <c r="K463" s="118">
        <v>-80.427142144180294</v>
      </c>
      <c r="L463" s="117">
        <v>230102</v>
      </c>
      <c r="M463" s="117">
        <v>240102</v>
      </c>
    </row>
    <row r="464" spans="1:13" x14ac:dyDescent="0.25">
      <c r="A464" s="120">
        <v>463</v>
      </c>
      <c r="B464" s="120">
        <v>46</v>
      </c>
      <c r="C464" s="117" t="str">
        <f>_xlfn.XLOOKUP(B464,dimUniversidades!$A:$A,dimUniversidades!$B:$B,"(sin universidad)")</f>
        <v>Universidad Nacional de Tumbes</v>
      </c>
      <c r="D464" s="117" t="s">
        <v>735</v>
      </c>
      <c r="E464" s="119" t="b">
        <v>0</v>
      </c>
      <c r="F464" s="117" t="s">
        <v>606</v>
      </c>
      <c r="G464" s="117" t="s">
        <v>606</v>
      </c>
      <c r="H464" s="117" t="s">
        <v>606</v>
      </c>
      <c r="I464" s="117" t="s">
        <v>1660</v>
      </c>
      <c r="J464" s="118">
        <v>-3.5628353244669402</v>
      </c>
      <c r="K464" s="118">
        <v>-80.457484150193096</v>
      </c>
      <c r="L464" s="117">
        <v>230101</v>
      </c>
      <c r="M464" s="117">
        <v>240101</v>
      </c>
    </row>
    <row r="465" spans="1:13" x14ac:dyDescent="0.25">
      <c r="A465" s="120">
        <v>464</v>
      </c>
      <c r="B465" s="120">
        <v>46</v>
      </c>
      <c r="C465" s="117" t="str">
        <f>_xlfn.XLOOKUP(B465,dimUniversidades!$A:$A,dimUniversidades!$B:$B,"(sin universidad)")</f>
        <v>Universidad Nacional de Tumbes</v>
      </c>
      <c r="D465" s="117" t="s">
        <v>500</v>
      </c>
      <c r="E465" s="119" t="b">
        <v>0</v>
      </c>
      <c r="F465" s="117" t="s">
        <v>606</v>
      </c>
      <c r="G465" s="117" t="s">
        <v>606</v>
      </c>
      <c r="H465" s="117" t="s">
        <v>606</v>
      </c>
      <c r="I465" s="117" t="s">
        <v>1659</v>
      </c>
      <c r="J465" s="118">
        <v>-3.58525165518861</v>
      </c>
      <c r="K465" s="118">
        <v>-80.443225563031802</v>
      </c>
      <c r="L465" s="117">
        <v>230101</v>
      </c>
      <c r="M465" s="117">
        <v>240101</v>
      </c>
    </row>
    <row r="466" spans="1:13" x14ac:dyDescent="0.25">
      <c r="A466" s="120">
        <v>465</v>
      </c>
      <c r="B466" s="120">
        <v>46</v>
      </c>
      <c r="C466" s="117" t="str">
        <f>_xlfn.XLOOKUP(B466,dimUniversidades!$A:$A,dimUniversidades!$B:$B,"(sin universidad)")</f>
        <v>Universidad Nacional de Tumbes</v>
      </c>
      <c r="D466" s="117" t="s">
        <v>1117</v>
      </c>
      <c r="E466" s="119" t="b">
        <v>0</v>
      </c>
      <c r="F466" s="117" t="s">
        <v>606</v>
      </c>
      <c r="G466" s="117" t="s">
        <v>606</v>
      </c>
      <c r="H466" s="117" t="s">
        <v>606</v>
      </c>
      <c r="I466" s="117" t="s">
        <v>1658</v>
      </c>
      <c r="J466" s="118">
        <v>-3.56149964284044</v>
      </c>
      <c r="K466" s="118">
        <v>-80.454497024922901</v>
      </c>
      <c r="L466" s="117">
        <v>230101</v>
      </c>
      <c r="M466" s="117">
        <v>240101</v>
      </c>
    </row>
    <row r="467" spans="1:13" x14ac:dyDescent="0.25">
      <c r="A467" s="120">
        <v>466</v>
      </c>
      <c r="B467" s="120">
        <v>47</v>
      </c>
      <c r="C467" s="117" t="str">
        <f>_xlfn.XLOOKUP(B467,dimUniversidades!$A:$A,dimUniversidades!$B:$B,"(sin universidad)")</f>
        <v>Universidad Nacional Pedro Ruiz Gallo</v>
      </c>
      <c r="D467" s="117" t="s">
        <v>324</v>
      </c>
      <c r="E467" s="119" t="b">
        <v>1</v>
      </c>
      <c r="F467" s="117" t="s">
        <v>589</v>
      </c>
      <c r="G467" s="117" t="s">
        <v>589</v>
      </c>
      <c r="H467" s="117" t="s">
        <v>589</v>
      </c>
      <c r="I467" s="117" t="s">
        <v>1657</v>
      </c>
      <c r="J467" s="118">
        <v>-6.7070694143000003</v>
      </c>
      <c r="K467" s="118">
        <v>-79.906696624999995</v>
      </c>
      <c r="L467" s="117">
        <v>130301</v>
      </c>
      <c r="M467" s="117">
        <v>140301</v>
      </c>
    </row>
    <row r="468" spans="1:13" x14ac:dyDescent="0.25">
      <c r="A468" s="120">
        <v>467</v>
      </c>
      <c r="B468" s="120">
        <v>47</v>
      </c>
      <c r="C468" s="117" t="str">
        <f>_xlfn.XLOOKUP(B468,dimUniversidades!$A:$A,dimUniversidades!$B:$B,"(sin universidad)")</f>
        <v>Universidad Nacional Pedro Ruiz Gallo</v>
      </c>
      <c r="D468" s="117" t="s">
        <v>399</v>
      </c>
      <c r="E468" s="119" t="b">
        <v>0</v>
      </c>
      <c r="F468" s="117" t="s">
        <v>589</v>
      </c>
      <c r="G468" s="117" t="s">
        <v>589</v>
      </c>
      <c r="H468" s="117" t="s">
        <v>589</v>
      </c>
      <c r="I468" s="117" t="s">
        <v>1656</v>
      </c>
      <c r="J468" s="118">
        <v>-6.7038456999999996</v>
      </c>
      <c r="K468" s="118">
        <v>-79.905014800000004</v>
      </c>
      <c r="L468" s="117">
        <v>130301</v>
      </c>
      <c r="M468" s="117">
        <v>140301</v>
      </c>
    </row>
    <row r="469" spans="1:13" x14ac:dyDescent="0.25">
      <c r="A469" s="120">
        <v>468</v>
      </c>
      <c r="B469" s="120">
        <v>47</v>
      </c>
      <c r="C469" s="117" t="str">
        <f>_xlfn.XLOOKUP(B469,dimUniversidades!$A:$A,dimUniversidades!$B:$B,"(sin universidad)")</f>
        <v>Universidad Nacional Pedro Ruiz Gallo</v>
      </c>
      <c r="D469" s="117" t="s">
        <v>735</v>
      </c>
      <c r="E469" s="119" t="b">
        <v>0</v>
      </c>
      <c r="F469" s="117" t="s">
        <v>589</v>
      </c>
      <c r="G469" s="117" t="s">
        <v>589</v>
      </c>
      <c r="H469" s="117" t="s">
        <v>589</v>
      </c>
      <c r="I469" s="117" t="s">
        <v>1655</v>
      </c>
      <c r="J469" s="118">
        <v>-6.7043610999999999</v>
      </c>
      <c r="K469" s="118">
        <v>-79.905370500000004</v>
      </c>
      <c r="L469" s="117">
        <v>130301</v>
      </c>
      <c r="M469" s="117">
        <v>140301</v>
      </c>
    </row>
    <row r="470" spans="1:13" x14ac:dyDescent="0.25">
      <c r="A470" s="120">
        <v>469</v>
      </c>
      <c r="B470" s="120">
        <v>47</v>
      </c>
      <c r="C470" s="117" t="str">
        <f>_xlfn.XLOOKUP(B470,dimUniversidades!$A:$A,dimUniversidades!$B:$B,"(sin universidad)")</f>
        <v>Universidad Nacional Pedro Ruiz Gallo</v>
      </c>
      <c r="D470" s="117" t="s">
        <v>500</v>
      </c>
      <c r="E470" s="119" t="b">
        <v>0</v>
      </c>
      <c r="F470" s="117" t="s">
        <v>589</v>
      </c>
      <c r="G470" s="117" t="s">
        <v>589</v>
      </c>
      <c r="H470" s="117" t="s">
        <v>589</v>
      </c>
      <c r="I470" s="117" t="s">
        <v>1654</v>
      </c>
      <c r="J470" s="118">
        <v>-6.7045591</v>
      </c>
      <c r="K470" s="118">
        <v>-79.905249299999994</v>
      </c>
      <c r="L470" s="117">
        <v>130301</v>
      </c>
      <c r="M470" s="117">
        <v>140301</v>
      </c>
    </row>
    <row r="471" spans="1:13" x14ac:dyDescent="0.25">
      <c r="A471" s="120">
        <v>470</v>
      </c>
      <c r="B471" s="120">
        <v>47</v>
      </c>
      <c r="C471" s="117" t="str">
        <f>_xlfn.XLOOKUP(B471,dimUniversidades!$A:$A,dimUniversidades!$B:$B,"(sin universidad)")</f>
        <v>Universidad Nacional Pedro Ruiz Gallo</v>
      </c>
      <c r="D471" s="117" t="s">
        <v>1117</v>
      </c>
      <c r="E471" s="119" t="b">
        <v>0</v>
      </c>
      <c r="F471" s="117" t="s">
        <v>589</v>
      </c>
      <c r="G471" s="117" t="s">
        <v>1222</v>
      </c>
      <c r="H471" s="117" t="s">
        <v>1222</v>
      </c>
      <c r="I471" s="117" t="s">
        <v>1653</v>
      </c>
      <c r="J471" s="118">
        <v>-6.7752303999999999</v>
      </c>
      <c r="K471" s="118">
        <v>-79.837902700000001</v>
      </c>
      <c r="L471" s="117">
        <v>130101</v>
      </c>
      <c r="M471" s="117">
        <v>140101</v>
      </c>
    </row>
    <row r="472" spans="1:13" x14ac:dyDescent="0.25">
      <c r="A472" s="120">
        <v>471</v>
      </c>
      <c r="B472" s="120">
        <v>47</v>
      </c>
      <c r="C472" s="117" t="str">
        <f>_xlfn.XLOOKUP(B472,dimUniversidades!$A:$A,dimUniversidades!$B:$B,"(sin universidad)")</f>
        <v>Universidad Nacional Pedro Ruiz Gallo</v>
      </c>
      <c r="D472" s="117" t="s">
        <v>1230</v>
      </c>
      <c r="E472" s="119" t="b">
        <v>0</v>
      </c>
      <c r="F472" s="117" t="s">
        <v>589</v>
      </c>
      <c r="G472" s="117" t="s">
        <v>1222</v>
      </c>
      <c r="H472" s="117" t="s">
        <v>1648</v>
      </c>
      <c r="I472" s="117" t="s">
        <v>1652</v>
      </c>
      <c r="J472" s="118">
        <v>-6.7608557999999999</v>
      </c>
      <c r="K472" s="118">
        <v>-79.848896600000003</v>
      </c>
      <c r="L472" s="117">
        <v>130112</v>
      </c>
      <c r="M472" s="117">
        <v>140105</v>
      </c>
    </row>
    <row r="473" spans="1:13" x14ac:dyDescent="0.25">
      <c r="A473" s="120">
        <v>472</v>
      </c>
      <c r="B473" s="120">
        <v>47</v>
      </c>
      <c r="C473" s="117" t="str">
        <f>_xlfn.XLOOKUP(B473,dimUniversidades!$A:$A,dimUniversidades!$B:$B,"(sin universidad)")</f>
        <v>Universidad Nacional Pedro Ruiz Gallo</v>
      </c>
      <c r="D473" s="117" t="s">
        <v>1227</v>
      </c>
      <c r="E473" s="119" t="b">
        <v>0</v>
      </c>
      <c r="F473" s="117" t="s">
        <v>589</v>
      </c>
      <c r="G473" s="117" t="s">
        <v>589</v>
      </c>
      <c r="H473" s="117" t="s">
        <v>589</v>
      </c>
      <c r="I473" s="117" t="s">
        <v>1651</v>
      </c>
      <c r="J473" s="118">
        <v>-6.7085523</v>
      </c>
      <c r="K473" s="118">
        <v>-79.914171199999998</v>
      </c>
      <c r="L473" s="117">
        <v>130301</v>
      </c>
      <c r="M473" s="117">
        <v>140301</v>
      </c>
    </row>
    <row r="474" spans="1:13" x14ac:dyDescent="0.25">
      <c r="A474" s="120">
        <v>473</v>
      </c>
      <c r="B474" s="120">
        <v>47</v>
      </c>
      <c r="C474" s="117" t="str">
        <f>_xlfn.XLOOKUP(B474,dimUniversidades!$A:$A,dimUniversidades!$B:$B,"(sin universidad)")</f>
        <v>Universidad Nacional Pedro Ruiz Gallo</v>
      </c>
      <c r="D474" s="117" t="s">
        <v>1419</v>
      </c>
      <c r="E474" s="119" t="b">
        <v>0</v>
      </c>
      <c r="F474" s="117" t="s">
        <v>589</v>
      </c>
      <c r="G474" s="117" t="s">
        <v>589</v>
      </c>
      <c r="H474" s="117" t="s">
        <v>589</v>
      </c>
      <c r="I474" s="117" t="s">
        <v>1650</v>
      </c>
      <c r="J474" s="118">
        <v>-6.7197665999999998</v>
      </c>
      <c r="K474" s="118">
        <v>-79.908075699999998</v>
      </c>
      <c r="L474" s="117">
        <v>130301</v>
      </c>
      <c r="M474" s="117">
        <v>140301</v>
      </c>
    </row>
    <row r="475" spans="1:13" x14ac:dyDescent="0.25">
      <c r="A475" s="120">
        <v>474</v>
      </c>
      <c r="B475" s="120">
        <v>47</v>
      </c>
      <c r="C475" s="117" t="str">
        <f>_xlfn.XLOOKUP(B475,dimUniversidades!$A:$A,dimUniversidades!$B:$B,"(sin universidad)")</f>
        <v>Universidad Nacional Pedro Ruiz Gallo</v>
      </c>
      <c r="D475" s="117" t="s">
        <v>643</v>
      </c>
      <c r="E475" s="119" t="b">
        <v>0</v>
      </c>
      <c r="F475" s="117" t="s">
        <v>589</v>
      </c>
      <c r="G475" s="117" t="s">
        <v>589</v>
      </c>
      <c r="H475" s="117" t="s">
        <v>589</v>
      </c>
      <c r="I475" s="117" t="s">
        <v>1650</v>
      </c>
      <c r="J475" s="118">
        <v>-6.7197665999999998</v>
      </c>
      <c r="K475" s="118">
        <v>-79.908075699999998</v>
      </c>
      <c r="L475" s="117">
        <v>130301</v>
      </c>
      <c r="M475" s="117">
        <v>140301</v>
      </c>
    </row>
    <row r="476" spans="1:13" x14ac:dyDescent="0.25">
      <c r="A476" s="120">
        <v>475</v>
      </c>
      <c r="B476" s="120">
        <v>47</v>
      </c>
      <c r="C476" s="117" t="str">
        <f>_xlfn.XLOOKUP(B476,dimUniversidades!$A:$A,dimUniversidades!$B:$B,"(sin universidad)")</f>
        <v>Universidad Nacional Pedro Ruiz Gallo</v>
      </c>
      <c r="D476" s="117" t="s">
        <v>1649</v>
      </c>
      <c r="E476" s="119" t="b">
        <v>0</v>
      </c>
      <c r="F476" s="117" t="s">
        <v>589</v>
      </c>
      <c r="G476" s="117" t="s">
        <v>1222</v>
      </c>
      <c r="H476" s="117" t="s">
        <v>1648</v>
      </c>
      <c r="I476" s="117" t="s">
        <v>1647</v>
      </c>
      <c r="J476" s="118">
        <v>-6.7594395</v>
      </c>
      <c r="K476" s="118">
        <v>-79.826655599999995</v>
      </c>
      <c r="L476" s="117">
        <v>130112</v>
      </c>
      <c r="M476" s="117">
        <v>140105</v>
      </c>
    </row>
    <row r="477" spans="1:13" x14ac:dyDescent="0.25">
      <c r="A477" s="120">
        <v>476</v>
      </c>
      <c r="B477" s="120">
        <v>47</v>
      </c>
      <c r="C477" s="117" t="str">
        <f>_xlfn.XLOOKUP(B477,dimUniversidades!$A:$A,dimUniversidades!$B:$B,"(sin universidad)")</f>
        <v>Universidad Nacional Pedro Ruiz Gallo</v>
      </c>
      <c r="D477" s="117" t="s">
        <v>1646</v>
      </c>
      <c r="E477" s="119" t="b">
        <v>0</v>
      </c>
      <c r="F477" s="117" t="s">
        <v>589</v>
      </c>
      <c r="G477" s="117" t="s">
        <v>1222</v>
      </c>
      <c r="H477" s="117" t="s">
        <v>1251</v>
      </c>
      <c r="I477" s="117" t="s">
        <v>1645</v>
      </c>
      <c r="J477" s="118">
        <v>-6.8324793000000001</v>
      </c>
      <c r="K477" s="118">
        <v>-79.929615999999996</v>
      </c>
      <c r="L477" s="117">
        <v>130110</v>
      </c>
      <c r="M477" s="117">
        <v>140112</v>
      </c>
    </row>
    <row r="478" spans="1:13" x14ac:dyDescent="0.25">
      <c r="A478" s="120">
        <v>477</v>
      </c>
      <c r="B478" s="120">
        <v>47</v>
      </c>
      <c r="C478" s="117" t="str">
        <f>_xlfn.XLOOKUP(B478,dimUniversidades!$A:$A,dimUniversidades!$B:$B,"(sin universidad)")</f>
        <v>Universidad Nacional Pedro Ruiz Gallo</v>
      </c>
      <c r="D478" s="117" t="s">
        <v>579</v>
      </c>
      <c r="E478" s="119" t="b">
        <v>0</v>
      </c>
      <c r="F478" s="117" t="s">
        <v>420</v>
      </c>
      <c r="G478" s="117" t="s">
        <v>1644</v>
      </c>
      <c r="H478" s="117" t="s">
        <v>1644</v>
      </c>
      <c r="I478" s="117" t="s">
        <v>1643</v>
      </c>
      <c r="J478" s="118">
        <v>-6.3760453000000004</v>
      </c>
      <c r="K478" s="118">
        <v>-78.821275</v>
      </c>
      <c r="L478" s="117">
        <v>60501</v>
      </c>
      <c r="M478" s="117">
        <v>60601</v>
      </c>
    </row>
    <row r="479" spans="1:13" x14ac:dyDescent="0.25">
      <c r="A479" s="120">
        <v>478</v>
      </c>
      <c r="B479" s="120">
        <v>47</v>
      </c>
      <c r="C479" s="117" t="str">
        <f>_xlfn.XLOOKUP(B479,dimUniversidades!$A:$A,dimUniversidades!$B:$B,"(sin universidad)")</f>
        <v>Universidad Nacional Pedro Ruiz Gallo</v>
      </c>
      <c r="D479" s="117" t="s">
        <v>1160</v>
      </c>
      <c r="E479" s="119" t="b">
        <v>0</v>
      </c>
      <c r="F479" s="117" t="s">
        <v>1307</v>
      </c>
      <c r="G479" s="117" t="s">
        <v>1315</v>
      </c>
      <c r="H479" s="117" t="s">
        <v>1314</v>
      </c>
      <c r="I479" s="117" t="s">
        <v>1642</v>
      </c>
      <c r="J479" s="118">
        <v>-5.7574791000000003</v>
      </c>
      <c r="K479" s="118">
        <v>-78.452406499999995</v>
      </c>
      <c r="L479" s="117">
        <v>10701</v>
      </c>
      <c r="M479" s="117">
        <v>10701</v>
      </c>
    </row>
    <row r="480" spans="1:13" x14ac:dyDescent="0.25">
      <c r="A480" s="120">
        <v>479</v>
      </c>
      <c r="B480" s="120">
        <v>47</v>
      </c>
      <c r="C480" s="117" t="str">
        <f>_xlfn.XLOOKUP(B480,dimUniversidades!$A:$A,dimUniversidades!$B:$B,"(sin universidad)")</f>
        <v>Universidad Nacional Pedro Ruiz Gallo</v>
      </c>
      <c r="D480" s="117" t="s">
        <v>1641</v>
      </c>
      <c r="E480" s="119" t="b">
        <v>0</v>
      </c>
      <c r="F480" s="117" t="s">
        <v>589</v>
      </c>
      <c r="G480" s="117" t="s">
        <v>1222</v>
      </c>
      <c r="H480" s="117" t="s">
        <v>1222</v>
      </c>
      <c r="I480" s="117" t="s">
        <v>1640</v>
      </c>
      <c r="J480" s="118">
        <v>-6.7748815000000002</v>
      </c>
      <c r="K480" s="118">
        <v>-79.840114299999996</v>
      </c>
      <c r="L480" s="117">
        <v>130101</v>
      </c>
      <c r="M480" s="117">
        <v>140101</v>
      </c>
    </row>
    <row r="481" spans="1:13" x14ac:dyDescent="0.25">
      <c r="A481" s="120">
        <v>480</v>
      </c>
      <c r="B481" s="120">
        <v>48</v>
      </c>
      <c r="C481" s="117" t="str">
        <f>_xlfn.XLOOKUP(B481,dimUniversidades!$A:$A,dimUniversidades!$B:$B,"(sin universidad)")</f>
        <v>Universidad Nacional Intercultural de la Selva Central Juan Santos Atahualpa</v>
      </c>
      <c r="D481" s="117" t="s">
        <v>324</v>
      </c>
      <c r="E481" s="119" t="b">
        <v>1</v>
      </c>
      <c r="F481" s="117" t="s">
        <v>467</v>
      </c>
      <c r="G481" s="117" t="s">
        <v>1628</v>
      </c>
      <c r="H481" s="117" t="s">
        <v>1628</v>
      </c>
      <c r="I481" s="117" t="s">
        <v>1639</v>
      </c>
      <c r="J481" s="118">
        <v>-11.056553351191701</v>
      </c>
      <c r="K481" s="118">
        <v>-75.331951367459098</v>
      </c>
      <c r="L481" s="117">
        <v>110801</v>
      </c>
      <c r="M481" s="117">
        <v>120301</v>
      </c>
    </row>
    <row r="482" spans="1:13" x14ac:dyDescent="0.25">
      <c r="A482" s="120">
        <v>481</v>
      </c>
      <c r="B482" s="120">
        <v>48</v>
      </c>
      <c r="C482" s="117" t="str">
        <f>_xlfn.XLOOKUP(B482,dimUniversidades!$A:$A,dimUniversidades!$B:$B,"(sin universidad)")</f>
        <v>Universidad Nacional Intercultural de la Selva Central Juan Santos Atahualpa</v>
      </c>
      <c r="D482" s="117" t="s">
        <v>399</v>
      </c>
      <c r="E482" s="119" t="b">
        <v>0</v>
      </c>
      <c r="F482" s="117" t="s">
        <v>467</v>
      </c>
      <c r="G482" s="117" t="s">
        <v>1628</v>
      </c>
      <c r="H482" s="117" t="s">
        <v>1628</v>
      </c>
      <c r="I482" s="117" t="s">
        <v>1638</v>
      </c>
      <c r="J482" s="118">
        <v>-11.0678896162987</v>
      </c>
      <c r="K482" s="118">
        <v>-75.336861699405702</v>
      </c>
      <c r="L482" s="117">
        <v>110801</v>
      </c>
      <c r="M482" s="117">
        <v>120301</v>
      </c>
    </row>
    <row r="483" spans="1:13" x14ac:dyDescent="0.25">
      <c r="A483" s="120">
        <v>482</v>
      </c>
      <c r="B483" s="120">
        <v>48</v>
      </c>
      <c r="C483" s="117" t="str">
        <f>_xlfn.XLOOKUP(B483,dimUniversidades!$A:$A,dimUniversidades!$B:$B,"(sin universidad)")</f>
        <v>Universidad Nacional Intercultural de la Selva Central Juan Santos Atahualpa</v>
      </c>
      <c r="D483" s="117" t="s">
        <v>735</v>
      </c>
      <c r="E483" s="119" t="b">
        <v>0</v>
      </c>
      <c r="F483" s="117" t="s">
        <v>467</v>
      </c>
      <c r="G483" s="117" t="s">
        <v>1628</v>
      </c>
      <c r="H483" s="117" t="s">
        <v>1628</v>
      </c>
      <c r="I483" s="117" t="s">
        <v>1637</v>
      </c>
      <c r="J483" s="118">
        <v>-11.0565792987388</v>
      </c>
      <c r="K483" s="118">
        <v>-75.331948121504198</v>
      </c>
      <c r="L483" s="117">
        <v>110801</v>
      </c>
      <c r="M483" s="117">
        <v>120301</v>
      </c>
    </row>
    <row r="484" spans="1:13" x14ac:dyDescent="0.25">
      <c r="A484" s="120">
        <v>483</v>
      </c>
      <c r="B484" s="120">
        <v>48</v>
      </c>
      <c r="C484" s="117" t="str">
        <f>_xlfn.XLOOKUP(B484,dimUniversidades!$A:$A,dimUniversidades!$B:$B,"(sin universidad)")</f>
        <v>Universidad Nacional Intercultural de la Selva Central Juan Santos Atahualpa</v>
      </c>
      <c r="D484" s="117" t="s">
        <v>500</v>
      </c>
      <c r="E484" s="119" t="b">
        <v>0</v>
      </c>
      <c r="F484" s="117" t="s">
        <v>467</v>
      </c>
      <c r="G484" s="117" t="s">
        <v>1628</v>
      </c>
      <c r="H484" s="117" t="s">
        <v>1634</v>
      </c>
      <c r="I484" s="117" t="s">
        <v>1636</v>
      </c>
      <c r="J484" s="118">
        <v>-11.1195545229901</v>
      </c>
      <c r="K484" s="118">
        <v>-75.344857012897506</v>
      </c>
      <c r="L484" s="117">
        <v>110802</v>
      </c>
      <c r="M484" s="117">
        <v>120305</v>
      </c>
    </row>
    <row r="485" spans="1:13" x14ac:dyDescent="0.25">
      <c r="A485" s="120">
        <v>484</v>
      </c>
      <c r="B485" s="120">
        <v>48</v>
      </c>
      <c r="C485" s="117" t="str">
        <f>_xlfn.XLOOKUP(B485,dimUniversidades!$A:$A,dimUniversidades!$B:$B,"(sin universidad)")</f>
        <v>Universidad Nacional Intercultural de la Selva Central Juan Santos Atahualpa</v>
      </c>
      <c r="D485" s="117" t="s">
        <v>1117</v>
      </c>
      <c r="E485" s="119" t="b">
        <v>0</v>
      </c>
      <c r="F485" s="117" t="s">
        <v>467</v>
      </c>
      <c r="G485" s="117" t="s">
        <v>1628</v>
      </c>
      <c r="H485" s="117" t="s">
        <v>1634</v>
      </c>
      <c r="I485" s="117" t="s">
        <v>1635</v>
      </c>
      <c r="J485" s="118">
        <v>-11.122045932515499</v>
      </c>
      <c r="K485" s="118">
        <v>-75.362461285319498</v>
      </c>
      <c r="L485" s="117">
        <v>110802</v>
      </c>
      <c r="M485" s="117">
        <v>120305</v>
      </c>
    </row>
    <row r="486" spans="1:13" x14ac:dyDescent="0.25">
      <c r="A486" s="120">
        <v>485</v>
      </c>
      <c r="B486" s="120">
        <v>48</v>
      </c>
      <c r="C486" s="117" t="str">
        <f>_xlfn.XLOOKUP(B486,dimUniversidades!$A:$A,dimUniversidades!$B:$B,"(sin universidad)")</f>
        <v>Universidad Nacional Intercultural de la Selva Central Juan Santos Atahualpa</v>
      </c>
      <c r="D486" s="117" t="s">
        <v>1232</v>
      </c>
      <c r="E486" s="119" t="b">
        <v>0</v>
      </c>
      <c r="F486" s="117" t="s">
        <v>467</v>
      </c>
      <c r="G486" s="117" t="s">
        <v>1628</v>
      </c>
      <c r="H486" s="117" t="s">
        <v>1634</v>
      </c>
      <c r="I486" s="117" t="s">
        <v>1633</v>
      </c>
      <c r="J486" s="118">
        <v>-11.1243221169238</v>
      </c>
      <c r="K486" s="118">
        <v>-75.366114099935899</v>
      </c>
      <c r="L486" s="117">
        <v>110802</v>
      </c>
      <c r="M486" s="117">
        <v>120305</v>
      </c>
    </row>
    <row r="487" spans="1:13" x14ac:dyDescent="0.25">
      <c r="A487" s="120">
        <v>486</v>
      </c>
      <c r="B487" s="120">
        <v>48</v>
      </c>
      <c r="C487" s="117" t="str">
        <f>_xlfn.XLOOKUP(B487,dimUniversidades!$A:$A,dimUniversidades!$B:$B,"(sin universidad)")</f>
        <v>Universidad Nacional Intercultural de la Selva Central Juan Santos Atahualpa</v>
      </c>
      <c r="D487" s="117" t="s">
        <v>1230</v>
      </c>
      <c r="E487" s="119" t="b">
        <v>0</v>
      </c>
      <c r="F487" s="117" t="s">
        <v>467</v>
      </c>
      <c r="G487" s="117" t="s">
        <v>1628</v>
      </c>
      <c r="H487" s="117" t="s">
        <v>1631</v>
      </c>
      <c r="I487" s="117" t="s">
        <v>1632</v>
      </c>
      <c r="J487" s="118">
        <v>-10.9274268789144</v>
      </c>
      <c r="K487" s="118">
        <v>-74.870992526428196</v>
      </c>
      <c r="L487" s="117">
        <v>110805</v>
      </c>
      <c r="M487" s="117">
        <v>120303</v>
      </c>
    </row>
    <row r="488" spans="1:13" x14ac:dyDescent="0.25">
      <c r="A488" s="120">
        <v>487</v>
      </c>
      <c r="B488" s="120">
        <v>48</v>
      </c>
      <c r="C488" s="117" t="str">
        <f>_xlfn.XLOOKUP(B488,dimUniversidades!$A:$A,dimUniversidades!$B:$B,"(sin universidad)")</f>
        <v>Universidad Nacional Intercultural de la Selva Central Juan Santos Atahualpa</v>
      </c>
      <c r="D488" s="117" t="s">
        <v>1227</v>
      </c>
      <c r="E488" s="119" t="b">
        <v>0</v>
      </c>
      <c r="F488" s="117" t="s">
        <v>467</v>
      </c>
      <c r="G488" s="117" t="s">
        <v>1628</v>
      </c>
      <c r="H488" s="117" t="s">
        <v>1631</v>
      </c>
      <c r="I488" s="117" t="s">
        <v>1630</v>
      </c>
      <c r="J488" s="118">
        <v>-10.9189419365081</v>
      </c>
      <c r="K488" s="118">
        <v>-74.876521417790997</v>
      </c>
      <c r="L488" s="117">
        <v>110805</v>
      </c>
      <c r="M488" s="117">
        <v>120303</v>
      </c>
    </row>
    <row r="489" spans="1:13" x14ac:dyDescent="0.25">
      <c r="A489" s="120">
        <v>488</v>
      </c>
      <c r="B489" s="120">
        <v>48</v>
      </c>
      <c r="C489" s="117" t="str">
        <f>_xlfn.XLOOKUP(B489,dimUniversidades!$A:$A,dimUniversidades!$B:$B,"(sin universidad)")</f>
        <v>Universidad Nacional Intercultural de la Selva Central Juan Santos Atahualpa</v>
      </c>
      <c r="D489" s="117" t="s">
        <v>1419</v>
      </c>
      <c r="E489" s="119" t="b">
        <v>0</v>
      </c>
      <c r="F489" s="117" t="s">
        <v>467</v>
      </c>
      <c r="G489" s="117" t="s">
        <v>1628</v>
      </c>
      <c r="H489" s="117" t="s">
        <v>1627</v>
      </c>
      <c r="I489" s="117" t="s">
        <v>1629</v>
      </c>
      <c r="J489" s="118">
        <v>-10.8904370693906</v>
      </c>
      <c r="K489" s="118">
        <v>-74.935210923981501</v>
      </c>
      <c r="L489" s="117">
        <v>110806</v>
      </c>
      <c r="M489" s="117">
        <v>120302</v>
      </c>
    </row>
    <row r="490" spans="1:13" x14ac:dyDescent="0.25">
      <c r="A490" s="120">
        <v>489</v>
      </c>
      <c r="B490" s="120">
        <v>48</v>
      </c>
      <c r="C490" s="117" t="str">
        <f>_xlfn.XLOOKUP(B490,dimUniversidades!$A:$A,dimUniversidades!$B:$B,"(sin universidad)")</f>
        <v>Universidad Nacional Intercultural de la Selva Central Juan Santos Atahualpa</v>
      </c>
      <c r="D490" s="117" t="s">
        <v>643</v>
      </c>
      <c r="E490" s="119" t="b">
        <v>0</v>
      </c>
      <c r="F490" s="117" t="s">
        <v>467</v>
      </c>
      <c r="G490" s="117" t="s">
        <v>1628</v>
      </c>
      <c r="H490" s="117" t="s">
        <v>1627</v>
      </c>
      <c r="I490" s="117" t="s">
        <v>1626</v>
      </c>
      <c r="J490" s="118">
        <v>-10.9424871891368</v>
      </c>
      <c r="K490" s="118">
        <v>-75.224868924777198</v>
      </c>
      <c r="L490" s="117">
        <v>110806</v>
      </c>
      <c r="M490" s="117">
        <v>120302</v>
      </c>
    </row>
    <row r="491" spans="1:13" x14ac:dyDescent="0.25">
      <c r="A491" s="120">
        <v>490</v>
      </c>
      <c r="B491" s="120">
        <v>48</v>
      </c>
      <c r="C491" s="117" t="str">
        <f>_xlfn.XLOOKUP(B491,dimUniversidades!$A:$A,dimUniversidades!$B:$B,"(sin universidad)")</f>
        <v>Universidad Nacional Intercultural de la Selva Central Juan Santos Atahualpa</v>
      </c>
      <c r="D491" s="117" t="s">
        <v>579</v>
      </c>
      <c r="E491" s="119" t="b">
        <v>0</v>
      </c>
      <c r="F491" s="117" t="s">
        <v>467</v>
      </c>
      <c r="G491" s="117" t="s">
        <v>1147</v>
      </c>
      <c r="H491" s="117" t="s">
        <v>1625</v>
      </c>
      <c r="I491" s="117" t="s">
        <v>1624</v>
      </c>
      <c r="J491" s="118">
        <v>-11.209258986436801</v>
      </c>
      <c r="K491" s="118">
        <v>-74.660757227261399</v>
      </c>
      <c r="L491" s="117">
        <v>110707</v>
      </c>
      <c r="M491" s="117">
        <v>120607</v>
      </c>
    </row>
    <row r="492" spans="1:13" x14ac:dyDescent="0.25">
      <c r="A492" s="120">
        <v>491</v>
      </c>
      <c r="B492" s="120">
        <v>48</v>
      </c>
      <c r="C492" s="117" t="str">
        <f>_xlfn.XLOOKUP(B492,dimUniversidades!$A:$A,dimUniversidades!$B:$B,"(sin universidad)")</f>
        <v>Universidad Nacional Intercultural de la Selva Central Juan Santos Atahualpa</v>
      </c>
      <c r="D492" s="117" t="s">
        <v>1165</v>
      </c>
      <c r="E492" s="119" t="b">
        <v>0</v>
      </c>
      <c r="F492" s="117" t="s">
        <v>467</v>
      </c>
      <c r="G492" s="117" t="s">
        <v>1147</v>
      </c>
      <c r="H492" s="117" t="s">
        <v>1623</v>
      </c>
      <c r="I492" s="117" t="s">
        <v>1622</v>
      </c>
      <c r="J492" s="118">
        <v>-11.332254199999999</v>
      </c>
      <c r="K492" s="118">
        <v>-74.528751</v>
      </c>
      <c r="L492" s="117">
        <v>110704</v>
      </c>
      <c r="M492" s="117">
        <v>120604</v>
      </c>
    </row>
    <row r="493" spans="1:13" x14ac:dyDescent="0.25">
      <c r="A493" s="120">
        <v>492</v>
      </c>
      <c r="B493" s="120">
        <v>49</v>
      </c>
      <c r="C493" s="117" t="str">
        <f>_xlfn.XLOOKUP(B493,dimUniversidades!$A:$A,dimUniversidades!$B:$B,"(sin universidad)")</f>
        <v>Universidad Nacional de San Antonio Abad del Cusco</v>
      </c>
      <c r="D493" s="117" t="s">
        <v>324</v>
      </c>
      <c r="E493" s="119" t="b">
        <v>1</v>
      </c>
      <c r="F493" s="117" t="s">
        <v>374</v>
      </c>
      <c r="G493" s="117" t="s">
        <v>374</v>
      </c>
      <c r="H493" s="117" t="s">
        <v>374</v>
      </c>
      <c r="I493" s="117" t="s">
        <v>1621</v>
      </c>
      <c r="J493" s="118">
        <v>-13.521929999999999</v>
      </c>
      <c r="K493" s="118">
        <v>-71.958320799999996</v>
      </c>
      <c r="L493" s="117">
        <v>70101</v>
      </c>
      <c r="M493" s="117">
        <v>80101</v>
      </c>
    </row>
    <row r="494" spans="1:13" x14ac:dyDescent="0.25">
      <c r="A494" s="120">
        <v>493</v>
      </c>
      <c r="B494" s="120">
        <v>49</v>
      </c>
      <c r="C494" s="117" t="str">
        <f>_xlfn.XLOOKUP(B494,dimUniversidades!$A:$A,dimUniversidades!$B:$B,"(sin universidad)")</f>
        <v>Universidad Nacional de San Antonio Abad del Cusco</v>
      </c>
      <c r="D494" s="117" t="s">
        <v>399</v>
      </c>
      <c r="E494" s="119" t="b">
        <v>0</v>
      </c>
      <c r="F494" s="117" t="s">
        <v>374</v>
      </c>
      <c r="G494" s="117" t="s">
        <v>374</v>
      </c>
      <c r="H494" s="117" t="s">
        <v>374</v>
      </c>
      <c r="I494" s="117" t="s">
        <v>1620</v>
      </c>
      <c r="J494" s="118">
        <v>-13.516946228478901</v>
      </c>
      <c r="K494" s="118">
        <v>-71.982721520901507</v>
      </c>
      <c r="L494" s="117">
        <v>70101</v>
      </c>
      <c r="M494" s="117">
        <v>80101</v>
      </c>
    </row>
    <row r="495" spans="1:13" x14ac:dyDescent="0.25">
      <c r="A495" s="120">
        <v>494</v>
      </c>
      <c r="B495" s="120">
        <v>49</v>
      </c>
      <c r="C495" s="117" t="str">
        <f>_xlfn.XLOOKUP(B495,dimUniversidades!$A:$A,dimUniversidades!$B:$B,"(sin universidad)")</f>
        <v>Universidad Nacional de San Antonio Abad del Cusco</v>
      </c>
      <c r="D495" s="117" t="s">
        <v>735</v>
      </c>
      <c r="E495" s="119" t="b">
        <v>0</v>
      </c>
      <c r="F495" s="117" t="s">
        <v>374</v>
      </c>
      <c r="G495" s="117" t="s">
        <v>374</v>
      </c>
      <c r="H495" s="117" t="s">
        <v>1485</v>
      </c>
      <c r="I495" s="117" t="s">
        <v>1619</v>
      </c>
      <c r="J495" s="118">
        <v>-13.5239592</v>
      </c>
      <c r="K495" s="118">
        <v>-71.969021596958896</v>
      </c>
      <c r="L495" s="117">
        <v>70104</v>
      </c>
      <c r="M495" s="117">
        <v>80104</v>
      </c>
    </row>
    <row r="496" spans="1:13" x14ac:dyDescent="0.25">
      <c r="A496" s="120">
        <v>495</v>
      </c>
      <c r="B496" s="120">
        <v>49</v>
      </c>
      <c r="C496" s="117" t="str">
        <f>_xlfn.XLOOKUP(B496,dimUniversidades!$A:$A,dimUniversidades!$B:$B,"(sin universidad)")</f>
        <v>Universidad Nacional de San Antonio Abad del Cusco</v>
      </c>
      <c r="D496" s="117" t="s">
        <v>500</v>
      </c>
      <c r="E496" s="119" t="b">
        <v>0</v>
      </c>
      <c r="F496" s="117" t="s">
        <v>374</v>
      </c>
      <c r="G496" s="117" t="s">
        <v>374</v>
      </c>
      <c r="H496" s="117" t="s">
        <v>374</v>
      </c>
      <c r="I496" s="117" t="s">
        <v>1618</v>
      </c>
      <c r="J496" s="118">
        <v>-13.5278267</v>
      </c>
      <c r="K496" s="118">
        <v>-71.942042900000004</v>
      </c>
      <c r="L496" s="117">
        <v>70101</v>
      </c>
      <c r="M496" s="117">
        <v>80101</v>
      </c>
    </row>
    <row r="497" spans="1:13" x14ac:dyDescent="0.25">
      <c r="A497" s="120">
        <v>496</v>
      </c>
      <c r="B497" s="120">
        <v>49</v>
      </c>
      <c r="C497" s="117" t="str">
        <f>_xlfn.XLOOKUP(B497,dimUniversidades!$A:$A,dimUniversidades!$B:$B,"(sin universidad)")</f>
        <v>Universidad Nacional de San Antonio Abad del Cusco</v>
      </c>
      <c r="D497" s="117" t="s">
        <v>1117</v>
      </c>
      <c r="E497" s="119" t="b">
        <v>0</v>
      </c>
      <c r="F497" s="117" t="s">
        <v>374</v>
      </c>
      <c r="G497" s="117" t="s">
        <v>374</v>
      </c>
      <c r="H497" s="117" t="s">
        <v>374</v>
      </c>
      <c r="I497" s="117" t="s">
        <v>1617</v>
      </c>
      <c r="J497" s="118">
        <v>-13.517695366504199</v>
      </c>
      <c r="K497" s="118">
        <v>-71.978564865498399</v>
      </c>
      <c r="L497" s="117">
        <v>70101</v>
      </c>
      <c r="M497" s="117">
        <v>80101</v>
      </c>
    </row>
    <row r="498" spans="1:13" x14ac:dyDescent="0.25">
      <c r="A498" s="120">
        <v>497</v>
      </c>
      <c r="B498" s="120">
        <v>49</v>
      </c>
      <c r="C498" s="117" t="str">
        <f>_xlfn.XLOOKUP(B498,dimUniversidades!$A:$A,dimUniversidades!$B:$B,"(sin universidad)")</f>
        <v>Universidad Nacional de San Antonio Abad del Cusco</v>
      </c>
      <c r="D498" s="117" t="s">
        <v>1232</v>
      </c>
      <c r="E498" s="119" t="b">
        <v>0</v>
      </c>
      <c r="F498" s="117" t="s">
        <v>374</v>
      </c>
      <c r="G498" s="117" t="s">
        <v>374</v>
      </c>
      <c r="H498" s="117" t="s">
        <v>374</v>
      </c>
      <c r="I498" s="117" t="s">
        <v>1616</v>
      </c>
      <c r="J498" s="118">
        <v>-13.516998277139001</v>
      </c>
      <c r="K498" s="118">
        <v>-71.976427745945898</v>
      </c>
      <c r="L498" s="117">
        <v>70101</v>
      </c>
      <c r="M498" s="117">
        <v>80101</v>
      </c>
    </row>
    <row r="499" spans="1:13" x14ac:dyDescent="0.25">
      <c r="A499" s="120">
        <v>498</v>
      </c>
      <c r="B499" s="120">
        <v>49</v>
      </c>
      <c r="C499" s="117" t="str">
        <f>_xlfn.XLOOKUP(B499,dimUniversidades!$A:$A,dimUniversidades!$B:$B,"(sin universidad)")</f>
        <v>Universidad Nacional de San Antonio Abad del Cusco</v>
      </c>
      <c r="D499" s="117" t="s">
        <v>1230</v>
      </c>
      <c r="E499" s="119" t="b">
        <v>0</v>
      </c>
      <c r="F499" s="117" t="s">
        <v>374</v>
      </c>
      <c r="G499" s="117" t="s">
        <v>374</v>
      </c>
      <c r="H499" s="117" t="s">
        <v>374</v>
      </c>
      <c r="I499" s="117" t="s">
        <v>1615</v>
      </c>
      <c r="J499" s="118">
        <v>-13.515450100000001</v>
      </c>
      <c r="K499" s="118">
        <v>-71.977696499999993</v>
      </c>
      <c r="L499" s="117">
        <v>70101</v>
      </c>
      <c r="M499" s="117">
        <v>80101</v>
      </c>
    </row>
    <row r="500" spans="1:13" x14ac:dyDescent="0.25">
      <c r="A500" s="120">
        <v>499</v>
      </c>
      <c r="B500" s="120">
        <v>49</v>
      </c>
      <c r="C500" s="117" t="str">
        <f>_xlfn.XLOOKUP(B500,dimUniversidades!$A:$A,dimUniversidades!$B:$B,"(sin universidad)")</f>
        <v>Universidad Nacional de San Antonio Abad del Cusco</v>
      </c>
      <c r="D500" s="117" t="s">
        <v>1227</v>
      </c>
      <c r="E500" s="119" t="b">
        <v>0</v>
      </c>
      <c r="F500" s="117" t="s">
        <v>374</v>
      </c>
      <c r="G500" s="117" t="s">
        <v>374</v>
      </c>
      <c r="H500" s="117" t="s">
        <v>374</v>
      </c>
      <c r="I500" s="117" t="s">
        <v>1614</v>
      </c>
      <c r="J500" s="118">
        <v>-13.5150522119022</v>
      </c>
      <c r="K500" s="118">
        <v>-71.980573058895502</v>
      </c>
      <c r="L500" s="117">
        <v>70101</v>
      </c>
      <c r="M500" s="117">
        <v>80101</v>
      </c>
    </row>
    <row r="501" spans="1:13" x14ac:dyDescent="0.25">
      <c r="A501" s="120">
        <v>500</v>
      </c>
      <c r="B501" s="120">
        <v>49</v>
      </c>
      <c r="C501" s="117" t="str">
        <f>_xlfn.XLOOKUP(B501,dimUniversidades!$A:$A,dimUniversidades!$B:$B,"(sin universidad)")</f>
        <v>Universidad Nacional de San Antonio Abad del Cusco</v>
      </c>
      <c r="D501" s="117" t="s">
        <v>579</v>
      </c>
      <c r="E501" s="119" t="b">
        <v>0</v>
      </c>
      <c r="F501" s="117" t="s">
        <v>374</v>
      </c>
      <c r="G501" s="117" t="s">
        <v>1613</v>
      </c>
      <c r="H501" s="117" t="s">
        <v>1612</v>
      </c>
      <c r="I501" s="117" t="s">
        <v>1611</v>
      </c>
      <c r="J501" s="118">
        <v>-14.2157425644772</v>
      </c>
      <c r="K501" s="118">
        <v>-71.431863164487496</v>
      </c>
      <c r="L501" s="117">
        <v>70501</v>
      </c>
      <c r="M501" s="117">
        <v>80501</v>
      </c>
    </row>
    <row r="502" spans="1:13" x14ac:dyDescent="0.25">
      <c r="A502" s="120">
        <v>501</v>
      </c>
      <c r="B502" s="120">
        <v>49</v>
      </c>
      <c r="C502" s="117" t="str">
        <f>_xlfn.XLOOKUP(B502,dimUniversidades!$A:$A,dimUniversidades!$B:$B,"(sin universidad)")</f>
        <v>Universidad Nacional de San Antonio Abad del Cusco</v>
      </c>
      <c r="D502" s="117" t="s">
        <v>1160</v>
      </c>
      <c r="E502" s="119" t="b">
        <v>0</v>
      </c>
      <c r="F502" s="117" t="s">
        <v>374</v>
      </c>
      <c r="G502" s="117" t="s">
        <v>577</v>
      </c>
      <c r="H502" s="117" t="s">
        <v>576</v>
      </c>
      <c r="I502" s="117" t="s">
        <v>1610</v>
      </c>
      <c r="J502" s="118">
        <v>-14.274011710153999</v>
      </c>
      <c r="K502" s="118">
        <v>-71.229704486508197</v>
      </c>
      <c r="L502" s="117">
        <v>70601</v>
      </c>
      <c r="M502" s="117">
        <v>80601</v>
      </c>
    </row>
    <row r="503" spans="1:13" x14ac:dyDescent="0.25">
      <c r="A503" s="120">
        <v>502</v>
      </c>
      <c r="B503" s="120">
        <v>49</v>
      </c>
      <c r="C503" s="117" t="str">
        <f>_xlfn.XLOOKUP(B503,dimUniversidades!$A:$A,dimUniversidades!$B:$B,"(sin universidad)")</f>
        <v>Universidad Nacional de San Antonio Abad del Cusco</v>
      </c>
      <c r="D503" s="117" t="s">
        <v>1480</v>
      </c>
      <c r="E503" s="119" t="b">
        <v>0</v>
      </c>
      <c r="F503" s="117" t="s">
        <v>374</v>
      </c>
      <c r="G503" s="117" t="s">
        <v>577</v>
      </c>
      <c r="H503" s="117" t="s">
        <v>576</v>
      </c>
      <c r="I503" s="117" t="s">
        <v>1609</v>
      </c>
      <c r="J503" s="118">
        <v>-14.2841785352597</v>
      </c>
      <c r="K503" s="118">
        <v>-71.229166914008303</v>
      </c>
      <c r="L503" s="117">
        <v>70601</v>
      </c>
      <c r="M503" s="117">
        <v>80601</v>
      </c>
    </row>
    <row r="504" spans="1:13" x14ac:dyDescent="0.25">
      <c r="A504" s="120">
        <v>503</v>
      </c>
      <c r="B504" s="120">
        <v>49</v>
      </c>
      <c r="C504" s="117" t="str">
        <f>_xlfn.XLOOKUP(B504,dimUniversidades!$A:$A,dimUniversidades!$B:$B,"(sin universidad)")</f>
        <v>Universidad Nacional de San Antonio Abad del Cusco</v>
      </c>
      <c r="D504" s="117" t="s">
        <v>550</v>
      </c>
      <c r="E504" s="119" t="b">
        <v>0</v>
      </c>
      <c r="F504" s="117" t="s">
        <v>374</v>
      </c>
      <c r="G504" s="117" t="s">
        <v>577</v>
      </c>
      <c r="H504" s="117" t="s">
        <v>1605</v>
      </c>
      <c r="I504" s="117" t="s">
        <v>1608</v>
      </c>
      <c r="J504" s="118">
        <v>-14.356810649256101</v>
      </c>
      <c r="K504" s="118">
        <v>-71.167853756343803</v>
      </c>
      <c r="L504" s="117">
        <v>70604</v>
      </c>
      <c r="M504" s="117">
        <v>80604</v>
      </c>
    </row>
    <row r="505" spans="1:13" x14ac:dyDescent="0.25">
      <c r="A505" s="120">
        <v>504</v>
      </c>
      <c r="B505" s="120">
        <v>49</v>
      </c>
      <c r="C505" s="117" t="str">
        <f>_xlfn.XLOOKUP(B505,dimUniversidades!$A:$A,dimUniversidades!$B:$B,"(sin universidad)")</f>
        <v>Universidad Nacional de San Antonio Abad del Cusco</v>
      </c>
      <c r="D505" s="117" t="s">
        <v>1607</v>
      </c>
      <c r="E505" s="119" t="b">
        <v>0</v>
      </c>
      <c r="F505" s="117" t="s">
        <v>374</v>
      </c>
      <c r="G505" s="117" t="s">
        <v>577</v>
      </c>
      <c r="H505" s="117" t="s">
        <v>576</v>
      </c>
      <c r="I505" s="117" t="s">
        <v>1606</v>
      </c>
      <c r="J505" s="118">
        <v>-14.271355894337599</v>
      </c>
      <c r="K505" s="118">
        <v>-71.222075153372899</v>
      </c>
      <c r="L505" s="117">
        <v>70601</v>
      </c>
      <c r="M505" s="117">
        <v>80601</v>
      </c>
    </row>
    <row r="506" spans="1:13" x14ac:dyDescent="0.25">
      <c r="A506" s="120">
        <v>505</v>
      </c>
      <c r="B506" s="120">
        <v>49</v>
      </c>
      <c r="C506" s="117" t="str">
        <f>_xlfn.XLOOKUP(B506,dimUniversidades!$A:$A,dimUniversidades!$B:$B,"(sin universidad)")</f>
        <v>Universidad Nacional de San Antonio Abad del Cusco</v>
      </c>
      <c r="D506" s="117" t="s">
        <v>1570</v>
      </c>
      <c r="E506" s="119" t="b">
        <v>0</v>
      </c>
      <c r="F506" s="117" t="s">
        <v>374</v>
      </c>
      <c r="G506" s="117" t="s">
        <v>577</v>
      </c>
      <c r="H506" s="117" t="s">
        <v>1605</v>
      </c>
      <c r="I506" s="117" t="s">
        <v>1604</v>
      </c>
      <c r="J506" s="118">
        <v>-14.27543899264</v>
      </c>
      <c r="K506" s="118">
        <v>-71.225779352778602</v>
      </c>
      <c r="L506" s="117">
        <v>70604</v>
      </c>
      <c r="M506" s="117">
        <v>80604</v>
      </c>
    </row>
    <row r="507" spans="1:13" x14ac:dyDescent="0.25">
      <c r="A507" s="120">
        <v>506</v>
      </c>
      <c r="B507" s="120">
        <v>49</v>
      </c>
      <c r="C507" s="117" t="str">
        <f>_xlfn.XLOOKUP(B507,dimUniversidades!$A:$A,dimUniversidades!$B:$B,"(sin universidad)")</f>
        <v>Universidad Nacional de San Antonio Abad del Cusco</v>
      </c>
      <c r="D507" s="117" t="s">
        <v>599</v>
      </c>
      <c r="E507" s="119" t="b">
        <v>0</v>
      </c>
      <c r="F507" s="117" t="s">
        <v>374</v>
      </c>
      <c r="G507" s="117" t="s">
        <v>1603</v>
      </c>
      <c r="H507" s="117" t="s">
        <v>1602</v>
      </c>
      <c r="I507" s="117" t="s">
        <v>1601</v>
      </c>
      <c r="J507" s="118">
        <v>-14.4494621789111</v>
      </c>
      <c r="K507" s="118">
        <v>-72.095953059091201</v>
      </c>
      <c r="L507" s="117">
        <v>70701</v>
      </c>
      <c r="M507" s="117">
        <v>80701</v>
      </c>
    </row>
    <row r="508" spans="1:13" x14ac:dyDescent="0.25">
      <c r="A508" s="120">
        <v>507</v>
      </c>
      <c r="B508" s="120">
        <v>49</v>
      </c>
      <c r="C508" s="117" t="str">
        <f>_xlfn.XLOOKUP(B508,dimUniversidades!$A:$A,dimUniversidades!$B:$B,"(sin universidad)")</f>
        <v>Universidad Nacional de San Antonio Abad del Cusco</v>
      </c>
      <c r="D508" s="117" t="s">
        <v>678</v>
      </c>
      <c r="E508" s="119" t="b">
        <v>0</v>
      </c>
      <c r="F508" s="117" t="s">
        <v>374</v>
      </c>
      <c r="G508" s="117" t="s">
        <v>705</v>
      </c>
      <c r="H508" s="117" t="s">
        <v>705</v>
      </c>
      <c r="I508" s="117" t="s">
        <v>1600</v>
      </c>
      <c r="J508" s="118">
        <v>-14.782935056650199</v>
      </c>
      <c r="K508" s="118">
        <v>-71.408981451034506</v>
      </c>
      <c r="L508" s="117">
        <v>70801</v>
      </c>
      <c r="M508" s="117">
        <v>80801</v>
      </c>
    </row>
    <row r="509" spans="1:13" x14ac:dyDescent="0.25">
      <c r="A509" s="120">
        <v>508</v>
      </c>
      <c r="B509" s="120">
        <v>49</v>
      </c>
      <c r="C509" s="117" t="str">
        <f>_xlfn.XLOOKUP(B509,dimUniversidades!$A:$A,dimUniversidades!$B:$B,"(sin universidad)")</f>
        <v>Universidad Nacional de San Antonio Abad del Cusco</v>
      </c>
      <c r="D509" s="117" t="s">
        <v>1153</v>
      </c>
      <c r="E509" s="119" t="b">
        <v>0</v>
      </c>
      <c r="F509" s="117" t="s">
        <v>1483</v>
      </c>
      <c r="G509" s="117" t="s">
        <v>719</v>
      </c>
      <c r="H509" s="117" t="s">
        <v>719</v>
      </c>
      <c r="I509" s="117" t="s">
        <v>1599</v>
      </c>
      <c r="J509" s="118">
        <v>-13.661734902302101</v>
      </c>
      <c r="K509" s="118">
        <v>-73.376785557672093</v>
      </c>
      <c r="L509" s="117">
        <v>30301</v>
      </c>
      <c r="M509" s="117">
        <v>30201</v>
      </c>
    </row>
    <row r="510" spans="1:13" x14ac:dyDescent="0.25">
      <c r="A510" s="120">
        <v>509</v>
      </c>
      <c r="B510" s="120">
        <v>49</v>
      </c>
      <c r="C510" s="117" t="str">
        <f>_xlfn.XLOOKUP(B510,dimUniversidades!$A:$A,dimUniversidades!$B:$B,"(sin universidad)")</f>
        <v>Universidad Nacional de San Antonio Abad del Cusco</v>
      </c>
      <c r="D510" s="117" t="s">
        <v>1598</v>
      </c>
      <c r="E510" s="119" t="b">
        <v>0</v>
      </c>
      <c r="F510" s="117" t="s">
        <v>1483</v>
      </c>
      <c r="G510" s="117" t="s">
        <v>719</v>
      </c>
      <c r="H510" s="117" t="s">
        <v>719</v>
      </c>
      <c r="I510" s="117" t="s">
        <v>1597</v>
      </c>
      <c r="J510" s="118">
        <v>-13.6609634298818</v>
      </c>
      <c r="K510" s="118">
        <v>-73.375262062951606</v>
      </c>
      <c r="L510" s="117">
        <v>30301</v>
      </c>
      <c r="M510" s="117">
        <v>30201</v>
      </c>
    </row>
    <row r="511" spans="1:13" x14ac:dyDescent="0.25">
      <c r="A511" s="120">
        <v>510</v>
      </c>
      <c r="B511" s="120">
        <v>49</v>
      </c>
      <c r="C511" s="117" t="str">
        <f>_xlfn.XLOOKUP(B511,dimUniversidades!$A:$A,dimUniversidades!$B:$B,"(sin universidad)")</f>
        <v>Universidad Nacional de San Antonio Abad del Cusco</v>
      </c>
      <c r="D511" s="117" t="s">
        <v>1148</v>
      </c>
      <c r="E511" s="119" t="b">
        <v>0</v>
      </c>
      <c r="F511" s="117" t="s">
        <v>597</v>
      </c>
      <c r="G511" s="117" t="s">
        <v>596</v>
      </c>
      <c r="H511" s="117" t="s">
        <v>596</v>
      </c>
      <c r="I511" s="117" t="s">
        <v>1596</v>
      </c>
      <c r="J511" s="118">
        <v>-12.5986375714267</v>
      </c>
      <c r="K511" s="118">
        <v>-69.187356564704103</v>
      </c>
      <c r="L511" s="117">
        <v>160101</v>
      </c>
      <c r="M511" s="117">
        <v>170101</v>
      </c>
    </row>
    <row r="512" spans="1:13" x14ac:dyDescent="0.25">
      <c r="A512" s="120">
        <v>511</v>
      </c>
      <c r="B512" s="120">
        <v>49</v>
      </c>
      <c r="C512" s="117" t="str">
        <f>_xlfn.XLOOKUP(B512,dimUniversidades!$A:$A,dimUniversidades!$B:$B,"(sin universidad)")</f>
        <v>Universidad Nacional de San Antonio Abad del Cusco</v>
      </c>
      <c r="D512" s="117" t="s">
        <v>1145</v>
      </c>
      <c r="E512" s="119" t="b">
        <v>0</v>
      </c>
      <c r="F512" s="117" t="s">
        <v>597</v>
      </c>
      <c r="G512" s="117" t="s">
        <v>1589</v>
      </c>
      <c r="H512" s="117" t="s">
        <v>1589</v>
      </c>
      <c r="I512" s="117" t="s">
        <v>1595</v>
      </c>
      <c r="J512" s="118">
        <v>-11.7503805</v>
      </c>
      <c r="K512" s="118">
        <v>-69.383107899999999</v>
      </c>
      <c r="L512" s="117">
        <v>160303</v>
      </c>
      <c r="M512" s="117">
        <v>170303</v>
      </c>
    </row>
    <row r="513" spans="1:13" x14ac:dyDescent="0.25">
      <c r="A513" s="120">
        <v>512</v>
      </c>
      <c r="B513" s="120">
        <v>49</v>
      </c>
      <c r="C513" s="117" t="str">
        <f>_xlfn.XLOOKUP(B513,dimUniversidades!$A:$A,dimUniversidades!$B:$B,"(sin universidad)")</f>
        <v>Universidad Nacional de San Antonio Abad del Cusco</v>
      </c>
      <c r="D513" s="117" t="s">
        <v>1594</v>
      </c>
      <c r="E513" s="119" t="b">
        <v>0</v>
      </c>
      <c r="F513" s="117" t="s">
        <v>597</v>
      </c>
      <c r="G513" s="117" t="s">
        <v>1589</v>
      </c>
      <c r="H513" s="117" t="s">
        <v>1589</v>
      </c>
      <c r="I513" s="117" t="s">
        <v>1593</v>
      </c>
      <c r="J513" s="118">
        <v>-11.7503805</v>
      </c>
      <c r="K513" s="118">
        <v>-69.383107899999999</v>
      </c>
      <c r="L513" s="117">
        <v>160303</v>
      </c>
      <c r="M513" s="117">
        <v>170303</v>
      </c>
    </row>
    <row r="514" spans="1:13" x14ac:dyDescent="0.25">
      <c r="A514" s="120">
        <v>513</v>
      </c>
      <c r="B514" s="120">
        <v>49</v>
      </c>
      <c r="C514" s="117" t="str">
        <f>_xlfn.XLOOKUP(B514,dimUniversidades!$A:$A,dimUniversidades!$B:$B,"(sin universidad)")</f>
        <v>Universidad Nacional de San Antonio Abad del Cusco</v>
      </c>
      <c r="D514" s="117" t="s">
        <v>1592</v>
      </c>
      <c r="E514" s="119" t="b">
        <v>0</v>
      </c>
      <c r="F514" s="117" t="s">
        <v>597</v>
      </c>
      <c r="G514" s="117" t="s">
        <v>1589</v>
      </c>
      <c r="H514" s="117" t="s">
        <v>1589</v>
      </c>
      <c r="I514" s="117" t="s">
        <v>1591</v>
      </c>
      <c r="J514" s="118">
        <v>-11.1264699</v>
      </c>
      <c r="K514" s="118">
        <v>-69.565386799999999</v>
      </c>
      <c r="L514" s="117">
        <v>160303</v>
      </c>
      <c r="M514" s="117">
        <v>170303</v>
      </c>
    </row>
    <row r="515" spans="1:13" x14ac:dyDescent="0.25">
      <c r="A515" s="120">
        <v>514</v>
      </c>
      <c r="B515" s="120">
        <v>49</v>
      </c>
      <c r="C515" s="117" t="str">
        <f>_xlfn.XLOOKUP(B515,dimUniversidades!$A:$A,dimUniversidades!$B:$B,"(sin universidad)")</f>
        <v>Universidad Nacional de San Antonio Abad del Cusco</v>
      </c>
      <c r="D515" s="117" t="s">
        <v>1590</v>
      </c>
      <c r="E515" s="119" t="b">
        <v>0</v>
      </c>
      <c r="F515" s="117" t="s">
        <v>597</v>
      </c>
      <c r="G515" s="117" t="s">
        <v>1589</v>
      </c>
      <c r="H515" s="117" t="s">
        <v>1589</v>
      </c>
      <c r="I515" s="117" t="s">
        <v>1588</v>
      </c>
      <c r="J515" s="118">
        <v>-11.7503805</v>
      </c>
      <c r="K515" s="118">
        <v>-69.383107899999999</v>
      </c>
      <c r="L515" s="117">
        <v>160303</v>
      </c>
      <c r="M515" s="117">
        <v>170303</v>
      </c>
    </row>
    <row r="516" spans="1:13" x14ac:dyDescent="0.25">
      <c r="A516" s="120">
        <v>515</v>
      </c>
      <c r="B516" s="120">
        <v>50</v>
      </c>
      <c r="C516" s="117" t="str">
        <f>_xlfn.XLOOKUP(B516,dimUniversidades!$A:$A,dimUniversidades!$B:$B,"(sin universidad)")</f>
        <v>Universidad Nacional Intercultural de la Amazonía</v>
      </c>
      <c r="D516" s="117" t="s">
        <v>324</v>
      </c>
      <c r="E516" s="119" t="b">
        <v>1</v>
      </c>
      <c r="F516" s="117" t="s">
        <v>1152</v>
      </c>
      <c r="G516" s="117" t="s">
        <v>1151</v>
      </c>
      <c r="H516" s="117" t="s">
        <v>1586</v>
      </c>
      <c r="I516" s="117" t="s">
        <v>1587</v>
      </c>
      <c r="J516" s="118">
        <v>-8.3478338999999995</v>
      </c>
      <c r="K516" s="118">
        <v>-74.590666299999995</v>
      </c>
      <c r="L516" s="117">
        <v>250102</v>
      </c>
      <c r="M516" s="117">
        <v>250105</v>
      </c>
    </row>
    <row r="517" spans="1:13" x14ac:dyDescent="0.25">
      <c r="A517" s="120">
        <v>516</v>
      </c>
      <c r="B517" s="120">
        <v>50</v>
      </c>
      <c r="C517" s="117" t="str">
        <f>_xlfn.XLOOKUP(B517,dimUniversidades!$A:$A,dimUniversidades!$B:$B,"(sin universidad)")</f>
        <v>Universidad Nacional Intercultural de la Amazonía</v>
      </c>
      <c r="D517" s="117" t="s">
        <v>399</v>
      </c>
      <c r="E517" s="119" t="b">
        <v>0</v>
      </c>
      <c r="F517" s="117" t="s">
        <v>1152</v>
      </c>
      <c r="G517" s="117" t="s">
        <v>1151</v>
      </c>
      <c r="H517" s="117" t="s">
        <v>1586</v>
      </c>
      <c r="I517" s="117" t="s">
        <v>1585</v>
      </c>
      <c r="J517" s="118">
        <v>-8.3631138000000007</v>
      </c>
      <c r="K517" s="118">
        <v>-74.567680899999999</v>
      </c>
      <c r="L517" s="117">
        <v>250102</v>
      </c>
      <c r="M517" s="117">
        <v>250105</v>
      </c>
    </row>
    <row r="518" spans="1:13" x14ac:dyDescent="0.25">
      <c r="A518" s="120">
        <v>517</v>
      </c>
      <c r="B518" s="120">
        <v>51</v>
      </c>
      <c r="C518" s="117" t="str">
        <f>_xlfn.XLOOKUP(B518,dimUniversidades!$A:$A,dimUniversidades!$B:$B,"(sin universidad)")</f>
        <v>Universidad Nacional de Ingeniería</v>
      </c>
      <c r="D518" s="117" t="s">
        <v>324</v>
      </c>
      <c r="E518" s="119" t="b">
        <v>1</v>
      </c>
      <c r="F518" s="117" t="s">
        <v>385</v>
      </c>
      <c r="G518" s="117" t="s">
        <v>385</v>
      </c>
      <c r="H518" s="117" t="s">
        <v>1584</v>
      </c>
      <c r="I518" s="117" t="s">
        <v>1583</v>
      </c>
      <c r="J518" s="118">
        <v>-12.0237388264957</v>
      </c>
      <c r="K518" s="118">
        <v>-77.048376205978002</v>
      </c>
      <c r="L518" s="117">
        <v>140122</v>
      </c>
      <c r="M518" s="117">
        <v>150128</v>
      </c>
    </row>
    <row r="519" spans="1:13" x14ac:dyDescent="0.25">
      <c r="A519" s="120">
        <v>518</v>
      </c>
      <c r="B519" s="120">
        <v>51</v>
      </c>
      <c r="C519" s="117" t="str">
        <f>_xlfn.XLOOKUP(B519,dimUniversidades!$A:$A,dimUniversidades!$B:$B,"(sin universidad)")</f>
        <v>Universidad Nacional de Ingeniería</v>
      </c>
      <c r="D519" s="117" t="s">
        <v>399</v>
      </c>
      <c r="E519" s="119" t="b">
        <v>0</v>
      </c>
      <c r="F519" s="117" t="s">
        <v>385</v>
      </c>
      <c r="G519" s="117" t="s">
        <v>385</v>
      </c>
      <c r="H519" s="117" t="s">
        <v>428</v>
      </c>
      <c r="I519" s="117" t="s">
        <v>1582</v>
      </c>
      <c r="J519" s="118">
        <v>-12.069862799999999</v>
      </c>
      <c r="K519" s="118">
        <v>-76.954763400000004</v>
      </c>
      <c r="L519" s="117">
        <v>140110</v>
      </c>
      <c r="M519" s="117">
        <v>150114</v>
      </c>
    </row>
    <row r="520" spans="1:13" x14ac:dyDescent="0.25">
      <c r="A520" s="120">
        <v>519</v>
      </c>
      <c r="B520" s="120">
        <v>51</v>
      </c>
      <c r="C520" s="117" t="str">
        <f>_xlfn.XLOOKUP(B520,dimUniversidades!$A:$A,dimUniversidades!$B:$B,"(sin universidad)")</f>
        <v>Universidad Nacional de Ingeniería</v>
      </c>
      <c r="D520" s="117" t="s">
        <v>735</v>
      </c>
      <c r="E520" s="119" t="b">
        <v>0</v>
      </c>
      <c r="F520" s="117" t="s">
        <v>385</v>
      </c>
      <c r="G520" s="117" t="s">
        <v>385</v>
      </c>
      <c r="H520" s="117" t="s">
        <v>1302</v>
      </c>
      <c r="I520" s="117" t="s">
        <v>1581</v>
      </c>
      <c r="J520" s="118">
        <v>-12.084135118256301</v>
      </c>
      <c r="K520" s="118">
        <v>-76.996699188954906</v>
      </c>
      <c r="L520" s="117">
        <v>140140</v>
      </c>
      <c r="M520" s="117">
        <v>150130</v>
      </c>
    </row>
    <row r="521" spans="1:13" x14ac:dyDescent="0.25">
      <c r="A521" s="120">
        <v>520</v>
      </c>
      <c r="B521" s="120">
        <v>51</v>
      </c>
      <c r="C521" s="117" t="str">
        <f>_xlfn.XLOOKUP(B521,dimUniversidades!$A:$A,dimUniversidades!$B:$B,"(sin universidad)")</f>
        <v>Universidad Nacional de Ingeniería</v>
      </c>
      <c r="D521" s="117" t="s">
        <v>500</v>
      </c>
      <c r="E521" s="119" t="b">
        <v>0</v>
      </c>
      <c r="F521" s="117" t="s">
        <v>385</v>
      </c>
      <c r="G521" s="117" t="s">
        <v>385</v>
      </c>
      <c r="H521" s="117" t="s">
        <v>664</v>
      </c>
      <c r="I521" s="117" t="s">
        <v>1580</v>
      </c>
      <c r="J521" s="118">
        <v>-12.130280021874899</v>
      </c>
      <c r="K521" s="118">
        <v>-77.028798752149598</v>
      </c>
      <c r="L521" s="117">
        <v>140115</v>
      </c>
      <c r="M521" s="117">
        <v>150122</v>
      </c>
    </row>
    <row r="522" spans="1:13" x14ac:dyDescent="0.25">
      <c r="A522" s="120">
        <v>521</v>
      </c>
      <c r="B522" s="120">
        <v>52</v>
      </c>
      <c r="C522" s="117" t="str">
        <f>_xlfn.XLOOKUP(B522,dimUniversidades!$A:$A,dimUniversidades!$B:$B,"(sin universidad)")</f>
        <v>Universidad Nacional de Frontera</v>
      </c>
      <c r="D522" s="117" t="s">
        <v>324</v>
      </c>
      <c r="E522" s="119" t="b">
        <v>1</v>
      </c>
      <c r="F522" s="117" t="s">
        <v>622</v>
      </c>
      <c r="G522" s="117" t="s">
        <v>621</v>
      </c>
      <c r="H522" s="117" t="s">
        <v>621</v>
      </c>
      <c r="I522" s="117" t="s">
        <v>1579</v>
      </c>
      <c r="J522" s="118">
        <v>-4.9099822236249198</v>
      </c>
      <c r="K522" s="118">
        <v>-80.728441104218305</v>
      </c>
      <c r="L522" s="117">
        <v>190601</v>
      </c>
      <c r="M522" s="117">
        <v>200601</v>
      </c>
    </row>
    <row r="523" spans="1:13" x14ac:dyDescent="0.25">
      <c r="A523" s="120">
        <v>522</v>
      </c>
      <c r="B523" s="120">
        <v>53</v>
      </c>
      <c r="C523" s="117" t="str">
        <f>_xlfn.XLOOKUP(B523,dimUniversidades!$A:$A,dimUniversidades!$B:$B,"(sin universidad)")</f>
        <v>Universidad Nacional Micaela Bastidas de Apurímac</v>
      </c>
      <c r="D523" s="117" t="s">
        <v>324</v>
      </c>
      <c r="E523" s="119" t="b">
        <v>1</v>
      </c>
      <c r="F523" s="117" t="s">
        <v>1483</v>
      </c>
      <c r="G523" s="117" t="s">
        <v>438</v>
      </c>
      <c r="H523" s="117" t="s">
        <v>437</v>
      </c>
      <c r="I523" s="117" t="s">
        <v>1578</v>
      </c>
      <c r="J523" s="118">
        <v>-13.617555843686301</v>
      </c>
      <c r="K523" s="118">
        <v>-72.868156308208995</v>
      </c>
      <c r="L523" s="117">
        <v>30109</v>
      </c>
      <c r="M523" s="117">
        <v>30109</v>
      </c>
    </row>
    <row r="524" spans="1:13" x14ac:dyDescent="0.25">
      <c r="A524" s="120">
        <v>523</v>
      </c>
      <c r="B524" s="120">
        <v>53</v>
      </c>
      <c r="C524" s="117" t="str">
        <f>_xlfn.XLOOKUP(B524,dimUniversidades!$A:$A,dimUniversidades!$B:$B,"(sin universidad)")</f>
        <v>Universidad Nacional Micaela Bastidas de Apurímac</v>
      </c>
      <c r="D524" s="117" t="s">
        <v>399</v>
      </c>
      <c r="E524" s="119" t="b">
        <v>0</v>
      </c>
      <c r="F524" s="117" t="s">
        <v>1483</v>
      </c>
      <c r="G524" s="117" t="s">
        <v>438</v>
      </c>
      <c r="H524" s="117" t="s">
        <v>438</v>
      </c>
      <c r="I524" s="117" t="s">
        <v>1577</v>
      </c>
      <c r="J524" s="118">
        <v>-13.641894977790299</v>
      </c>
      <c r="K524" s="118">
        <v>-72.8880333159386</v>
      </c>
      <c r="L524" s="117">
        <v>30101</v>
      </c>
      <c r="M524" s="117">
        <v>30101</v>
      </c>
    </row>
    <row r="525" spans="1:13" x14ac:dyDescent="0.25">
      <c r="A525" s="120">
        <v>524</v>
      </c>
      <c r="B525" s="120">
        <v>53</v>
      </c>
      <c r="C525" s="117" t="str">
        <f>_xlfn.XLOOKUP(B525,dimUniversidades!$A:$A,dimUniversidades!$B:$B,"(sin universidad)")</f>
        <v>Universidad Nacional Micaela Bastidas de Apurímac</v>
      </c>
      <c r="D525" s="117" t="s">
        <v>1165</v>
      </c>
      <c r="E525" s="119" t="b">
        <v>0</v>
      </c>
      <c r="F525" s="117" t="s">
        <v>1483</v>
      </c>
      <c r="G525" s="117" t="s">
        <v>1576</v>
      </c>
      <c r="H525" s="117" t="s">
        <v>1575</v>
      </c>
      <c r="I525" s="117" t="s">
        <v>1574</v>
      </c>
      <c r="J525" s="118">
        <v>-14.0775087813523</v>
      </c>
      <c r="K525" s="118">
        <v>-72.627986714094604</v>
      </c>
      <c r="L525" s="117">
        <v>30611</v>
      </c>
      <c r="M525" s="117">
        <v>30712</v>
      </c>
    </row>
    <row r="526" spans="1:13" x14ac:dyDescent="0.25">
      <c r="A526" s="120">
        <v>525</v>
      </c>
      <c r="B526" s="120">
        <v>53</v>
      </c>
      <c r="C526" s="117" t="str">
        <f>_xlfn.XLOOKUP(B526,dimUniversidades!$A:$A,dimUniversidades!$B:$B,"(sin universidad)")</f>
        <v>Universidad Nacional Micaela Bastidas de Apurímac</v>
      </c>
      <c r="D526" s="117" t="s">
        <v>1160</v>
      </c>
      <c r="E526" s="119" t="b">
        <v>0</v>
      </c>
      <c r="F526" s="117" t="s">
        <v>1483</v>
      </c>
      <c r="G526" s="117" t="s">
        <v>1569</v>
      </c>
      <c r="H526" s="117" t="s">
        <v>1573</v>
      </c>
      <c r="I526" s="117" t="s">
        <v>1572</v>
      </c>
      <c r="J526" s="118">
        <v>-13.9436715027965</v>
      </c>
      <c r="K526" s="118">
        <v>-72.175431901188702</v>
      </c>
      <c r="L526" s="117">
        <v>30501</v>
      </c>
      <c r="M526" s="117">
        <v>30501</v>
      </c>
    </row>
    <row r="527" spans="1:13" x14ac:dyDescent="0.25">
      <c r="A527" s="120">
        <v>526</v>
      </c>
      <c r="B527" s="120">
        <v>53</v>
      </c>
      <c r="C527" s="117" t="str">
        <f>_xlfn.XLOOKUP(B527,dimUniversidades!$A:$A,dimUniversidades!$B:$B,"(sin universidad)")</f>
        <v>Universidad Nacional Micaela Bastidas de Apurímac</v>
      </c>
      <c r="D527" s="117" t="s">
        <v>550</v>
      </c>
      <c r="E527" s="119" t="b">
        <v>0</v>
      </c>
      <c r="F527" s="117" t="s">
        <v>1483</v>
      </c>
      <c r="G527" s="117" t="s">
        <v>1569</v>
      </c>
      <c r="H527" s="117" t="s">
        <v>1568</v>
      </c>
      <c r="I527" s="117" t="s">
        <v>1571</v>
      </c>
      <c r="J527" s="118">
        <v>-14.2144626935026</v>
      </c>
      <c r="K527" s="118">
        <v>-72.188158746747604</v>
      </c>
      <c r="L527" s="117">
        <v>30504</v>
      </c>
      <c r="M527" s="117">
        <v>30504</v>
      </c>
    </row>
    <row r="528" spans="1:13" x14ac:dyDescent="0.25">
      <c r="A528" s="120">
        <v>527</v>
      </c>
      <c r="B528" s="120">
        <v>53</v>
      </c>
      <c r="C528" s="117" t="str">
        <f>_xlfn.XLOOKUP(B528,dimUniversidades!$A:$A,dimUniversidades!$B:$B,"(sin universidad)")</f>
        <v>Universidad Nacional Micaela Bastidas de Apurímac</v>
      </c>
      <c r="D528" s="117" t="s">
        <v>1570</v>
      </c>
      <c r="E528" s="119" t="b">
        <v>0</v>
      </c>
      <c r="F528" s="117" t="s">
        <v>1483</v>
      </c>
      <c r="G528" s="117" t="s">
        <v>1569</v>
      </c>
      <c r="H528" s="117" t="s">
        <v>1568</v>
      </c>
      <c r="I528" s="117" t="s">
        <v>1567</v>
      </c>
      <c r="J528" s="118">
        <v>-14.2117521396369</v>
      </c>
      <c r="K528" s="118">
        <v>-72.189949996364604</v>
      </c>
      <c r="L528" s="117">
        <v>30504</v>
      </c>
      <c r="M528" s="117">
        <v>30504</v>
      </c>
    </row>
    <row r="529" spans="1:13" x14ac:dyDescent="0.25">
      <c r="A529" s="120">
        <v>528</v>
      </c>
      <c r="B529" s="120">
        <v>54</v>
      </c>
      <c r="C529" s="117" t="str">
        <f>_xlfn.XLOOKUP(B529,dimUniversidades!$A:$A,dimUniversidades!$B:$B,"(sin universidad)")</f>
        <v>Pontificia Universidad Católica del Perú</v>
      </c>
      <c r="D529" s="117" t="s">
        <v>324</v>
      </c>
      <c r="E529" s="119" t="b">
        <v>1</v>
      </c>
      <c r="F529" s="117" t="s">
        <v>385</v>
      </c>
      <c r="G529" s="117" t="s">
        <v>385</v>
      </c>
      <c r="H529" s="117" t="s">
        <v>1531</v>
      </c>
      <c r="I529" s="117" t="s">
        <v>1566</v>
      </c>
      <c r="J529" s="118">
        <v>-12.0714985196764</v>
      </c>
      <c r="K529" s="118">
        <v>-77.078386610767296</v>
      </c>
      <c r="L529" s="117">
        <v>140127</v>
      </c>
      <c r="M529" s="117">
        <v>150136</v>
      </c>
    </row>
    <row r="530" spans="1:13" x14ac:dyDescent="0.25">
      <c r="A530" s="120">
        <v>529</v>
      </c>
      <c r="B530" s="120">
        <v>54</v>
      </c>
      <c r="C530" s="117" t="str">
        <f>_xlfn.XLOOKUP(B530,dimUniversidades!$A:$A,dimUniversidades!$B:$B,"(sin universidad)")</f>
        <v>Pontificia Universidad Católica del Perú</v>
      </c>
      <c r="D530" s="117" t="s">
        <v>399</v>
      </c>
      <c r="E530" s="119" t="b">
        <v>0</v>
      </c>
      <c r="F530" s="117" t="s">
        <v>385</v>
      </c>
      <c r="G530" s="117" t="s">
        <v>385</v>
      </c>
      <c r="H530" s="117" t="s">
        <v>542</v>
      </c>
      <c r="I530" s="117" t="s">
        <v>1565</v>
      </c>
      <c r="J530" s="118">
        <v>-12.105257530845</v>
      </c>
      <c r="K530" s="118">
        <v>-76.955979906151597</v>
      </c>
      <c r="L530" s="117">
        <v>140130</v>
      </c>
      <c r="M530" s="117">
        <v>150140</v>
      </c>
    </row>
    <row r="531" spans="1:13" x14ac:dyDescent="0.25">
      <c r="A531" s="120">
        <v>530</v>
      </c>
      <c r="B531" s="120">
        <v>54</v>
      </c>
      <c r="C531" s="117" t="str">
        <f>_xlfn.XLOOKUP(B531,dimUniversidades!$A:$A,dimUniversidades!$B:$B,"(sin universidad)")</f>
        <v>Pontificia Universidad Católica del Perú</v>
      </c>
      <c r="D531" s="117" t="s">
        <v>735</v>
      </c>
      <c r="E531" s="119" t="b">
        <v>0</v>
      </c>
      <c r="F531" s="117" t="s">
        <v>385</v>
      </c>
      <c r="G531" s="117" t="s">
        <v>385</v>
      </c>
      <c r="H531" s="117" t="s">
        <v>1531</v>
      </c>
      <c r="I531" s="117" t="s">
        <v>1564</v>
      </c>
      <c r="J531" s="118">
        <v>-12.0787581</v>
      </c>
      <c r="K531" s="118">
        <v>-77.081106500000004</v>
      </c>
      <c r="L531" s="117">
        <v>140127</v>
      </c>
      <c r="M531" s="117">
        <v>150136</v>
      </c>
    </row>
    <row r="532" spans="1:13" x14ac:dyDescent="0.25">
      <c r="A532" s="120">
        <v>531</v>
      </c>
      <c r="B532" s="120">
        <v>54</v>
      </c>
      <c r="C532" s="117" t="str">
        <f>_xlfn.XLOOKUP(B532,dimUniversidades!$A:$A,dimUniversidades!$B:$B,"(sin universidad)")</f>
        <v>Pontificia Universidad Católica del Perú</v>
      </c>
      <c r="D532" s="117" t="s">
        <v>500</v>
      </c>
      <c r="E532" s="119" t="b">
        <v>0</v>
      </c>
      <c r="F532" s="117" t="s">
        <v>385</v>
      </c>
      <c r="G532" s="117" t="s">
        <v>385</v>
      </c>
      <c r="H532" s="117" t="s">
        <v>1179</v>
      </c>
      <c r="I532" s="117" t="s">
        <v>1563</v>
      </c>
      <c r="J532" s="118">
        <v>-12.072091625291099</v>
      </c>
      <c r="K532" s="118">
        <v>-77.0779371251312</v>
      </c>
      <c r="L532" s="117">
        <v>140117</v>
      </c>
      <c r="M532" s="117">
        <v>150121</v>
      </c>
    </row>
    <row r="533" spans="1:13" x14ac:dyDescent="0.25">
      <c r="A533" s="120">
        <v>532</v>
      </c>
      <c r="B533" s="120">
        <v>54</v>
      </c>
      <c r="C533" s="117" t="str">
        <f>_xlfn.XLOOKUP(B533,dimUniversidades!$A:$A,dimUniversidades!$B:$B,"(sin universidad)")</f>
        <v>Pontificia Universidad Católica del Perú</v>
      </c>
      <c r="D533" s="117" t="s">
        <v>1117</v>
      </c>
      <c r="E533" s="119" t="b">
        <v>0</v>
      </c>
      <c r="F533" s="117" t="s">
        <v>385</v>
      </c>
      <c r="G533" s="117" t="s">
        <v>385</v>
      </c>
      <c r="H533" s="117" t="s">
        <v>1226</v>
      </c>
      <c r="I533" s="117" t="s">
        <v>1562</v>
      </c>
      <c r="J533" s="118">
        <v>-12.104621921907199</v>
      </c>
      <c r="K533" s="118">
        <v>-77.038721179762305</v>
      </c>
      <c r="L533" s="117">
        <v>140124</v>
      </c>
      <c r="M533" s="117">
        <v>150131</v>
      </c>
    </row>
    <row r="534" spans="1:13" x14ac:dyDescent="0.25">
      <c r="A534" s="120">
        <v>533</v>
      </c>
      <c r="B534" s="120">
        <v>54</v>
      </c>
      <c r="C534" s="117" t="str">
        <f>_xlfn.XLOOKUP(B534,dimUniversidades!$A:$A,dimUniversidades!$B:$B,"(sin universidad)")</f>
        <v>Pontificia Universidad Católica del Perú</v>
      </c>
      <c r="D534" s="117" t="s">
        <v>1232</v>
      </c>
      <c r="E534" s="119" t="b">
        <v>0</v>
      </c>
      <c r="F534" s="117" t="s">
        <v>385</v>
      </c>
      <c r="G534" s="117" t="s">
        <v>385</v>
      </c>
      <c r="H534" s="117" t="s">
        <v>1302</v>
      </c>
      <c r="I534" s="117" t="s">
        <v>1561</v>
      </c>
      <c r="J534" s="118">
        <v>-12.1103136</v>
      </c>
      <c r="K534" s="118">
        <v>-76.983070600000005</v>
      </c>
      <c r="L534" s="117">
        <v>140140</v>
      </c>
      <c r="M534" s="117">
        <v>150130</v>
      </c>
    </row>
    <row r="535" spans="1:13" x14ac:dyDescent="0.25">
      <c r="A535" s="120">
        <v>534</v>
      </c>
      <c r="B535" s="120">
        <v>54</v>
      </c>
      <c r="C535" s="117" t="str">
        <f>_xlfn.XLOOKUP(B535,dimUniversidades!$A:$A,dimUniversidades!$B:$B,"(sin universidad)")</f>
        <v>Pontificia Universidad Católica del Perú</v>
      </c>
      <c r="D535" s="117" t="s">
        <v>1230</v>
      </c>
      <c r="E535" s="119" t="b">
        <v>0</v>
      </c>
      <c r="F535" s="117" t="s">
        <v>385</v>
      </c>
      <c r="G535" s="117" t="s">
        <v>385</v>
      </c>
      <c r="H535" s="117" t="s">
        <v>428</v>
      </c>
      <c r="I535" s="117" t="s">
        <v>1560</v>
      </c>
      <c r="J535" s="118">
        <v>-12.0733789</v>
      </c>
      <c r="K535" s="118">
        <v>-76.961325099999996</v>
      </c>
      <c r="L535" s="117">
        <v>140110</v>
      </c>
      <c r="M535" s="117">
        <v>150114</v>
      </c>
    </row>
    <row r="536" spans="1:13" x14ac:dyDescent="0.25">
      <c r="A536" s="120">
        <v>535</v>
      </c>
      <c r="B536" s="120">
        <v>54</v>
      </c>
      <c r="C536" s="117" t="str">
        <f>_xlfn.XLOOKUP(B536,dimUniversidades!$A:$A,dimUniversidades!$B:$B,"(sin universidad)")</f>
        <v>Pontificia Universidad Católica del Perú</v>
      </c>
      <c r="D536" s="117" t="s">
        <v>1227</v>
      </c>
      <c r="E536" s="119" t="b">
        <v>0</v>
      </c>
      <c r="F536" s="117" t="s">
        <v>385</v>
      </c>
      <c r="G536" s="117" t="s">
        <v>385</v>
      </c>
      <c r="H536" s="117" t="s">
        <v>1226</v>
      </c>
      <c r="I536" s="117" t="s">
        <v>1559</v>
      </c>
      <c r="J536" s="118">
        <v>-12.1046160611826</v>
      </c>
      <c r="K536" s="118">
        <v>-77.038701411639394</v>
      </c>
      <c r="L536" s="117">
        <v>140124</v>
      </c>
      <c r="M536" s="117">
        <v>150131</v>
      </c>
    </row>
    <row r="537" spans="1:13" x14ac:dyDescent="0.25">
      <c r="A537" s="120">
        <v>536</v>
      </c>
      <c r="B537" s="120">
        <v>54</v>
      </c>
      <c r="C537" s="117" t="str">
        <f>_xlfn.XLOOKUP(B537,dimUniversidades!$A:$A,dimUniversidades!$B:$B,"(sin universidad)")</f>
        <v>Pontificia Universidad Católica del Perú</v>
      </c>
      <c r="D537" s="117" t="s">
        <v>1419</v>
      </c>
      <c r="E537" s="119" t="b">
        <v>0</v>
      </c>
      <c r="F537" s="117" t="s">
        <v>385</v>
      </c>
      <c r="G537" s="117" t="s">
        <v>385</v>
      </c>
      <c r="H537" s="117" t="s">
        <v>1529</v>
      </c>
      <c r="I537" s="117" t="s">
        <v>1558</v>
      </c>
      <c r="J537" s="118">
        <v>-12.187328000000001</v>
      </c>
      <c r="K537" s="118">
        <v>-76.995626999999999</v>
      </c>
      <c r="L537" s="117">
        <v>140108</v>
      </c>
      <c r="M537" s="117">
        <v>150108</v>
      </c>
    </row>
    <row r="538" spans="1:13" x14ac:dyDescent="0.25">
      <c r="A538" s="120">
        <v>537</v>
      </c>
      <c r="B538" s="120">
        <v>55</v>
      </c>
      <c r="C538" s="117" t="str">
        <f>_xlfn.XLOOKUP(B538,dimUniversidades!$A:$A,dimUniversidades!$B:$B,"(sin universidad)")</f>
        <v>Universidad Nacional José Faustino Sánchez Carrión</v>
      </c>
      <c r="D538" s="117" t="s">
        <v>324</v>
      </c>
      <c r="E538" s="119" t="b">
        <v>1</v>
      </c>
      <c r="F538" s="117" t="s">
        <v>385</v>
      </c>
      <c r="G538" s="117" t="s">
        <v>405</v>
      </c>
      <c r="H538" s="117" t="s">
        <v>404</v>
      </c>
      <c r="I538" s="117" t="s">
        <v>406</v>
      </c>
      <c r="J538" s="118">
        <v>-11.1220683748111</v>
      </c>
      <c r="K538" s="118">
        <v>-77.606769106745901</v>
      </c>
      <c r="L538" s="117">
        <v>140501</v>
      </c>
      <c r="M538" s="117">
        <v>150801</v>
      </c>
    </row>
    <row r="539" spans="1:13" x14ac:dyDescent="0.25">
      <c r="A539" s="120">
        <v>538</v>
      </c>
      <c r="B539" s="120">
        <v>55</v>
      </c>
      <c r="C539" s="117" t="str">
        <f>_xlfn.XLOOKUP(B539,dimUniversidades!$A:$A,dimUniversidades!$B:$B,"(sin universidad)")</f>
        <v>Universidad Nacional José Faustino Sánchez Carrión</v>
      </c>
      <c r="D539" s="117" t="s">
        <v>579</v>
      </c>
      <c r="E539" s="119" t="b">
        <v>0</v>
      </c>
      <c r="F539" s="117" t="s">
        <v>1134</v>
      </c>
      <c r="G539" s="117" t="s">
        <v>1557</v>
      </c>
      <c r="H539" s="117" t="s">
        <v>1557</v>
      </c>
      <c r="I539" s="117" t="s">
        <v>1556</v>
      </c>
      <c r="J539" s="118">
        <v>-9.3464141000000005</v>
      </c>
      <c r="K539" s="118">
        <v>-77.169051100000004</v>
      </c>
      <c r="L539" s="117">
        <v>20801</v>
      </c>
      <c r="M539" s="117">
        <v>21001</v>
      </c>
    </row>
    <row r="540" spans="1:13" x14ac:dyDescent="0.25">
      <c r="A540" s="120">
        <v>539</v>
      </c>
      <c r="B540" s="120">
        <v>55</v>
      </c>
      <c r="C540" s="117" t="str">
        <f>_xlfn.XLOOKUP(B540,dimUniversidades!$A:$A,dimUniversidades!$B:$B,"(sin universidad)")</f>
        <v>Universidad Nacional José Faustino Sánchez Carrión</v>
      </c>
      <c r="D540" s="117" t="s">
        <v>1160</v>
      </c>
      <c r="E540" s="119" t="b">
        <v>0</v>
      </c>
      <c r="F540" s="117" t="s">
        <v>385</v>
      </c>
      <c r="G540" s="117" t="s">
        <v>1555</v>
      </c>
      <c r="H540" s="117" t="s">
        <v>1554</v>
      </c>
      <c r="I540" s="117" t="s">
        <v>1553</v>
      </c>
      <c r="J540" s="118">
        <v>-10.667127900000001</v>
      </c>
      <c r="K540" s="118">
        <v>-76.769720100000001</v>
      </c>
      <c r="L540" s="117">
        <v>141001</v>
      </c>
      <c r="M540" s="117">
        <v>150901</v>
      </c>
    </row>
    <row r="541" spans="1:13" x14ac:dyDescent="0.25">
      <c r="A541" s="120">
        <v>540</v>
      </c>
      <c r="B541" s="120">
        <v>55</v>
      </c>
      <c r="C541" s="117" t="str">
        <f>_xlfn.XLOOKUP(B541,dimUniversidades!$A:$A,dimUniversidades!$B:$B,"(sin universidad)")</f>
        <v>Universidad Nacional José Faustino Sánchez Carrión</v>
      </c>
      <c r="D541" s="117" t="s">
        <v>599</v>
      </c>
      <c r="E541" s="119" t="b">
        <v>0</v>
      </c>
      <c r="F541" s="117" t="s">
        <v>385</v>
      </c>
      <c r="G541" s="117" t="s">
        <v>1159</v>
      </c>
      <c r="H541" s="117" t="s">
        <v>1209</v>
      </c>
      <c r="I541" s="117" t="s">
        <v>1552</v>
      </c>
      <c r="J541" s="118">
        <v>-12.9609585</v>
      </c>
      <c r="K541" s="118">
        <v>-76.1405855</v>
      </c>
      <c r="L541" s="117">
        <v>140407</v>
      </c>
      <c r="M541" s="117">
        <v>150508</v>
      </c>
    </row>
    <row r="542" spans="1:13" x14ac:dyDescent="0.25">
      <c r="A542" s="120">
        <v>541</v>
      </c>
      <c r="B542" s="120">
        <v>55</v>
      </c>
      <c r="C542" s="117" t="str">
        <f>_xlfn.XLOOKUP(B542,dimUniversidades!$A:$A,dimUniversidades!$B:$B,"(sin universidad)")</f>
        <v>Universidad Nacional José Faustino Sánchez Carrión</v>
      </c>
      <c r="D542" s="117" t="s">
        <v>678</v>
      </c>
      <c r="E542" s="119" t="b">
        <v>0</v>
      </c>
      <c r="F542" s="117" t="s">
        <v>322</v>
      </c>
      <c r="G542" s="117" t="s">
        <v>1551</v>
      </c>
      <c r="H542" s="117" t="s">
        <v>1550</v>
      </c>
      <c r="I542" s="117" t="s">
        <v>1549</v>
      </c>
      <c r="J542" s="118">
        <v>-15.2005535</v>
      </c>
      <c r="K542" s="118">
        <v>-69.766645199999999</v>
      </c>
      <c r="L542" s="117">
        <v>200501</v>
      </c>
      <c r="M542" s="117">
        <v>210601</v>
      </c>
    </row>
    <row r="543" spans="1:13" x14ac:dyDescent="0.25">
      <c r="A543" s="120">
        <v>542</v>
      </c>
      <c r="B543" s="120">
        <v>56</v>
      </c>
      <c r="C543" s="117" t="str">
        <f>_xlfn.XLOOKUP(B543,dimUniversidades!$A:$A,dimUniversidades!$B:$B,"(sin universidad)")</f>
        <v>Universidad Peruana Unión</v>
      </c>
      <c r="D543" s="117" t="s">
        <v>324</v>
      </c>
      <c r="E543" s="119" t="b">
        <v>1</v>
      </c>
      <c r="F543" s="117" t="s">
        <v>385</v>
      </c>
      <c r="G543" s="117" t="s">
        <v>385</v>
      </c>
      <c r="H543" s="117" t="s">
        <v>695</v>
      </c>
      <c r="I543" s="117" t="s">
        <v>1548</v>
      </c>
      <c r="J543" s="118">
        <v>-11.989087</v>
      </c>
      <c r="K543" s="118">
        <v>-76.839662000000004</v>
      </c>
      <c r="L543" s="117">
        <v>140112</v>
      </c>
      <c r="M543" s="117">
        <v>150118</v>
      </c>
    </row>
    <row r="544" spans="1:13" x14ac:dyDescent="0.25">
      <c r="A544" s="120">
        <v>543</v>
      </c>
      <c r="B544" s="120">
        <v>56</v>
      </c>
      <c r="C544" s="117" t="str">
        <f>_xlfn.XLOOKUP(B544,dimUniversidades!$A:$A,dimUniversidades!$B:$B,"(sin universidad)")</f>
        <v>Universidad Peruana Unión</v>
      </c>
      <c r="D544" s="117" t="s">
        <v>579</v>
      </c>
      <c r="E544" s="119" t="b">
        <v>0</v>
      </c>
      <c r="F544" s="117" t="s">
        <v>322</v>
      </c>
      <c r="G544" s="117" t="s">
        <v>1347</v>
      </c>
      <c r="H544" s="117" t="s">
        <v>456</v>
      </c>
      <c r="I544" s="117" t="s">
        <v>1547</v>
      </c>
      <c r="J544" s="118">
        <v>-15.513268200000001</v>
      </c>
      <c r="K544" s="118">
        <v>-70.176836699999996</v>
      </c>
      <c r="L544" s="117">
        <v>200901</v>
      </c>
      <c r="M544" s="117">
        <v>211101</v>
      </c>
    </row>
    <row r="545" spans="1:13" x14ac:dyDescent="0.25">
      <c r="A545" s="120">
        <v>544</v>
      </c>
      <c r="B545" s="120">
        <v>56</v>
      </c>
      <c r="C545" s="117" t="str">
        <f>_xlfn.XLOOKUP(B545,dimUniversidades!$A:$A,dimUniversidades!$B:$B,"(sin universidad)")</f>
        <v>Universidad Peruana Unión</v>
      </c>
      <c r="D545" s="117" t="s">
        <v>1160</v>
      </c>
      <c r="E545" s="119" t="b">
        <v>0</v>
      </c>
      <c r="F545" s="117" t="s">
        <v>1318</v>
      </c>
      <c r="G545" s="117" t="s">
        <v>1318</v>
      </c>
      <c r="H545" s="117" t="s">
        <v>1334</v>
      </c>
      <c r="I545" s="117" t="s">
        <v>1546</v>
      </c>
      <c r="J545" s="118">
        <v>-6.4723782507859404</v>
      </c>
      <c r="K545" s="118">
        <v>-76.396200949737505</v>
      </c>
      <c r="L545" s="117">
        <v>210611</v>
      </c>
      <c r="M545" s="117">
        <v>220910</v>
      </c>
    </row>
    <row r="546" spans="1:13" x14ac:dyDescent="0.25">
      <c r="A546" s="120">
        <v>545</v>
      </c>
      <c r="B546" s="120">
        <v>57</v>
      </c>
      <c r="C546" s="117" t="str">
        <f>_xlfn.XLOOKUP(B546,dimUniversidades!$A:$A,dimUniversidades!$B:$B,"(sin universidad)")</f>
        <v>Universidad para el Desarrollo Andino</v>
      </c>
      <c r="D546" s="117" t="s">
        <v>324</v>
      </c>
      <c r="E546" s="119" t="b">
        <v>1</v>
      </c>
      <c r="F546" s="117" t="s">
        <v>564</v>
      </c>
      <c r="G546" s="117" t="s">
        <v>563</v>
      </c>
      <c r="H546" s="117" t="s">
        <v>562</v>
      </c>
      <c r="I546" s="117" t="s">
        <v>1545</v>
      </c>
      <c r="J546" s="118">
        <v>-12.9875794412456</v>
      </c>
      <c r="K546" s="118">
        <v>-74.721308843061095</v>
      </c>
      <c r="L546" s="117">
        <v>80301</v>
      </c>
      <c r="M546" s="117">
        <v>90301</v>
      </c>
    </row>
    <row r="547" spans="1:13" x14ac:dyDescent="0.25">
      <c r="A547" s="120">
        <v>546</v>
      </c>
      <c r="B547" s="120">
        <v>58</v>
      </c>
      <c r="C547" s="117" t="str">
        <f>_xlfn.XLOOKUP(B547,dimUniversidades!$A:$A,dimUniversidades!$B:$B,"(sin universidad)")</f>
        <v>Universidad Femenina del Sagrado Corazón</v>
      </c>
      <c r="D547" s="117" t="s">
        <v>324</v>
      </c>
      <c r="E547" s="119" t="b">
        <v>1</v>
      </c>
      <c r="F547" s="117" t="s">
        <v>385</v>
      </c>
      <c r="G547" s="117" t="s">
        <v>385</v>
      </c>
      <c r="H547" s="117" t="s">
        <v>428</v>
      </c>
      <c r="I547" s="117" t="s">
        <v>1544</v>
      </c>
      <c r="J547" s="118">
        <v>-12.0716313</v>
      </c>
      <c r="K547" s="118">
        <v>-76.965052900000003</v>
      </c>
      <c r="L547" s="117">
        <v>140110</v>
      </c>
      <c r="M547" s="117">
        <v>150114</v>
      </c>
    </row>
    <row r="548" spans="1:13" x14ac:dyDescent="0.25">
      <c r="A548" s="120">
        <v>547</v>
      </c>
      <c r="B548" s="120">
        <v>59</v>
      </c>
      <c r="C548" s="117" t="str">
        <f>_xlfn.XLOOKUP(B548,dimUniversidades!$A:$A,dimUniversidades!$B:$B,"(sin universidad)")</f>
        <v>Universidad Nacional Autónoma de Huanta</v>
      </c>
      <c r="D548" s="117" t="s">
        <v>324</v>
      </c>
      <c r="E548" s="119" t="b">
        <v>1</v>
      </c>
      <c r="F548" s="117" t="s">
        <v>1164</v>
      </c>
      <c r="G548" s="117" t="s">
        <v>1264</v>
      </c>
      <c r="H548" s="117" t="s">
        <v>1264</v>
      </c>
      <c r="I548" s="117" t="s">
        <v>1543</v>
      </c>
      <c r="J548" s="118">
        <v>-12.9366062</v>
      </c>
      <c r="K548" s="118">
        <v>-74.243975000000006</v>
      </c>
      <c r="L548" s="117">
        <v>50301</v>
      </c>
      <c r="M548" s="117">
        <v>50401</v>
      </c>
    </row>
    <row r="549" spans="1:13" x14ac:dyDescent="0.25">
      <c r="A549" s="120">
        <v>548</v>
      </c>
      <c r="B549" s="120">
        <v>59</v>
      </c>
      <c r="C549" s="117" t="str">
        <f>_xlfn.XLOOKUP(B549,dimUniversidades!$A:$A,dimUniversidades!$B:$B,"(sin universidad)")</f>
        <v>Universidad Nacional Autónoma de Huanta</v>
      </c>
      <c r="D549" s="117" t="s">
        <v>735</v>
      </c>
      <c r="E549" s="119" t="b">
        <v>0</v>
      </c>
      <c r="F549" s="117" t="s">
        <v>1164</v>
      </c>
      <c r="G549" s="117" t="s">
        <v>1264</v>
      </c>
      <c r="H549" s="117" t="s">
        <v>1264</v>
      </c>
      <c r="I549" s="117" t="s">
        <v>1542</v>
      </c>
      <c r="J549" s="118">
        <v>-12.942230199999999</v>
      </c>
      <c r="K549" s="118">
        <v>-74.242356700000002</v>
      </c>
      <c r="L549" s="117">
        <v>50301</v>
      </c>
      <c r="M549" s="117">
        <v>50401</v>
      </c>
    </row>
    <row r="550" spans="1:13" x14ac:dyDescent="0.25">
      <c r="A550" s="120">
        <v>549</v>
      </c>
      <c r="B550" s="120">
        <v>59</v>
      </c>
      <c r="C550" s="117" t="str">
        <f>_xlfn.XLOOKUP(B550,dimUniversidades!$A:$A,dimUniversidades!$B:$B,"(sin universidad)")</f>
        <v>Universidad Nacional Autónoma de Huanta</v>
      </c>
      <c r="D550" s="117" t="s">
        <v>500</v>
      </c>
      <c r="E550" s="119" t="b">
        <v>0</v>
      </c>
      <c r="F550" s="117" t="s">
        <v>1164</v>
      </c>
      <c r="G550" s="117" t="s">
        <v>1264</v>
      </c>
      <c r="H550" s="117" t="s">
        <v>1541</v>
      </c>
      <c r="I550" s="117" t="s">
        <v>1540</v>
      </c>
      <c r="J550" s="118">
        <v>-12.901388300000001</v>
      </c>
      <c r="K550" s="118">
        <v>-74.273382999999995</v>
      </c>
      <c r="L550" s="117">
        <v>50305</v>
      </c>
      <c r="M550" s="117">
        <v>50405</v>
      </c>
    </row>
    <row r="551" spans="1:13" x14ac:dyDescent="0.25">
      <c r="A551" s="120">
        <v>550</v>
      </c>
      <c r="B551" s="120">
        <v>60</v>
      </c>
      <c r="C551" s="117" t="str">
        <f>_xlfn.XLOOKUP(B551,dimUniversidades!$A:$A,dimUniversidades!$B:$B,"(sin universidad)")</f>
        <v>Universidad Peruana de Ciencias Aplicadas S.A.C.</v>
      </c>
      <c r="D551" s="117" t="s">
        <v>324</v>
      </c>
      <c r="E551" s="119" t="b">
        <v>1</v>
      </c>
      <c r="F551" s="117" t="s">
        <v>385</v>
      </c>
      <c r="G551" s="117" t="s">
        <v>385</v>
      </c>
      <c r="H551" s="117" t="s">
        <v>542</v>
      </c>
      <c r="I551" s="117" t="s">
        <v>1539</v>
      </c>
      <c r="J551" s="118">
        <v>-12.104061</v>
      </c>
      <c r="K551" s="118">
        <v>-76.962902</v>
      </c>
      <c r="L551" s="117">
        <v>140130</v>
      </c>
      <c r="M551" s="117">
        <v>150140</v>
      </c>
    </row>
    <row r="552" spans="1:13" x14ac:dyDescent="0.25">
      <c r="A552" s="120">
        <v>551</v>
      </c>
      <c r="B552" s="120">
        <v>60</v>
      </c>
      <c r="C552" s="117" t="str">
        <f>_xlfn.XLOOKUP(B552,dimUniversidades!$A:$A,dimUniversidades!$B:$B,"(sin universidad)")</f>
        <v>Universidad Peruana de Ciencias Aplicadas S.A.C.</v>
      </c>
      <c r="D552" s="117" t="s">
        <v>399</v>
      </c>
      <c r="E552" s="119" t="b">
        <v>0</v>
      </c>
      <c r="F552" s="117" t="s">
        <v>385</v>
      </c>
      <c r="G552" s="117" t="s">
        <v>385</v>
      </c>
      <c r="H552" s="117" t="s">
        <v>542</v>
      </c>
      <c r="I552" s="117" t="s">
        <v>1538</v>
      </c>
      <c r="J552" s="118">
        <v>-12.1069674684063</v>
      </c>
      <c r="K552" s="118">
        <v>-76.962477799491893</v>
      </c>
      <c r="L552" s="117">
        <v>140130</v>
      </c>
      <c r="M552" s="117">
        <v>150140</v>
      </c>
    </row>
    <row r="553" spans="1:13" x14ac:dyDescent="0.25">
      <c r="A553" s="120">
        <v>552</v>
      </c>
      <c r="B553" s="120">
        <v>60</v>
      </c>
      <c r="C553" s="117" t="str">
        <f>_xlfn.XLOOKUP(B553,dimUniversidades!$A:$A,dimUniversidades!$B:$B,"(sin universidad)")</f>
        <v>Universidad Peruana de Ciencias Aplicadas S.A.C.</v>
      </c>
      <c r="D553" s="117" t="s">
        <v>735</v>
      </c>
      <c r="E553" s="119" t="b">
        <v>0</v>
      </c>
      <c r="F553" s="117" t="s">
        <v>385</v>
      </c>
      <c r="G553" s="117" t="s">
        <v>385</v>
      </c>
      <c r="H553" s="117" t="s">
        <v>542</v>
      </c>
      <c r="I553" s="117" t="s">
        <v>1537</v>
      </c>
      <c r="J553" s="118">
        <v>-12.1080887</v>
      </c>
      <c r="K553" s="118">
        <v>-76.960098400000007</v>
      </c>
      <c r="L553" s="117">
        <v>140130</v>
      </c>
      <c r="M553" s="117">
        <v>150140</v>
      </c>
    </row>
    <row r="554" spans="1:13" x14ac:dyDescent="0.25">
      <c r="A554" s="120">
        <v>553</v>
      </c>
      <c r="B554" s="120">
        <v>60</v>
      </c>
      <c r="C554" s="117" t="str">
        <f>_xlfn.XLOOKUP(B554,dimUniversidades!$A:$A,dimUniversidades!$B:$B,"(sin universidad)")</f>
        <v>Universidad Peruana de Ciencias Aplicadas S.A.C.</v>
      </c>
      <c r="D554" s="117" t="s">
        <v>500</v>
      </c>
      <c r="E554" s="119" t="b">
        <v>0</v>
      </c>
      <c r="F554" s="117" t="s">
        <v>385</v>
      </c>
      <c r="G554" s="117" t="s">
        <v>385</v>
      </c>
      <c r="H554" s="117" t="s">
        <v>1302</v>
      </c>
      <c r="I554" s="117" t="s">
        <v>1536</v>
      </c>
      <c r="J554" s="118">
        <v>-12.108889899999999</v>
      </c>
      <c r="K554" s="118">
        <v>-76.979136199999999</v>
      </c>
      <c r="L554" s="117">
        <v>140140</v>
      </c>
      <c r="M554" s="117">
        <v>150130</v>
      </c>
    </row>
    <row r="555" spans="1:13" x14ac:dyDescent="0.25">
      <c r="A555" s="120">
        <v>554</v>
      </c>
      <c r="B555" s="120">
        <v>60</v>
      </c>
      <c r="C555" s="117" t="str">
        <f>_xlfn.XLOOKUP(B555,dimUniversidades!$A:$A,dimUniversidades!$B:$B,"(sin universidad)")</f>
        <v>Universidad Peruana de Ciencias Aplicadas S.A.C.</v>
      </c>
      <c r="D555" s="117" t="s">
        <v>1117</v>
      </c>
      <c r="E555" s="119" t="b">
        <v>0</v>
      </c>
      <c r="F555" s="117" t="s">
        <v>385</v>
      </c>
      <c r="G555" s="117" t="s">
        <v>385</v>
      </c>
      <c r="H555" s="117" t="s">
        <v>1226</v>
      </c>
      <c r="I555" s="117" t="s">
        <v>1535</v>
      </c>
      <c r="J555" s="118">
        <v>-12.087480649764901</v>
      </c>
      <c r="K555" s="118">
        <v>-77.0499068423279</v>
      </c>
      <c r="L555" s="117">
        <v>140124</v>
      </c>
      <c r="M555" s="117">
        <v>150131</v>
      </c>
    </row>
    <row r="556" spans="1:13" x14ac:dyDescent="0.25">
      <c r="A556" s="120">
        <v>555</v>
      </c>
      <c r="B556" s="120">
        <v>60</v>
      </c>
      <c r="C556" s="117" t="str">
        <f>_xlfn.XLOOKUP(B556,dimUniversidades!$A:$A,dimUniversidades!$B:$B,"(sin universidad)")</f>
        <v>Universidad Peruana de Ciencias Aplicadas S.A.C.</v>
      </c>
      <c r="D556" s="117" t="s">
        <v>1232</v>
      </c>
      <c r="E556" s="119" t="b">
        <v>0</v>
      </c>
      <c r="F556" s="117" t="s">
        <v>385</v>
      </c>
      <c r="G556" s="117" t="s">
        <v>385</v>
      </c>
      <c r="H556" s="117" t="s">
        <v>1226</v>
      </c>
      <c r="I556" s="117" t="s">
        <v>1534</v>
      </c>
      <c r="J556" s="118">
        <v>-12.0875229086991</v>
      </c>
      <c r="K556" s="118">
        <v>-77.049927115344204</v>
      </c>
      <c r="L556" s="117">
        <v>140124</v>
      </c>
      <c r="M556" s="117">
        <v>150131</v>
      </c>
    </row>
    <row r="557" spans="1:13" x14ac:dyDescent="0.25">
      <c r="A557" s="120">
        <v>556</v>
      </c>
      <c r="B557" s="120">
        <v>60</v>
      </c>
      <c r="C557" s="117" t="str">
        <f>_xlfn.XLOOKUP(B557,dimUniversidades!$A:$A,dimUniversidades!$B:$B,"(sin universidad)")</f>
        <v>Universidad Peruana de Ciencias Aplicadas S.A.C.</v>
      </c>
      <c r="D557" s="117" t="s">
        <v>1230</v>
      </c>
      <c r="E557" s="119" t="b">
        <v>0</v>
      </c>
      <c r="F557" s="117" t="s">
        <v>385</v>
      </c>
      <c r="G557" s="117" t="s">
        <v>385</v>
      </c>
      <c r="H557" s="117" t="s">
        <v>1531</v>
      </c>
      <c r="I557" s="117" t="s">
        <v>1533</v>
      </c>
      <c r="J557" s="118">
        <v>-12.081008600000001</v>
      </c>
      <c r="K557" s="118">
        <v>-77.070735900000003</v>
      </c>
      <c r="L557" s="117">
        <v>140127</v>
      </c>
      <c r="M557" s="117">
        <v>150136</v>
      </c>
    </row>
    <row r="558" spans="1:13" x14ac:dyDescent="0.25">
      <c r="A558" s="120">
        <v>557</v>
      </c>
      <c r="B558" s="120">
        <v>60</v>
      </c>
      <c r="C558" s="117" t="str">
        <f>_xlfn.XLOOKUP(B558,dimUniversidades!$A:$A,dimUniversidades!$B:$B,"(sin universidad)")</f>
        <v>Universidad Peruana de Ciencias Aplicadas S.A.C.</v>
      </c>
      <c r="D558" s="117" t="s">
        <v>1227</v>
      </c>
      <c r="E558" s="119" t="b">
        <v>0</v>
      </c>
      <c r="F558" s="117" t="s">
        <v>385</v>
      </c>
      <c r="G558" s="117" t="s">
        <v>385</v>
      </c>
      <c r="H558" s="117" t="s">
        <v>1531</v>
      </c>
      <c r="I558" s="117" t="s">
        <v>1532</v>
      </c>
      <c r="J558" s="118">
        <v>-12.074839900000001</v>
      </c>
      <c r="K558" s="118">
        <v>-77.092349100000007</v>
      </c>
      <c r="L558" s="117">
        <v>140127</v>
      </c>
      <c r="M558" s="117">
        <v>150136</v>
      </c>
    </row>
    <row r="559" spans="1:13" x14ac:dyDescent="0.25">
      <c r="A559" s="120">
        <v>558</v>
      </c>
      <c r="B559" s="120">
        <v>60</v>
      </c>
      <c r="C559" s="117" t="str">
        <f>_xlfn.XLOOKUP(B559,dimUniversidades!$A:$A,dimUniversidades!$B:$B,"(sin universidad)")</f>
        <v>Universidad Peruana de Ciencias Aplicadas S.A.C.</v>
      </c>
      <c r="D559" s="117" t="s">
        <v>1419</v>
      </c>
      <c r="E559" s="119" t="b">
        <v>0</v>
      </c>
      <c r="F559" s="117" t="s">
        <v>385</v>
      </c>
      <c r="G559" s="117" t="s">
        <v>385</v>
      </c>
      <c r="H559" s="117" t="s">
        <v>1531</v>
      </c>
      <c r="I559" s="117" t="s">
        <v>1530</v>
      </c>
      <c r="J559" s="118">
        <v>-12.0857375768697</v>
      </c>
      <c r="K559" s="118">
        <v>-77.095337874868804</v>
      </c>
      <c r="L559" s="117">
        <v>140127</v>
      </c>
      <c r="M559" s="117">
        <v>150136</v>
      </c>
    </row>
    <row r="560" spans="1:13" x14ac:dyDescent="0.25">
      <c r="A560" s="120">
        <v>559</v>
      </c>
      <c r="B560" s="120">
        <v>60</v>
      </c>
      <c r="C560" s="117" t="str">
        <f>_xlfn.XLOOKUP(B560,dimUniversidades!$A:$A,dimUniversidades!$B:$B,"(sin universidad)")</f>
        <v>Universidad Peruana de Ciencias Aplicadas S.A.C.</v>
      </c>
      <c r="D560" s="117" t="s">
        <v>643</v>
      </c>
      <c r="E560" s="119" t="b">
        <v>0</v>
      </c>
      <c r="F560" s="117" t="s">
        <v>385</v>
      </c>
      <c r="G560" s="117" t="s">
        <v>385</v>
      </c>
      <c r="H560" s="117" t="s">
        <v>1529</v>
      </c>
      <c r="I560" s="117" t="s">
        <v>1528</v>
      </c>
      <c r="J560" s="118">
        <v>-12.1984166276455</v>
      </c>
      <c r="K560" s="118">
        <v>-77.008337126211501</v>
      </c>
      <c r="L560" s="117">
        <v>140108</v>
      </c>
      <c r="M560" s="117">
        <v>150108</v>
      </c>
    </row>
    <row r="561" spans="1:13" x14ac:dyDescent="0.25">
      <c r="A561" s="120">
        <v>560</v>
      </c>
      <c r="B561" s="120">
        <v>61</v>
      </c>
      <c r="C561" s="117" t="str">
        <f>_xlfn.XLOOKUP(B561,dimUniversidades!$A:$A,dimUniversidades!$B:$B,"(sin universidad)")</f>
        <v>Universidad Antonio Ruiz de Montoya</v>
      </c>
      <c r="D561" s="117" t="s">
        <v>324</v>
      </c>
      <c r="E561" s="119" t="b">
        <v>1</v>
      </c>
      <c r="F561" s="117" t="s">
        <v>385</v>
      </c>
      <c r="G561" s="117" t="s">
        <v>385</v>
      </c>
      <c r="H561" s="117" t="s">
        <v>1179</v>
      </c>
      <c r="I561" s="117" t="s">
        <v>1527</v>
      </c>
      <c r="J561" s="118">
        <v>-12.070156891646199</v>
      </c>
      <c r="K561" s="118">
        <v>-77.059032758335903</v>
      </c>
      <c r="L561" s="117">
        <v>140117</v>
      </c>
      <c r="M561" s="117">
        <v>150121</v>
      </c>
    </row>
    <row r="562" spans="1:13" x14ac:dyDescent="0.25">
      <c r="A562" s="120">
        <v>561</v>
      </c>
      <c r="B562" s="120">
        <v>61</v>
      </c>
      <c r="C562" s="117" t="str">
        <f>_xlfn.XLOOKUP(B562,dimUniversidades!$A:$A,dimUniversidades!$B:$B,"(sin universidad)")</f>
        <v>Universidad Antonio Ruiz de Montoya</v>
      </c>
      <c r="D562" s="117" t="s">
        <v>399</v>
      </c>
      <c r="E562" s="119" t="b">
        <v>0</v>
      </c>
      <c r="F562" s="117" t="s">
        <v>385</v>
      </c>
      <c r="G562" s="117" t="s">
        <v>385</v>
      </c>
      <c r="H562" s="117" t="s">
        <v>1179</v>
      </c>
      <c r="I562" s="117" t="s">
        <v>1526</v>
      </c>
      <c r="J562" s="118">
        <v>-12.0730343771167</v>
      </c>
      <c r="K562" s="118">
        <v>-77.074487858895495</v>
      </c>
      <c r="L562" s="117">
        <v>140117</v>
      </c>
      <c r="M562" s="117">
        <v>150121</v>
      </c>
    </row>
    <row r="563" spans="1:13" x14ac:dyDescent="0.25">
      <c r="A563" s="120">
        <v>562</v>
      </c>
      <c r="B563" s="120">
        <v>62</v>
      </c>
      <c r="C563" s="117" t="str">
        <f>_xlfn.XLOOKUP(B563,dimUniversidades!$A:$A,dimUniversidades!$B:$B,"(sin universidad)")</f>
        <v>Universidad Privada de Tacna</v>
      </c>
      <c r="D563" s="117" t="s">
        <v>324</v>
      </c>
      <c r="E563" s="119" t="b">
        <v>1</v>
      </c>
      <c r="F563" s="117" t="s">
        <v>1114</v>
      </c>
      <c r="G563" s="117" t="s">
        <v>1114</v>
      </c>
      <c r="H563" s="117" t="s">
        <v>1522</v>
      </c>
      <c r="I563" s="117" t="s">
        <v>1525</v>
      </c>
      <c r="J563" s="118">
        <v>-18.005838900000001</v>
      </c>
      <c r="K563" s="118">
        <v>-70.225483800000006</v>
      </c>
      <c r="L563" s="117">
        <v>220109</v>
      </c>
      <c r="M563" s="117">
        <v>230108</v>
      </c>
    </row>
    <row r="564" spans="1:13" x14ac:dyDescent="0.25">
      <c r="A564" s="120">
        <v>563</v>
      </c>
      <c r="B564" s="120">
        <v>62</v>
      </c>
      <c r="C564" s="117" t="str">
        <f>_xlfn.XLOOKUP(B564,dimUniversidades!$A:$A,dimUniversidades!$B:$B,"(sin universidad)")</f>
        <v>Universidad Privada de Tacna</v>
      </c>
      <c r="D564" s="117" t="s">
        <v>399</v>
      </c>
      <c r="E564" s="119" t="b">
        <v>0</v>
      </c>
      <c r="F564" s="117" t="s">
        <v>1114</v>
      </c>
      <c r="G564" s="117" t="s">
        <v>1114</v>
      </c>
      <c r="H564" s="117" t="s">
        <v>1522</v>
      </c>
      <c r="I564" s="117" t="s">
        <v>1524</v>
      </c>
      <c r="J564" s="118">
        <v>-18.005854189747499</v>
      </c>
      <c r="K564" s="118">
        <v>-70.225486456486493</v>
      </c>
      <c r="L564" s="117">
        <v>220109</v>
      </c>
      <c r="M564" s="117">
        <v>230108</v>
      </c>
    </row>
    <row r="565" spans="1:13" x14ac:dyDescent="0.25">
      <c r="A565" s="120">
        <v>564</v>
      </c>
      <c r="B565" s="120">
        <v>62</v>
      </c>
      <c r="C565" s="117" t="str">
        <f>_xlfn.XLOOKUP(B565,dimUniversidades!$A:$A,dimUniversidades!$B:$B,"(sin universidad)")</f>
        <v>Universidad Privada de Tacna</v>
      </c>
      <c r="D565" s="117" t="s">
        <v>735</v>
      </c>
      <c r="E565" s="119" t="b">
        <v>0</v>
      </c>
      <c r="F565" s="117" t="s">
        <v>1114</v>
      </c>
      <c r="G565" s="117" t="s">
        <v>1114</v>
      </c>
      <c r="H565" s="117" t="s">
        <v>1522</v>
      </c>
      <c r="I565" s="117" t="s">
        <v>1523</v>
      </c>
      <c r="J565" s="118">
        <v>-18.006329812330101</v>
      </c>
      <c r="K565" s="118">
        <v>-70.225953973805204</v>
      </c>
      <c r="L565" s="117">
        <v>220109</v>
      </c>
      <c r="M565" s="117">
        <v>230108</v>
      </c>
    </row>
    <row r="566" spans="1:13" x14ac:dyDescent="0.25">
      <c r="A566" s="120">
        <v>565</v>
      </c>
      <c r="B566" s="120">
        <v>62</v>
      </c>
      <c r="C566" s="117" t="str">
        <f>_xlfn.XLOOKUP(B566,dimUniversidades!$A:$A,dimUniversidades!$B:$B,"(sin universidad)")</f>
        <v>Universidad Privada de Tacna</v>
      </c>
      <c r="D566" s="117" t="s">
        <v>500</v>
      </c>
      <c r="E566" s="119" t="b">
        <v>0</v>
      </c>
      <c r="F566" s="117" t="s">
        <v>1114</v>
      </c>
      <c r="G566" s="117" t="s">
        <v>1114</v>
      </c>
      <c r="H566" s="117" t="s">
        <v>1522</v>
      </c>
      <c r="I566" s="117" t="s">
        <v>1521</v>
      </c>
      <c r="J566" s="118">
        <v>-17.9974892251619</v>
      </c>
      <c r="K566" s="118">
        <v>-70.225969769346193</v>
      </c>
      <c r="L566" s="117">
        <v>220109</v>
      </c>
      <c r="M566" s="117">
        <v>230108</v>
      </c>
    </row>
    <row r="567" spans="1:13" x14ac:dyDescent="0.25">
      <c r="A567" s="120">
        <v>566</v>
      </c>
      <c r="B567" s="120">
        <v>62</v>
      </c>
      <c r="C567" s="117" t="str">
        <f>_xlfn.XLOOKUP(B567,dimUniversidades!$A:$A,dimUniversidades!$B:$B,"(sin universidad)")</f>
        <v>Universidad Privada de Tacna</v>
      </c>
      <c r="D567" s="117" t="s">
        <v>1117</v>
      </c>
      <c r="E567" s="119" t="b">
        <v>0</v>
      </c>
      <c r="F567" s="117" t="s">
        <v>1114</v>
      </c>
      <c r="G567" s="117" t="s">
        <v>1114</v>
      </c>
      <c r="H567" s="117" t="s">
        <v>1114</v>
      </c>
      <c r="I567" s="117" t="s">
        <v>1520</v>
      </c>
      <c r="J567" s="118">
        <v>-18.005358268589799</v>
      </c>
      <c r="K567" s="118">
        <v>-70.235294450926204</v>
      </c>
      <c r="L567" s="117">
        <v>220101</v>
      </c>
      <c r="M567" s="117">
        <v>230101</v>
      </c>
    </row>
    <row r="568" spans="1:13" x14ac:dyDescent="0.25">
      <c r="A568" s="120">
        <v>567</v>
      </c>
      <c r="B568" s="120">
        <v>62</v>
      </c>
      <c r="C568" s="117" t="str">
        <f>_xlfn.XLOOKUP(B568,dimUniversidades!$A:$A,dimUniversidades!$B:$B,"(sin universidad)")</f>
        <v>Universidad Privada de Tacna</v>
      </c>
      <c r="D568" s="117" t="s">
        <v>1232</v>
      </c>
      <c r="E568" s="119" t="b">
        <v>0</v>
      </c>
      <c r="F568" s="117" t="s">
        <v>1114</v>
      </c>
      <c r="G568" s="117" t="s">
        <v>1114</v>
      </c>
      <c r="H568" s="117" t="s">
        <v>1114</v>
      </c>
      <c r="I568" s="117" t="s">
        <v>1519</v>
      </c>
      <c r="J568" s="118">
        <v>-18.005114495996299</v>
      </c>
      <c r="K568" s="118">
        <v>-70.235119993254102</v>
      </c>
      <c r="L568" s="117">
        <v>220101</v>
      </c>
      <c r="M568" s="117">
        <v>230101</v>
      </c>
    </row>
    <row r="569" spans="1:13" x14ac:dyDescent="0.25">
      <c r="A569" s="120">
        <v>568</v>
      </c>
      <c r="B569" s="120">
        <v>63</v>
      </c>
      <c r="C569" s="117" t="str">
        <f>_xlfn.XLOOKUP(B569,dimUniversidades!$A:$A,dimUniversidades!$B:$B,"(sin universidad)")</f>
        <v>Universidad Marcelino Champagnat</v>
      </c>
      <c r="D569" s="117" t="s">
        <v>324</v>
      </c>
      <c r="E569" s="119" t="b">
        <v>1</v>
      </c>
      <c r="F569" s="117" t="s">
        <v>385</v>
      </c>
      <c r="G569" s="117" t="s">
        <v>385</v>
      </c>
      <c r="H569" s="117" t="s">
        <v>542</v>
      </c>
      <c r="I569" s="117" t="s">
        <v>1518</v>
      </c>
      <c r="J569" s="118">
        <v>-12.136397199999999</v>
      </c>
      <c r="K569" s="118">
        <v>-77.005768500000002</v>
      </c>
      <c r="L569" s="117">
        <v>140130</v>
      </c>
      <c r="M569" s="117">
        <v>150140</v>
      </c>
    </row>
    <row r="570" spans="1:13" x14ac:dyDescent="0.25">
      <c r="A570" s="120">
        <v>569</v>
      </c>
      <c r="B570" s="120">
        <v>64</v>
      </c>
      <c r="C570" s="117" t="str">
        <f>_xlfn.XLOOKUP(B570,dimUniversidades!$A:$A,dimUniversidades!$B:$B,"(sin universidad)")</f>
        <v>Universidad Autónoma del Perú S.A.C.</v>
      </c>
      <c r="D570" s="117" t="s">
        <v>324</v>
      </c>
      <c r="E570" s="119" t="b">
        <v>1</v>
      </c>
      <c r="F570" s="117" t="s">
        <v>385</v>
      </c>
      <c r="G570" s="117" t="s">
        <v>385</v>
      </c>
      <c r="H570" s="117" t="s">
        <v>1285</v>
      </c>
      <c r="I570" s="117" t="s">
        <v>1517</v>
      </c>
      <c r="J570" s="118">
        <v>-12.195467954444201</v>
      </c>
      <c r="K570" s="118">
        <v>-76.971954545051602</v>
      </c>
      <c r="L570" s="117">
        <v>140141</v>
      </c>
      <c r="M570" s="117">
        <v>150142</v>
      </c>
    </row>
    <row r="571" spans="1:13" x14ac:dyDescent="0.25">
      <c r="A571" s="120">
        <v>570</v>
      </c>
      <c r="B571" s="120">
        <v>64</v>
      </c>
      <c r="C571" s="117" t="str">
        <f>_xlfn.XLOOKUP(B571,dimUniversidades!$A:$A,dimUniversidades!$B:$B,"(sin universidad)")</f>
        <v>Universidad Autónoma del Perú S.A.C.</v>
      </c>
      <c r="D571" s="117" t="s">
        <v>735</v>
      </c>
      <c r="E571" s="119" t="b">
        <v>0</v>
      </c>
      <c r="F571" s="117" t="s">
        <v>385</v>
      </c>
      <c r="G571" s="117" t="s">
        <v>385</v>
      </c>
      <c r="H571" s="117" t="s">
        <v>1516</v>
      </c>
      <c r="I571" s="117" t="s">
        <v>1515</v>
      </c>
      <c r="J571" s="118">
        <v>-11.8644044</v>
      </c>
      <c r="K571" s="118">
        <v>-77.074175299999993</v>
      </c>
      <c r="L571" s="117">
        <v>140119</v>
      </c>
      <c r="M571" s="117">
        <v>150125</v>
      </c>
    </row>
    <row r="572" spans="1:13" x14ac:dyDescent="0.25">
      <c r="A572" s="120">
        <v>571</v>
      </c>
      <c r="B572" s="120">
        <v>65</v>
      </c>
      <c r="C572" s="117" t="str">
        <f>_xlfn.XLOOKUP(B572,dimUniversidades!$A:$A,dimUniversidades!$B:$B,"(sin universidad)")</f>
        <v>Universidad Nacional de Jaén</v>
      </c>
      <c r="D572" s="117" t="s">
        <v>324</v>
      </c>
      <c r="E572" s="119" t="b">
        <v>0</v>
      </c>
      <c r="F572" s="117" t="s">
        <v>420</v>
      </c>
      <c r="G572" s="117" t="s">
        <v>1248</v>
      </c>
      <c r="H572" s="117" t="s">
        <v>1248</v>
      </c>
      <c r="I572" s="117" t="s">
        <v>1514</v>
      </c>
      <c r="J572" s="118">
        <v>-5.6983568</v>
      </c>
      <c r="K572" s="118">
        <v>-78.809631899999999</v>
      </c>
      <c r="L572" s="117">
        <v>60801</v>
      </c>
      <c r="M572" s="117">
        <v>60801</v>
      </c>
    </row>
    <row r="573" spans="1:13" x14ac:dyDescent="0.25">
      <c r="A573" s="120">
        <v>572</v>
      </c>
      <c r="B573" s="120">
        <v>65</v>
      </c>
      <c r="C573" s="117" t="str">
        <f>_xlfn.XLOOKUP(B573,dimUniversidades!$A:$A,dimUniversidades!$B:$B,"(sin universidad)")</f>
        <v>Universidad Nacional de Jaén</v>
      </c>
      <c r="D573" s="117" t="s">
        <v>399</v>
      </c>
      <c r="E573" s="119" t="b">
        <v>1</v>
      </c>
      <c r="F573" s="117" t="s">
        <v>420</v>
      </c>
      <c r="G573" s="117" t="s">
        <v>1248</v>
      </c>
      <c r="H573" s="117" t="s">
        <v>1248</v>
      </c>
      <c r="I573" s="117" t="s">
        <v>1513</v>
      </c>
      <c r="J573" s="118">
        <v>-5.6737099999999998</v>
      </c>
      <c r="K573" s="118">
        <v>-78.776359999999997</v>
      </c>
      <c r="L573" s="117">
        <v>60801</v>
      </c>
      <c r="M573" s="117">
        <v>60801</v>
      </c>
    </row>
    <row r="574" spans="1:13" x14ac:dyDescent="0.25">
      <c r="A574" s="120">
        <v>573</v>
      </c>
      <c r="B574" s="120">
        <v>66</v>
      </c>
      <c r="C574" s="117" t="str">
        <f>_xlfn.XLOOKUP(B574,dimUniversidades!$A:$A,dimUniversidades!$B:$B,"(sin universidad)")</f>
        <v>Universidad Católica Sedes Sapientiae</v>
      </c>
      <c r="D574" s="117" t="s">
        <v>324</v>
      </c>
      <c r="E574" s="119" t="b">
        <v>1</v>
      </c>
      <c r="F574" s="117" t="s">
        <v>385</v>
      </c>
      <c r="G574" s="117" t="s">
        <v>385</v>
      </c>
      <c r="H574" s="117" t="s">
        <v>384</v>
      </c>
      <c r="I574" s="117" t="s">
        <v>1512</v>
      </c>
      <c r="J574" s="118">
        <v>-11.9999929668452</v>
      </c>
      <c r="K574" s="118">
        <v>-77.063860320237794</v>
      </c>
      <c r="L574" s="117">
        <v>140142</v>
      </c>
      <c r="M574" s="117">
        <v>150117</v>
      </c>
    </row>
    <row r="575" spans="1:13" x14ac:dyDescent="0.25">
      <c r="A575" s="120">
        <v>574</v>
      </c>
      <c r="B575" s="120">
        <v>66</v>
      </c>
      <c r="C575" s="117" t="str">
        <f>_xlfn.XLOOKUP(B575,dimUniversidades!$A:$A,dimUniversidades!$B:$B,"(sin universidad)")</f>
        <v>Universidad Católica Sedes Sapientiae</v>
      </c>
      <c r="D575" s="117" t="s">
        <v>735</v>
      </c>
      <c r="E575" s="119" t="b">
        <v>0</v>
      </c>
      <c r="F575" s="117" t="s">
        <v>385</v>
      </c>
      <c r="G575" s="117" t="s">
        <v>385</v>
      </c>
      <c r="H575" s="117" t="s">
        <v>384</v>
      </c>
      <c r="I575" s="117" t="s">
        <v>1511</v>
      </c>
      <c r="J575" s="118">
        <v>-11.995317287585801</v>
      </c>
      <c r="K575" s="118">
        <v>-77.067228508632994</v>
      </c>
      <c r="L575" s="117">
        <v>140142</v>
      </c>
      <c r="M575" s="117">
        <v>150117</v>
      </c>
    </row>
    <row r="576" spans="1:13" x14ac:dyDescent="0.25">
      <c r="A576" s="120">
        <v>575</v>
      </c>
      <c r="B576" s="120">
        <v>66</v>
      </c>
      <c r="C576" s="117" t="str">
        <f>_xlfn.XLOOKUP(B576,dimUniversidades!$A:$A,dimUniversidades!$B:$B,"(sin universidad)")</f>
        <v>Universidad Católica Sedes Sapientiae</v>
      </c>
      <c r="D576" s="117" t="s">
        <v>1117</v>
      </c>
      <c r="E576" s="119" t="b">
        <v>0</v>
      </c>
      <c r="F576" s="117" t="s">
        <v>385</v>
      </c>
      <c r="G576" s="117" t="s">
        <v>385</v>
      </c>
      <c r="H576" s="117" t="s">
        <v>1182</v>
      </c>
      <c r="I576" s="117" t="s">
        <v>1510</v>
      </c>
      <c r="J576" s="118">
        <v>-12.072433</v>
      </c>
      <c r="K576" s="118">
        <v>-77.041883999999996</v>
      </c>
      <c r="L576" s="117">
        <v>140133</v>
      </c>
      <c r="M576" s="117">
        <v>150113</v>
      </c>
    </row>
    <row r="577" spans="1:13" x14ac:dyDescent="0.25">
      <c r="A577" s="120">
        <v>576</v>
      </c>
      <c r="B577" s="120">
        <v>66</v>
      </c>
      <c r="C577" s="117" t="str">
        <f>_xlfn.XLOOKUP(B577,dimUniversidades!$A:$A,dimUniversidades!$B:$B,"(sin universidad)")</f>
        <v>Universidad Católica Sedes Sapientiae</v>
      </c>
      <c r="D577" s="117" t="s">
        <v>1232</v>
      </c>
      <c r="E577" s="119" t="b">
        <v>0</v>
      </c>
      <c r="F577" s="117" t="s">
        <v>385</v>
      </c>
      <c r="G577" s="117" t="s">
        <v>385</v>
      </c>
      <c r="H577" s="117" t="s">
        <v>384</v>
      </c>
      <c r="I577" s="117" t="s">
        <v>1509</v>
      </c>
      <c r="J577" s="118">
        <v>-11.9984153168303</v>
      </c>
      <c r="K577" s="118">
        <v>-77.063123502902201</v>
      </c>
      <c r="L577" s="117">
        <v>140142</v>
      </c>
      <c r="M577" s="117">
        <v>150117</v>
      </c>
    </row>
    <row r="578" spans="1:13" x14ac:dyDescent="0.25">
      <c r="A578" s="120">
        <v>577</v>
      </c>
      <c r="B578" s="120">
        <v>66</v>
      </c>
      <c r="C578" s="117" t="str">
        <f>_xlfn.XLOOKUP(B578,dimUniversidades!$A:$A,dimUniversidades!$B:$B,"(sin universidad)")</f>
        <v>Universidad Católica Sedes Sapientiae</v>
      </c>
      <c r="D578" s="117" t="s">
        <v>1230</v>
      </c>
      <c r="E578" s="119" t="b">
        <v>0</v>
      </c>
      <c r="F578" s="117" t="s">
        <v>385</v>
      </c>
      <c r="G578" s="117" t="s">
        <v>385</v>
      </c>
      <c r="H578" s="117" t="s">
        <v>542</v>
      </c>
      <c r="I578" s="117" t="s">
        <v>1508</v>
      </c>
      <c r="J578" s="118">
        <v>-12.1019600690905</v>
      </c>
      <c r="K578" s="118">
        <v>-76.972013838418903</v>
      </c>
      <c r="L578" s="117">
        <v>140130</v>
      </c>
      <c r="M578" s="117">
        <v>150140</v>
      </c>
    </row>
    <row r="579" spans="1:13" x14ac:dyDescent="0.25">
      <c r="A579" s="120">
        <v>578</v>
      </c>
      <c r="B579" s="120">
        <v>66</v>
      </c>
      <c r="C579" s="117" t="str">
        <f>_xlfn.XLOOKUP(B579,dimUniversidades!$A:$A,dimUniversidades!$B:$B,"(sin universidad)")</f>
        <v>Universidad Católica Sedes Sapientiae</v>
      </c>
      <c r="D579" s="117" t="s">
        <v>579</v>
      </c>
      <c r="E579" s="119" t="b">
        <v>0</v>
      </c>
      <c r="F579" s="117" t="s">
        <v>385</v>
      </c>
      <c r="G579" s="117" t="s">
        <v>405</v>
      </c>
      <c r="H579" s="117" t="s">
        <v>1507</v>
      </c>
      <c r="I579" s="117" t="s">
        <v>1506</v>
      </c>
      <c r="J579" s="118">
        <v>-11.0155144856073</v>
      </c>
      <c r="K579" s="118">
        <v>-77.606972881756604</v>
      </c>
      <c r="L579" s="117">
        <v>140516</v>
      </c>
      <c r="M579" s="117">
        <v>150812</v>
      </c>
    </row>
    <row r="580" spans="1:13" x14ac:dyDescent="0.25">
      <c r="A580" s="120">
        <v>579</v>
      </c>
      <c r="B580" s="120">
        <v>66</v>
      </c>
      <c r="C580" s="117" t="str">
        <f>_xlfn.XLOOKUP(B580,dimUniversidades!$A:$A,dimUniversidades!$B:$B,"(sin universidad)")</f>
        <v>Universidad Católica Sedes Sapientiae</v>
      </c>
      <c r="D580" s="117" t="s">
        <v>1165</v>
      </c>
      <c r="E580" s="119" t="b">
        <v>0</v>
      </c>
      <c r="F580" s="117" t="s">
        <v>385</v>
      </c>
      <c r="G580" s="117" t="s">
        <v>405</v>
      </c>
      <c r="H580" s="117" t="s">
        <v>404</v>
      </c>
      <c r="I580" s="117" t="s">
        <v>1505</v>
      </c>
      <c r="J580" s="118">
        <v>-11.107204808198</v>
      </c>
      <c r="K580" s="118">
        <v>-77.605114717790997</v>
      </c>
      <c r="L580" s="117">
        <v>140501</v>
      </c>
      <c r="M580" s="117">
        <v>150801</v>
      </c>
    </row>
    <row r="581" spans="1:13" x14ac:dyDescent="0.25">
      <c r="A581" s="120">
        <v>580</v>
      </c>
      <c r="B581" s="120">
        <v>66</v>
      </c>
      <c r="C581" s="117" t="str">
        <f>_xlfn.XLOOKUP(B581,dimUniversidades!$A:$A,dimUniversidades!$B:$B,"(sin universidad)")</f>
        <v>Universidad Católica Sedes Sapientiae</v>
      </c>
      <c r="D581" s="117" t="s">
        <v>1344</v>
      </c>
      <c r="E581" s="119" t="b">
        <v>0</v>
      </c>
      <c r="F581" s="117" t="s">
        <v>385</v>
      </c>
      <c r="G581" s="117" t="s">
        <v>405</v>
      </c>
      <c r="H581" s="117" t="s">
        <v>1504</v>
      </c>
      <c r="I581" s="117" t="s">
        <v>1503</v>
      </c>
      <c r="J581" s="118">
        <v>-11.100597</v>
      </c>
      <c r="K581" s="118">
        <v>-77.570644900000005</v>
      </c>
      <c r="L581" s="117">
        <v>140512</v>
      </c>
      <c r="M581" s="117">
        <v>150810</v>
      </c>
    </row>
    <row r="582" spans="1:13" x14ac:dyDescent="0.25">
      <c r="A582" s="120">
        <v>581</v>
      </c>
      <c r="B582" s="120">
        <v>66</v>
      </c>
      <c r="C582" s="117" t="str">
        <f>_xlfn.XLOOKUP(B582,dimUniversidades!$A:$A,dimUniversidades!$B:$B,"(sin universidad)")</f>
        <v>Universidad Católica Sedes Sapientiae</v>
      </c>
      <c r="D582" s="117" t="s">
        <v>1160</v>
      </c>
      <c r="E582" s="119" t="b">
        <v>0</v>
      </c>
      <c r="F582" s="117" t="s">
        <v>1152</v>
      </c>
      <c r="G582" s="117" t="s">
        <v>1502</v>
      </c>
      <c r="H582" s="117" t="s">
        <v>1501</v>
      </c>
      <c r="I582" s="117" t="s">
        <v>1500</v>
      </c>
      <c r="J582" s="118">
        <v>-10.720962916174599</v>
      </c>
      <c r="K582" s="118">
        <v>-73.770073299844398</v>
      </c>
      <c r="L582" s="117">
        <v>250301</v>
      </c>
      <c r="M582" s="117">
        <v>250201</v>
      </c>
    </row>
    <row r="583" spans="1:13" x14ac:dyDescent="0.25">
      <c r="A583" s="120">
        <v>582</v>
      </c>
      <c r="B583" s="120">
        <v>66</v>
      </c>
      <c r="C583" s="117" t="str">
        <f>_xlfn.XLOOKUP(B583,dimUniversidades!$A:$A,dimUniversidades!$B:$B,"(sin universidad)")</f>
        <v>Universidad Católica Sedes Sapientiae</v>
      </c>
      <c r="D583" s="117" t="s">
        <v>599</v>
      </c>
      <c r="E583" s="119" t="b">
        <v>0</v>
      </c>
      <c r="F583" s="117" t="s">
        <v>622</v>
      </c>
      <c r="G583" s="117" t="s">
        <v>1494</v>
      </c>
      <c r="H583" s="117" t="s">
        <v>1493</v>
      </c>
      <c r="I583" s="117" t="s">
        <v>1499</v>
      </c>
      <c r="J583" s="118">
        <v>-5.0975938604084003</v>
      </c>
      <c r="K583" s="118">
        <v>-80.161270047221393</v>
      </c>
      <c r="L583" s="117">
        <v>190401</v>
      </c>
      <c r="M583" s="117">
        <v>200401</v>
      </c>
    </row>
    <row r="584" spans="1:13" x14ac:dyDescent="0.25">
      <c r="A584" s="120">
        <v>583</v>
      </c>
      <c r="B584" s="120">
        <v>66</v>
      </c>
      <c r="C584" s="117" t="str">
        <f>_xlfn.XLOOKUP(B584,dimUniversidades!$A:$A,dimUniversidades!$B:$B,"(sin universidad)")</f>
        <v>Universidad Católica Sedes Sapientiae</v>
      </c>
      <c r="D584" s="117" t="s">
        <v>1361</v>
      </c>
      <c r="E584" s="119" t="b">
        <v>0</v>
      </c>
      <c r="F584" s="117" t="s">
        <v>622</v>
      </c>
      <c r="G584" s="117" t="s">
        <v>1494</v>
      </c>
      <c r="H584" s="117" t="s">
        <v>1493</v>
      </c>
      <c r="I584" s="117" t="s">
        <v>1498</v>
      </c>
      <c r="J584" s="118">
        <v>-5.0980714159840401</v>
      </c>
      <c r="K584" s="118">
        <v>-80.162000008598298</v>
      </c>
      <c r="L584" s="117">
        <v>190401</v>
      </c>
      <c r="M584" s="117">
        <v>200401</v>
      </c>
    </row>
    <row r="585" spans="1:13" x14ac:dyDescent="0.25">
      <c r="A585" s="120">
        <v>584</v>
      </c>
      <c r="B585" s="120">
        <v>66</v>
      </c>
      <c r="C585" s="117" t="str">
        <f>_xlfn.XLOOKUP(B585,dimUniversidades!$A:$A,dimUniversidades!$B:$B,"(sin universidad)")</f>
        <v>Universidad Católica Sedes Sapientiae</v>
      </c>
      <c r="D585" s="117" t="s">
        <v>1497</v>
      </c>
      <c r="E585" s="119" t="b">
        <v>0</v>
      </c>
      <c r="F585" s="117" t="s">
        <v>622</v>
      </c>
      <c r="G585" s="117" t="s">
        <v>1494</v>
      </c>
      <c r="H585" s="117" t="s">
        <v>1493</v>
      </c>
      <c r="I585" s="117" t="s">
        <v>1496</v>
      </c>
      <c r="J585" s="118">
        <v>-5.0979744155324598</v>
      </c>
      <c r="K585" s="118">
        <v>-80.167118196364598</v>
      </c>
      <c r="L585" s="117">
        <v>190401</v>
      </c>
      <c r="M585" s="117">
        <v>200401</v>
      </c>
    </row>
    <row r="586" spans="1:13" x14ac:dyDescent="0.25">
      <c r="A586" s="120">
        <v>585</v>
      </c>
      <c r="B586" s="120">
        <v>66</v>
      </c>
      <c r="C586" s="117" t="str">
        <f>_xlfn.XLOOKUP(B586,dimUniversidades!$A:$A,dimUniversidades!$B:$B,"(sin universidad)")</f>
        <v>Universidad Católica Sedes Sapientiae</v>
      </c>
      <c r="D586" s="117" t="s">
        <v>1495</v>
      </c>
      <c r="E586" s="119" t="b">
        <v>0</v>
      </c>
      <c r="F586" s="117" t="s">
        <v>622</v>
      </c>
      <c r="G586" s="117" t="s">
        <v>1494</v>
      </c>
      <c r="H586" s="117" t="s">
        <v>1493</v>
      </c>
      <c r="I586" s="117" t="s">
        <v>1492</v>
      </c>
      <c r="J586" s="118">
        <v>-5.1883179000000004</v>
      </c>
      <c r="K586" s="118">
        <v>-79.971198200000003</v>
      </c>
      <c r="L586" s="117">
        <v>190401</v>
      </c>
      <c r="M586" s="117">
        <v>200401</v>
      </c>
    </row>
    <row r="587" spans="1:13" x14ac:dyDescent="0.25">
      <c r="A587" s="120">
        <v>586</v>
      </c>
      <c r="B587" s="120">
        <v>66</v>
      </c>
      <c r="C587" s="117" t="str">
        <f>_xlfn.XLOOKUP(B587,dimUniversidades!$A:$A,dimUniversidades!$B:$B,"(sin universidad)")</f>
        <v>Universidad Católica Sedes Sapientiae</v>
      </c>
      <c r="D587" s="117" t="s">
        <v>678</v>
      </c>
      <c r="E587" s="119" t="b">
        <v>0</v>
      </c>
      <c r="F587" s="117" t="s">
        <v>1318</v>
      </c>
      <c r="G587" s="117" t="s">
        <v>1325</v>
      </c>
      <c r="H587" s="117" t="s">
        <v>1491</v>
      </c>
      <c r="I587" s="117" t="s">
        <v>1490</v>
      </c>
      <c r="J587" s="118">
        <v>-5.96279079647862</v>
      </c>
      <c r="K587" s="118">
        <v>-77.292860027543597</v>
      </c>
      <c r="L587" s="117">
        <v>210505</v>
      </c>
      <c r="M587" s="117">
        <v>220804</v>
      </c>
    </row>
    <row r="588" spans="1:13" x14ac:dyDescent="0.25">
      <c r="A588" s="120">
        <v>587</v>
      </c>
      <c r="B588" s="120">
        <v>66</v>
      </c>
      <c r="C588" s="117" t="str">
        <f>_xlfn.XLOOKUP(B588,dimUniversidades!$A:$A,dimUniversidades!$B:$B,"(sin universidad)")</f>
        <v>Universidad Católica Sedes Sapientiae</v>
      </c>
      <c r="D588" s="117" t="s">
        <v>392</v>
      </c>
      <c r="E588" s="119" t="b">
        <v>0</v>
      </c>
      <c r="F588" s="117" t="s">
        <v>467</v>
      </c>
      <c r="G588" s="117" t="s">
        <v>466</v>
      </c>
      <c r="H588" s="117" t="s">
        <v>466</v>
      </c>
      <c r="I588" s="117" t="s">
        <v>1489</v>
      </c>
      <c r="J588" s="118">
        <v>-11.4168972829093</v>
      </c>
      <c r="K588" s="118">
        <v>-75.680976250926193</v>
      </c>
      <c r="L588" s="117">
        <v>110501</v>
      </c>
      <c r="M588" s="117">
        <v>120701</v>
      </c>
    </row>
    <row r="589" spans="1:13" x14ac:dyDescent="0.25">
      <c r="A589" s="120">
        <v>588</v>
      </c>
      <c r="B589" s="120">
        <v>67</v>
      </c>
      <c r="C589" s="117" t="str">
        <f>_xlfn.XLOOKUP(B589,dimUniversidades!$A:$A,dimUniversidades!$B:$B,"(sin universidad)")</f>
        <v>Universidad Católica Santo Toribio de Mogrovejo</v>
      </c>
      <c r="D589" s="117" t="s">
        <v>324</v>
      </c>
      <c r="E589" s="119" t="b">
        <v>1</v>
      </c>
      <c r="F589" s="117" t="s">
        <v>589</v>
      </c>
      <c r="G589" s="117" t="s">
        <v>1222</v>
      </c>
      <c r="H589" s="117" t="s">
        <v>1222</v>
      </c>
      <c r="I589" s="117" t="s">
        <v>1488</v>
      </c>
      <c r="J589" s="118">
        <v>-6.76034413048421</v>
      </c>
      <c r="K589" s="118">
        <v>-79.863055478504194</v>
      </c>
      <c r="L589" s="117">
        <v>130101</v>
      </c>
      <c r="M589" s="117">
        <v>140101</v>
      </c>
    </row>
    <row r="590" spans="1:13" x14ac:dyDescent="0.25">
      <c r="A590" s="120">
        <v>589</v>
      </c>
      <c r="B590" s="120">
        <v>68</v>
      </c>
      <c r="C590" s="117" t="str">
        <f>_xlfn.XLOOKUP(B590,dimUniversidades!$A:$A,dimUniversidades!$B:$B,"(sin universidad)")</f>
        <v>Universidad Tecnológica de los Andes</v>
      </c>
      <c r="D590" s="117" t="s">
        <v>324</v>
      </c>
      <c r="E590" s="119" t="b">
        <v>1</v>
      </c>
      <c r="F590" s="117" t="s">
        <v>1483</v>
      </c>
      <c r="G590" s="117" t="s">
        <v>438</v>
      </c>
      <c r="H590" s="117" t="s">
        <v>438</v>
      </c>
      <c r="I590" s="117" t="s">
        <v>1487</v>
      </c>
      <c r="J590" s="118">
        <v>-13.632299803</v>
      </c>
      <c r="K590" s="118">
        <v>-72.887159417999996</v>
      </c>
      <c r="L590" s="117">
        <v>30101</v>
      </c>
      <c r="M590" s="117">
        <v>30101</v>
      </c>
    </row>
    <row r="591" spans="1:13" x14ac:dyDescent="0.25">
      <c r="A591" s="120">
        <v>590</v>
      </c>
      <c r="B591" s="120">
        <v>68</v>
      </c>
      <c r="C591" s="117" t="str">
        <f>_xlfn.XLOOKUP(B591,dimUniversidades!$A:$A,dimUniversidades!$B:$B,"(sin universidad)")</f>
        <v>Universidad Tecnológica de los Andes</v>
      </c>
      <c r="D591" s="117" t="s">
        <v>399</v>
      </c>
      <c r="E591" s="119" t="b">
        <v>0</v>
      </c>
      <c r="F591" s="117" t="s">
        <v>1483</v>
      </c>
      <c r="G591" s="117" t="s">
        <v>438</v>
      </c>
      <c r="H591" s="117" t="s">
        <v>438</v>
      </c>
      <c r="I591" s="117" t="s">
        <v>1486</v>
      </c>
      <c r="J591" s="118">
        <v>-13.662807423241199</v>
      </c>
      <c r="K591" s="118">
        <v>-72.936789025656097</v>
      </c>
      <c r="L591" s="117">
        <v>30101</v>
      </c>
      <c r="M591" s="117">
        <v>30101</v>
      </c>
    </row>
    <row r="592" spans="1:13" x14ac:dyDescent="0.25">
      <c r="A592" s="120">
        <v>591</v>
      </c>
      <c r="B592" s="120">
        <v>68</v>
      </c>
      <c r="C592" s="117" t="str">
        <f>_xlfn.XLOOKUP(B592,dimUniversidades!$A:$A,dimUniversidades!$B:$B,"(sin universidad)")</f>
        <v>Universidad Tecnológica de los Andes</v>
      </c>
      <c r="D592" s="117" t="s">
        <v>579</v>
      </c>
      <c r="E592" s="119" t="b">
        <v>0</v>
      </c>
      <c r="F592" s="117" t="s">
        <v>1483</v>
      </c>
      <c r="G592" s="117" t="s">
        <v>719</v>
      </c>
      <c r="H592" s="117" t="s">
        <v>1485</v>
      </c>
      <c r="I592" s="117" t="s">
        <v>1484</v>
      </c>
      <c r="J592" s="118">
        <v>-13.662643915855901</v>
      </c>
      <c r="K592" s="118">
        <v>-73.348888625286804</v>
      </c>
      <c r="L592" s="117">
        <v>30310</v>
      </c>
      <c r="M592" s="117">
        <v>30213</v>
      </c>
    </row>
    <row r="593" spans="1:13" x14ac:dyDescent="0.25">
      <c r="A593" s="120">
        <v>592</v>
      </c>
      <c r="B593" s="120">
        <v>68</v>
      </c>
      <c r="C593" s="117" t="str">
        <f>_xlfn.XLOOKUP(B593,dimUniversidades!$A:$A,dimUniversidades!$B:$B,"(sin universidad)")</f>
        <v>Universidad Tecnológica de los Andes</v>
      </c>
      <c r="D593" s="117" t="s">
        <v>1165</v>
      </c>
      <c r="E593" s="119" t="b">
        <v>0</v>
      </c>
      <c r="F593" s="117" t="s">
        <v>1483</v>
      </c>
      <c r="G593" s="117" t="s">
        <v>719</v>
      </c>
      <c r="H593" s="117" t="s">
        <v>719</v>
      </c>
      <c r="I593" s="117" t="s">
        <v>1482</v>
      </c>
      <c r="J593" s="118">
        <v>-13.662735727625501</v>
      </c>
      <c r="K593" s="118">
        <v>-73.348869126245106</v>
      </c>
      <c r="L593" s="117">
        <v>30301</v>
      </c>
      <c r="M593" s="117">
        <v>30201</v>
      </c>
    </row>
    <row r="594" spans="1:13" x14ac:dyDescent="0.25">
      <c r="A594" s="120">
        <v>593</v>
      </c>
      <c r="B594" s="120">
        <v>68</v>
      </c>
      <c r="C594" s="117" t="str">
        <f>_xlfn.XLOOKUP(B594,dimUniversidades!$A:$A,dimUniversidades!$B:$B,"(sin universidad)")</f>
        <v>Universidad Tecnológica de los Andes</v>
      </c>
      <c r="D594" s="117" t="s">
        <v>1160</v>
      </c>
      <c r="E594" s="119" t="b">
        <v>0</v>
      </c>
      <c r="F594" s="117" t="s">
        <v>374</v>
      </c>
      <c r="G594" s="117" t="s">
        <v>374</v>
      </c>
      <c r="H594" s="117" t="s">
        <v>374</v>
      </c>
      <c r="I594" s="117" t="s">
        <v>1481</v>
      </c>
      <c r="J594" s="118">
        <v>-13.5239237728882</v>
      </c>
      <c r="K594" s="118">
        <v>-71.977806744774597</v>
      </c>
      <c r="L594" s="117">
        <v>70101</v>
      </c>
      <c r="M594" s="117">
        <v>80101</v>
      </c>
    </row>
    <row r="595" spans="1:13" x14ac:dyDescent="0.25">
      <c r="A595" s="120">
        <v>594</v>
      </c>
      <c r="B595" s="120">
        <v>68</v>
      </c>
      <c r="C595" s="117" t="str">
        <f>_xlfn.XLOOKUP(B595,dimUniversidades!$A:$A,dimUniversidades!$B:$B,"(sin universidad)")</f>
        <v>Universidad Tecnológica de los Andes</v>
      </c>
      <c r="D595" s="117" t="s">
        <v>1480</v>
      </c>
      <c r="E595" s="119" t="b">
        <v>0</v>
      </c>
      <c r="F595" s="117" t="s">
        <v>374</v>
      </c>
      <c r="G595" s="117" t="s">
        <v>374</v>
      </c>
      <c r="H595" s="117" t="s">
        <v>374</v>
      </c>
      <c r="I595" s="117" t="s">
        <v>1479</v>
      </c>
      <c r="J595" s="118">
        <v>-13.5210367122465</v>
      </c>
      <c r="K595" s="118">
        <v>-71.952493437542699</v>
      </c>
      <c r="L595" s="117">
        <v>70101</v>
      </c>
      <c r="M595" s="117">
        <v>80101</v>
      </c>
    </row>
    <row r="596" spans="1:13" x14ac:dyDescent="0.25">
      <c r="A596" s="120">
        <v>595</v>
      </c>
      <c r="B596" s="120">
        <v>68</v>
      </c>
      <c r="C596" s="117" t="str">
        <f>_xlfn.XLOOKUP(B596,dimUniversidades!$A:$A,dimUniversidades!$B:$B,"(sin universidad)")</f>
        <v>Universidad Tecnológica de los Andes</v>
      </c>
      <c r="D596" s="117" t="s">
        <v>550</v>
      </c>
      <c r="E596" s="119" t="b">
        <v>0</v>
      </c>
      <c r="F596" s="117" t="s">
        <v>374</v>
      </c>
      <c r="G596" s="117" t="s">
        <v>374</v>
      </c>
      <c r="H596" s="117" t="s">
        <v>374</v>
      </c>
      <c r="I596" s="117" t="s">
        <v>1478</v>
      </c>
      <c r="J596" s="118">
        <v>-13.5187570223867</v>
      </c>
      <c r="K596" s="118">
        <v>-71.967370814120898</v>
      </c>
      <c r="L596" s="117">
        <v>70101</v>
      </c>
      <c r="M596" s="117">
        <v>80101</v>
      </c>
    </row>
    <row r="597" spans="1:13" x14ac:dyDescent="0.25">
      <c r="A597" s="120">
        <v>596</v>
      </c>
      <c r="B597" s="120">
        <v>70</v>
      </c>
      <c r="C597" s="117" t="str">
        <f>_xlfn.XLOOKUP(B597,dimUniversidades!$A:$A,dimUniversidades!$B:$B,"(sin universidad)")</f>
        <v>Universidad de Ingeniería y Tecnología</v>
      </c>
      <c r="D597" s="117" t="s">
        <v>324</v>
      </c>
      <c r="E597" s="119" t="b">
        <v>1</v>
      </c>
      <c r="F597" s="117" t="s">
        <v>385</v>
      </c>
      <c r="G597" s="117" t="s">
        <v>385</v>
      </c>
      <c r="H597" s="117" t="s">
        <v>413</v>
      </c>
      <c r="I597" s="117" t="s">
        <v>414</v>
      </c>
      <c r="J597" s="118">
        <v>-12.135109110440199</v>
      </c>
      <c r="K597" s="118">
        <v>-77.021953298741906</v>
      </c>
      <c r="L597" s="117">
        <v>140125</v>
      </c>
      <c r="M597" s="117">
        <v>150104</v>
      </c>
    </row>
    <row r="598" spans="1:13" x14ac:dyDescent="0.25">
      <c r="A598" s="120">
        <v>597</v>
      </c>
      <c r="B598" s="120">
        <v>71</v>
      </c>
      <c r="C598" s="117" t="str">
        <f>_xlfn.XLOOKUP(B598,dimUniversidades!$A:$A,dimUniversidades!$B:$B,"(sin universidad)")</f>
        <v>Universidad Católica San Pablo</v>
      </c>
      <c r="D598" s="117" t="s">
        <v>324</v>
      </c>
      <c r="E598" s="119" t="b">
        <v>1</v>
      </c>
      <c r="F598" s="117" t="s">
        <v>530</v>
      </c>
      <c r="G598" s="117" t="s">
        <v>530</v>
      </c>
      <c r="H598" s="117" t="s">
        <v>530</v>
      </c>
      <c r="I598" s="117" t="s">
        <v>1477</v>
      </c>
      <c r="J598" s="118">
        <v>-16.390138400000001</v>
      </c>
      <c r="K598" s="118">
        <v>-71.535716100000002</v>
      </c>
      <c r="L598" s="117">
        <v>40101</v>
      </c>
      <c r="M598" s="117">
        <v>40101</v>
      </c>
    </row>
    <row r="599" spans="1:13" x14ac:dyDescent="0.25">
      <c r="A599" s="120">
        <v>598</v>
      </c>
      <c r="B599" s="120">
        <v>71</v>
      </c>
      <c r="C599" s="117" t="str">
        <f>_xlfn.XLOOKUP(B599,dimUniversidades!$A:$A,dimUniversidades!$B:$B,"(sin universidad)")</f>
        <v>Universidad Católica San Pablo</v>
      </c>
      <c r="D599" s="117" t="s">
        <v>399</v>
      </c>
      <c r="E599" s="119" t="b">
        <v>0</v>
      </c>
      <c r="F599" s="117" t="s">
        <v>530</v>
      </c>
      <c r="G599" s="117" t="s">
        <v>530</v>
      </c>
      <c r="H599" s="117" t="s">
        <v>530</v>
      </c>
      <c r="I599" s="117" t="s">
        <v>1476</v>
      </c>
      <c r="J599" s="118">
        <v>-16.403435925264901</v>
      </c>
      <c r="K599" s="118">
        <v>-71.539760230042106</v>
      </c>
      <c r="L599" s="117">
        <v>40101</v>
      </c>
      <c r="M599" s="117">
        <v>40101</v>
      </c>
    </row>
    <row r="600" spans="1:13" x14ac:dyDescent="0.25">
      <c r="A600" s="120">
        <v>599</v>
      </c>
      <c r="B600" s="120">
        <v>71</v>
      </c>
      <c r="C600" s="117" t="str">
        <f>_xlfn.XLOOKUP(B600,dimUniversidades!$A:$A,dimUniversidades!$B:$B,"(sin universidad)")</f>
        <v>Universidad Católica San Pablo</v>
      </c>
      <c r="D600" s="117" t="s">
        <v>735</v>
      </c>
      <c r="E600" s="119" t="b">
        <v>0</v>
      </c>
      <c r="F600" s="117" t="s">
        <v>530</v>
      </c>
      <c r="G600" s="117" t="s">
        <v>530</v>
      </c>
      <c r="H600" s="117" t="s">
        <v>530</v>
      </c>
      <c r="I600" s="117" t="s">
        <v>1475</v>
      </c>
      <c r="J600" s="118">
        <v>-16.399687678881602</v>
      </c>
      <c r="K600" s="118">
        <v>-71.539583041104507</v>
      </c>
      <c r="L600" s="117">
        <v>40101</v>
      </c>
      <c r="M600" s="117">
        <v>40101</v>
      </c>
    </row>
    <row r="601" spans="1:13" x14ac:dyDescent="0.25">
      <c r="A601" s="120">
        <v>600</v>
      </c>
      <c r="B601" s="120">
        <v>71</v>
      </c>
      <c r="C601" s="117" t="str">
        <f>_xlfn.XLOOKUP(B601,dimUniversidades!$A:$A,dimUniversidades!$B:$B,"(sin universidad)")</f>
        <v>Universidad Católica San Pablo</v>
      </c>
      <c r="D601" s="117" t="s">
        <v>500</v>
      </c>
      <c r="E601" s="119" t="b">
        <v>0</v>
      </c>
      <c r="F601" s="117" t="s">
        <v>530</v>
      </c>
      <c r="G601" s="117" t="s">
        <v>530</v>
      </c>
      <c r="H601" s="117" t="s">
        <v>530</v>
      </c>
      <c r="I601" s="117" t="s">
        <v>1474</v>
      </c>
      <c r="J601" s="118">
        <v>-16.390168899999999</v>
      </c>
      <c r="K601" s="118">
        <v>-71.534958200000005</v>
      </c>
      <c r="L601" s="117">
        <v>40101</v>
      </c>
      <c r="M601" s="117">
        <v>40101</v>
      </c>
    </row>
    <row r="602" spans="1:13" x14ac:dyDescent="0.25">
      <c r="A602" s="120">
        <v>601</v>
      </c>
      <c r="B602" s="120">
        <v>72</v>
      </c>
      <c r="C602" s="117" t="str">
        <f>_xlfn.XLOOKUP(B602,dimUniversidades!$A:$A,dimUniversidades!$B:$B,"(sin universidad)")</f>
        <v>Universidad La Salle</v>
      </c>
      <c r="D602" s="117" t="s">
        <v>324</v>
      </c>
      <c r="E602" s="119" t="b">
        <v>1</v>
      </c>
      <c r="F602" s="117" t="s">
        <v>530</v>
      </c>
      <c r="G602" s="117" t="s">
        <v>530</v>
      </c>
      <c r="H602" s="117" t="s">
        <v>530</v>
      </c>
      <c r="I602" s="117" t="s">
        <v>1473</v>
      </c>
      <c r="J602" s="118">
        <v>-16.424163</v>
      </c>
      <c r="K602" s="118">
        <v>-71.556191999999996</v>
      </c>
      <c r="L602" s="117">
        <v>40101</v>
      </c>
      <c r="M602" s="117">
        <v>40101</v>
      </c>
    </row>
    <row r="603" spans="1:13" x14ac:dyDescent="0.25">
      <c r="A603" s="120">
        <v>602</v>
      </c>
      <c r="B603" s="120">
        <v>73</v>
      </c>
      <c r="C603" s="117" t="str">
        <f>_xlfn.XLOOKUP(B603,dimUniversidades!$A:$A,dimUniversidades!$B:$B,"(sin universidad)")</f>
        <v>Universidad Privada de la Selva Peruana S.A.C.</v>
      </c>
      <c r="D603" s="117" t="s">
        <v>324</v>
      </c>
      <c r="E603" s="119" t="b">
        <v>1</v>
      </c>
      <c r="F603" s="117" t="s">
        <v>1312</v>
      </c>
      <c r="G603" s="117" t="s">
        <v>1400</v>
      </c>
      <c r="H603" s="117" t="s">
        <v>1470</v>
      </c>
      <c r="I603" s="117" t="s">
        <v>1472</v>
      </c>
      <c r="J603" s="118">
        <v>-3.7545929</v>
      </c>
      <c r="K603" s="118">
        <v>-73.247188699999995</v>
      </c>
      <c r="L603" s="117">
        <v>150101</v>
      </c>
      <c r="M603" s="117">
        <v>160101</v>
      </c>
    </row>
    <row r="604" spans="1:13" x14ac:dyDescent="0.25">
      <c r="A604" s="120">
        <v>603</v>
      </c>
      <c r="B604" s="120">
        <v>73</v>
      </c>
      <c r="C604" s="117" t="str">
        <f>_xlfn.XLOOKUP(B604,dimUniversidades!$A:$A,dimUniversidades!$B:$B,"(sin universidad)")</f>
        <v>Universidad Privada de la Selva Peruana S.A.C.</v>
      </c>
      <c r="D604" s="117" t="s">
        <v>399</v>
      </c>
      <c r="E604" s="119" t="b">
        <v>0</v>
      </c>
      <c r="F604" s="117" t="s">
        <v>1312</v>
      </c>
      <c r="G604" s="117" t="s">
        <v>1400</v>
      </c>
      <c r="H604" s="117" t="s">
        <v>1470</v>
      </c>
      <c r="I604" s="117" t="s">
        <v>1471</v>
      </c>
      <c r="J604" s="118">
        <v>-3.7546251000000002</v>
      </c>
      <c r="K604" s="118">
        <v>-73.247432399999994</v>
      </c>
      <c r="L604" s="117">
        <v>150101</v>
      </c>
      <c r="M604" s="117">
        <v>160101</v>
      </c>
    </row>
    <row r="605" spans="1:13" x14ac:dyDescent="0.25">
      <c r="A605" s="120">
        <v>604</v>
      </c>
      <c r="B605" s="120">
        <v>73</v>
      </c>
      <c r="C605" s="117" t="str">
        <f>_xlfn.XLOOKUP(B605,dimUniversidades!$A:$A,dimUniversidades!$B:$B,"(sin universidad)")</f>
        <v>Universidad Privada de la Selva Peruana S.A.C.</v>
      </c>
      <c r="D605" s="117" t="s">
        <v>735</v>
      </c>
      <c r="E605" s="119" t="b">
        <v>0</v>
      </c>
      <c r="F605" s="117" t="s">
        <v>1312</v>
      </c>
      <c r="G605" s="117" t="s">
        <v>1400</v>
      </c>
      <c r="H605" s="117" t="s">
        <v>1470</v>
      </c>
      <c r="I605" s="117" t="s">
        <v>1469</v>
      </c>
      <c r="J605" s="118">
        <v>-3.7389877999999999</v>
      </c>
      <c r="K605" s="118">
        <v>-73.252962100000005</v>
      </c>
      <c r="L605" s="117">
        <v>150101</v>
      </c>
      <c r="M605" s="117">
        <v>160101</v>
      </c>
    </row>
    <row r="606" spans="1:13" x14ac:dyDescent="0.25">
      <c r="A606" s="120">
        <v>605</v>
      </c>
      <c r="B606" s="120">
        <v>74</v>
      </c>
      <c r="C606" s="117" t="str">
        <f>_xlfn.XLOOKUP(B606,dimUniversidades!$A:$A,dimUniversidades!$B:$B,"(sin universidad)")</f>
        <v>Universidad Autónoma San Francisco S.A.C.</v>
      </c>
      <c r="D606" s="117" t="s">
        <v>324</v>
      </c>
      <c r="E606" s="119" t="b">
        <v>1</v>
      </c>
      <c r="F606" s="117" t="s">
        <v>530</v>
      </c>
      <c r="G606" s="117" t="s">
        <v>530</v>
      </c>
      <c r="H606" s="117" t="s">
        <v>1468</v>
      </c>
      <c r="I606" s="117" t="s">
        <v>1467</v>
      </c>
      <c r="J606" s="118">
        <v>-16.449571899999999</v>
      </c>
      <c r="K606" s="118">
        <v>-71.600256999999999</v>
      </c>
      <c r="L606" s="117">
        <v>40120</v>
      </c>
      <c r="M606" s="117">
        <v>40123</v>
      </c>
    </row>
    <row r="607" spans="1:13" x14ac:dyDescent="0.25">
      <c r="A607" s="120">
        <v>606</v>
      </c>
      <c r="B607" s="120">
        <v>75</v>
      </c>
      <c r="C607" s="117" t="str">
        <f>_xlfn.XLOOKUP(B607,dimUniversidades!$A:$A,dimUniversidades!$B:$B,"(sin universidad)")</f>
        <v>(sin universidad)</v>
      </c>
      <c r="D607" s="117" t="s">
        <v>324</v>
      </c>
      <c r="E607" s="119" t="b">
        <v>0</v>
      </c>
      <c r="F607" s="117" t="s">
        <v>385</v>
      </c>
      <c r="G607" s="117" t="s">
        <v>385</v>
      </c>
      <c r="H607" s="117" t="s">
        <v>1465</v>
      </c>
      <c r="I607" s="117" t="s">
        <v>1466</v>
      </c>
      <c r="J607" s="118">
        <v>-12.056350399999999</v>
      </c>
      <c r="K607" s="118">
        <v>-77.044516599999994</v>
      </c>
      <c r="L607" s="117">
        <v>140104</v>
      </c>
      <c r="M607" s="117">
        <v>150105</v>
      </c>
    </row>
    <row r="608" spans="1:13" x14ac:dyDescent="0.25">
      <c r="A608" s="120">
        <v>607</v>
      </c>
      <c r="B608" s="120">
        <v>75</v>
      </c>
      <c r="C608" s="117" t="str">
        <f>_xlfn.XLOOKUP(B608,dimUniversidades!$A:$A,dimUniversidades!$B:$B,"(sin universidad)")</f>
        <v>(sin universidad)</v>
      </c>
      <c r="D608" s="117" t="s">
        <v>1176</v>
      </c>
      <c r="E608" s="119" t="b">
        <v>0</v>
      </c>
      <c r="F608" s="117" t="s">
        <v>385</v>
      </c>
      <c r="G608" s="117" t="s">
        <v>385</v>
      </c>
      <c r="H608" s="117" t="s">
        <v>1465</v>
      </c>
      <c r="I608" s="117" t="s">
        <v>1464</v>
      </c>
      <c r="J608" s="118">
        <v>-12.0563001</v>
      </c>
      <c r="K608" s="118">
        <v>-77.044062999999994</v>
      </c>
      <c r="L608" s="117">
        <v>140104</v>
      </c>
      <c r="M608" s="117">
        <v>150105</v>
      </c>
    </row>
    <row r="609" spans="1:13" x14ac:dyDescent="0.25">
      <c r="A609" s="120">
        <v>608</v>
      </c>
      <c r="B609" s="120">
        <v>76</v>
      </c>
      <c r="C609" s="117" t="str">
        <f>_xlfn.XLOOKUP(B609,dimUniversidades!$A:$A,dimUniversidades!$B:$B,"(sin universidad)")</f>
        <v>Universidad Latinoamericana CIMA S.A.C.</v>
      </c>
      <c r="D609" s="117" t="s">
        <v>324</v>
      </c>
      <c r="E609" s="119" t="b">
        <v>1</v>
      </c>
      <c r="F609" s="117" t="s">
        <v>1114</v>
      </c>
      <c r="G609" s="117" t="s">
        <v>1114</v>
      </c>
      <c r="H609" s="117" t="s">
        <v>1114</v>
      </c>
      <c r="I609" s="117" t="s">
        <v>1463</v>
      </c>
      <c r="J609" s="118">
        <v>-18.016559600000001</v>
      </c>
      <c r="K609" s="118">
        <v>-70.241702500000002</v>
      </c>
      <c r="L609" s="117">
        <v>220101</v>
      </c>
      <c r="M609" s="117">
        <v>230101</v>
      </c>
    </row>
    <row r="610" spans="1:13" x14ac:dyDescent="0.25">
      <c r="A610" s="120">
        <v>609</v>
      </c>
      <c r="B610" s="120">
        <v>77</v>
      </c>
      <c r="C610" s="117" t="str">
        <f>_xlfn.XLOOKUP(B610,dimUniversidades!$A:$A,dimUniversidades!$B:$B,"(sin universidad)")</f>
        <v>Universidad Privada de Trujillo</v>
      </c>
      <c r="D610" s="117" t="s">
        <v>324</v>
      </c>
      <c r="E610" s="119" t="b">
        <v>1</v>
      </c>
      <c r="F610" s="117" t="s">
        <v>397</v>
      </c>
      <c r="G610" s="117" t="s">
        <v>396</v>
      </c>
      <c r="H610" s="117" t="s">
        <v>1462</v>
      </c>
      <c r="I610" s="117" t="s">
        <v>1461</v>
      </c>
      <c r="J610" s="118">
        <v>-8.1081444999999999</v>
      </c>
      <c r="K610" s="118">
        <v>-78.994370000000004</v>
      </c>
      <c r="L610" s="117">
        <v>120103</v>
      </c>
      <c r="M610" s="117">
        <v>130106</v>
      </c>
    </row>
    <row r="611" spans="1:13" x14ac:dyDescent="0.25">
      <c r="A611" s="120">
        <v>610</v>
      </c>
      <c r="B611" s="120">
        <v>78</v>
      </c>
      <c r="C611" s="117" t="str">
        <f>_xlfn.XLOOKUP(B611,dimUniversidades!$A:$A,dimUniversidades!$B:$B,"(sin universidad)")</f>
        <v>Universidad Privada Autónoma del Sur S.A.C.</v>
      </c>
      <c r="D611" s="117" t="s">
        <v>324</v>
      </c>
      <c r="E611" s="119" t="b">
        <v>1</v>
      </c>
      <c r="F611" s="117" t="s">
        <v>530</v>
      </c>
      <c r="G611" s="117" t="s">
        <v>530</v>
      </c>
      <c r="H611" s="117" t="s">
        <v>530</v>
      </c>
      <c r="I611" s="117" t="s">
        <v>1460</v>
      </c>
      <c r="J611" s="118">
        <v>-16.408321300000001</v>
      </c>
      <c r="K611" s="118">
        <v>-71.528145100000003</v>
      </c>
      <c r="L611" s="117">
        <v>40101</v>
      </c>
      <c r="M611" s="117">
        <v>40101</v>
      </c>
    </row>
    <row r="612" spans="1:13" x14ac:dyDescent="0.25">
      <c r="A612" s="120">
        <v>611</v>
      </c>
      <c r="B612" s="120">
        <v>79</v>
      </c>
      <c r="C612" s="117" t="str">
        <f>_xlfn.XLOOKUP(B612,dimUniversidades!$A:$A,dimUniversidades!$B:$B,"(sin universidad)")</f>
        <v>Universidad Privada Antonio Guillermo Urrelo S.A.C.</v>
      </c>
      <c r="D612" s="117" t="s">
        <v>324</v>
      </c>
      <c r="E612" s="119" t="b">
        <v>1</v>
      </c>
      <c r="F612" s="117" t="s">
        <v>420</v>
      </c>
      <c r="G612" s="117" t="s">
        <v>420</v>
      </c>
      <c r="H612" s="117" t="s">
        <v>420</v>
      </c>
      <c r="I612" s="117" t="s">
        <v>1459</v>
      </c>
      <c r="J612" s="118">
        <v>-7.1565219999999998</v>
      </c>
      <c r="K612" s="118">
        <v>-78.514552199999997</v>
      </c>
      <c r="L612" s="117">
        <v>60101</v>
      </c>
      <c r="M612" s="117">
        <v>60101</v>
      </c>
    </row>
    <row r="613" spans="1:13" x14ac:dyDescent="0.25">
      <c r="A613" s="120">
        <v>612</v>
      </c>
      <c r="B613" s="120">
        <v>79</v>
      </c>
      <c r="C613" s="117" t="str">
        <f>_xlfn.XLOOKUP(B613,dimUniversidades!$A:$A,dimUniversidades!$B:$B,"(sin universidad)")</f>
        <v>Universidad Privada Antonio Guillermo Urrelo S.A.C.</v>
      </c>
      <c r="D613" s="117" t="s">
        <v>399</v>
      </c>
      <c r="E613" s="119" t="b">
        <v>0</v>
      </c>
      <c r="F613" s="117" t="s">
        <v>420</v>
      </c>
      <c r="G613" s="117" t="s">
        <v>420</v>
      </c>
      <c r="H613" s="117" t="s">
        <v>420</v>
      </c>
      <c r="I613" s="117" t="s">
        <v>1458</v>
      </c>
      <c r="J613" s="118">
        <v>-7.1562650000000003</v>
      </c>
      <c r="K613" s="118">
        <v>-78.514802399999994</v>
      </c>
      <c r="L613" s="117">
        <v>60101</v>
      </c>
      <c r="M613" s="117">
        <v>60101</v>
      </c>
    </row>
    <row r="614" spans="1:13" x14ac:dyDescent="0.25">
      <c r="A614" s="120">
        <v>613</v>
      </c>
      <c r="B614" s="120">
        <v>79</v>
      </c>
      <c r="C614" s="117" t="str">
        <f>_xlfn.XLOOKUP(B614,dimUniversidades!$A:$A,dimUniversidades!$B:$B,"(sin universidad)")</f>
        <v>Universidad Privada Antonio Guillermo Urrelo S.A.C.</v>
      </c>
      <c r="D614" s="117" t="s">
        <v>735</v>
      </c>
      <c r="E614" s="119" t="b">
        <v>0</v>
      </c>
      <c r="F614" s="117" t="s">
        <v>420</v>
      </c>
      <c r="G614" s="117" t="s">
        <v>420</v>
      </c>
      <c r="H614" s="117" t="s">
        <v>420</v>
      </c>
      <c r="I614" s="117" t="s">
        <v>1457</v>
      </c>
      <c r="J614" s="118">
        <v>-7.1617464999999996</v>
      </c>
      <c r="K614" s="118">
        <v>-78.512785500000007</v>
      </c>
      <c r="L614" s="117">
        <v>60101</v>
      </c>
      <c r="M614" s="117">
        <v>60101</v>
      </c>
    </row>
    <row r="615" spans="1:13" x14ac:dyDescent="0.25">
      <c r="A615" s="120">
        <v>614</v>
      </c>
      <c r="B615" s="120">
        <v>79</v>
      </c>
      <c r="C615" s="117" t="str">
        <f>_xlfn.XLOOKUP(B615,dimUniversidades!$A:$A,dimUniversidades!$B:$B,"(sin universidad)")</f>
        <v>Universidad Privada Antonio Guillermo Urrelo S.A.C.</v>
      </c>
      <c r="D615" s="117" t="s">
        <v>500</v>
      </c>
      <c r="E615" s="119" t="b">
        <v>0</v>
      </c>
      <c r="F615" s="117" t="s">
        <v>420</v>
      </c>
      <c r="G615" s="117" t="s">
        <v>420</v>
      </c>
      <c r="H615" s="117" t="s">
        <v>420</v>
      </c>
      <c r="I615" s="117" t="s">
        <v>1456</v>
      </c>
      <c r="J615" s="118">
        <v>-7.1564002000000002</v>
      </c>
      <c r="K615" s="118">
        <v>-78.514303400000003</v>
      </c>
      <c r="L615" s="117">
        <v>60101</v>
      </c>
      <c r="M615" s="117">
        <v>60101</v>
      </c>
    </row>
    <row r="616" spans="1:13" x14ac:dyDescent="0.25">
      <c r="A616" s="120">
        <v>615</v>
      </c>
      <c r="B616" s="120">
        <v>79</v>
      </c>
      <c r="C616" s="117" t="str">
        <f>_xlfn.XLOOKUP(B616,dimUniversidades!$A:$A,dimUniversidades!$B:$B,"(sin universidad)")</f>
        <v>Universidad Privada Antonio Guillermo Urrelo S.A.C.</v>
      </c>
      <c r="D616" s="117" t="s">
        <v>1117</v>
      </c>
      <c r="E616" s="119" t="b">
        <v>0</v>
      </c>
      <c r="F616" s="117" t="s">
        <v>420</v>
      </c>
      <c r="G616" s="117" t="s">
        <v>420</v>
      </c>
      <c r="H616" s="117" t="s">
        <v>420</v>
      </c>
      <c r="I616" s="117" t="s">
        <v>1455</v>
      </c>
      <c r="J616" s="118">
        <v>-7.1617464999999996</v>
      </c>
      <c r="K616" s="118">
        <v>-78.512785500000007</v>
      </c>
      <c r="L616" s="117">
        <v>60101</v>
      </c>
      <c r="M616" s="117">
        <v>60101</v>
      </c>
    </row>
    <row r="617" spans="1:13" x14ac:dyDescent="0.25">
      <c r="A617" s="120">
        <v>616</v>
      </c>
      <c r="B617" s="120">
        <v>80</v>
      </c>
      <c r="C617" s="117" t="str">
        <f>_xlfn.XLOOKUP(B617,dimUniversidades!$A:$A,dimUniversidades!$B:$B,"(sin universidad)")</f>
        <v>Universidad Privada de Pucallpa S.A.C.</v>
      </c>
      <c r="D617" s="117" t="s">
        <v>324</v>
      </c>
      <c r="E617" s="119" t="b">
        <v>1</v>
      </c>
      <c r="F617" s="117" t="s">
        <v>1152</v>
      </c>
      <c r="G617" s="117" t="s">
        <v>1151</v>
      </c>
      <c r="H617" s="117" t="s">
        <v>1150</v>
      </c>
      <c r="I617" s="117" t="s">
        <v>1454</v>
      </c>
      <c r="J617" s="118">
        <v>-8.3880890000000008</v>
      </c>
      <c r="K617" s="118">
        <v>-74.531291999999993</v>
      </c>
      <c r="L617" s="117">
        <v>250101</v>
      </c>
      <c r="M617" s="117">
        <v>250101</v>
      </c>
    </row>
    <row r="618" spans="1:13" x14ac:dyDescent="0.25">
      <c r="A618" s="120">
        <v>617</v>
      </c>
      <c r="B618" s="120">
        <v>80</v>
      </c>
      <c r="C618" s="117" t="str">
        <f>_xlfn.XLOOKUP(B618,dimUniversidades!$A:$A,dimUniversidades!$B:$B,"(sin universidad)")</f>
        <v>Universidad Privada de Pucallpa S.A.C.</v>
      </c>
      <c r="D618" s="117" t="s">
        <v>399</v>
      </c>
      <c r="E618" s="119" t="b">
        <v>0</v>
      </c>
      <c r="F618" s="117" t="s">
        <v>1152</v>
      </c>
      <c r="G618" s="117" t="s">
        <v>1151</v>
      </c>
      <c r="H618" s="117" t="s">
        <v>1150</v>
      </c>
      <c r="I618" s="117" t="s">
        <v>1453</v>
      </c>
      <c r="J618" s="118">
        <v>-8.3879564999999996</v>
      </c>
      <c r="K618" s="118">
        <v>-74.531218199999998</v>
      </c>
      <c r="L618" s="117">
        <v>250101</v>
      </c>
      <c r="M618" s="117">
        <v>250101</v>
      </c>
    </row>
    <row r="619" spans="1:13" x14ac:dyDescent="0.25">
      <c r="A619" s="120">
        <v>618</v>
      </c>
      <c r="B619" s="120">
        <v>80</v>
      </c>
      <c r="C619" s="117" t="str">
        <f>_xlfn.XLOOKUP(B619,dimUniversidades!$A:$A,dimUniversidades!$B:$B,"(sin universidad)")</f>
        <v>Universidad Privada de Pucallpa S.A.C.</v>
      </c>
      <c r="D619" s="117" t="s">
        <v>735</v>
      </c>
      <c r="E619" s="119" t="b">
        <v>0</v>
      </c>
      <c r="F619" s="117" t="s">
        <v>1152</v>
      </c>
      <c r="G619" s="117" t="s">
        <v>1151</v>
      </c>
      <c r="H619" s="117" t="s">
        <v>1150</v>
      </c>
      <c r="I619" s="117" t="s">
        <v>1452</v>
      </c>
      <c r="J619" s="118">
        <v>-8.3879675000000002</v>
      </c>
      <c r="K619" s="118">
        <v>-74.531727200000006</v>
      </c>
      <c r="L619" s="117">
        <v>250101</v>
      </c>
      <c r="M619" s="117">
        <v>250101</v>
      </c>
    </row>
    <row r="620" spans="1:13" x14ac:dyDescent="0.25">
      <c r="A620" s="120">
        <v>619</v>
      </c>
      <c r="B620" s="120">
        <v>80</v>
      </c>
      <c r="C620" s="117" t="str">
        <f>_xlfn.XLOOKUP(B620,dimUniversidades!$A:$A,dimUniversidades!$B:$B,"(sin universidad)")</f>
        <v>Universidad Privada de Pucallpa S.A.C.</v>
      </c>
      <c r="D620" s="117" t="s">
        <v>500</v>
      </c>
      <c r="E620" s="119" t="b">
        <v>0</v>
      </c>
      <c r="F620" s="117" t="s">
        <v>1152</v>
      </c>
      <c r="G620" s="117" t="s">
        <v>1151</v>
      </c>
      <c r="H620" s="117" t="s">
        <v>1451</v>
      </c>
      <c r="I620" s="117" t="s">
        <v>1450</v>
      </c>
      <c r="J620" s="118">
        <v>-8.4761211999999997</v>
      </c>
      <c r="K620" s="118">
        <v>-74.8068454</v>
      </c>
      <c r="L620" s="117">
        <v>250104</v>
      </c>
      <c r="M620" s="117">
        <v>250102</v>
      </c>
    </row>
    <row r="621" spans="1:13" x14ac:dyDescent="0.25">
      <c r="A621" s="120">
        <v>620</v>
      </c>
      <c r="B621" s="120">
        <v>80</v>
      </c>
      <c r="C621" s="117" t="str">
        <f>_xlfn.XLOOKUP(B621,dimUniversidades!$A:$A,dimUniversidades!$B:$B,"(sin universidad)")</f>
        <v>Universidad Privada de Pucallpa S.A.C.</v>
      </c>
      <c r="D621" s="117" t="s">
        <v>1117</v>
      </c>
      <c r="E621" s="119" t="b">
        <v>0</v>
      </c>
      <c r="F621" s="117" t="s">
        <v>1152</v>
      </c>
      <c r="G621" s="117" t="s">
        <v>1151</v>
      </c>
      <c r="H621" s="117" t="s">
        <v>1150</v>
      </c>
      <c r="I621" s="117" t="s">
        <v>1449</v>
      </c>
      <c r="J621" s="118">
        <v>-8.3838688999999995</v>
      </c>
      <c r="K621" s="118">
        <v>-74.528396799999996</v>
      </c>
      <c r="L621" s="117">
        <v>250101</v>
      </c>
      <c r="M621" s="117">
        <v>250101</v>
      </c>
    </row>
    <row r="622" spans="1:13" x14ac:dyDescent="0.25">
      <c r="A622" s="120">
        <v>621</v>
      </c>
      <c r="B622" s="120">
        <v>81</v>
      </c>
      <c r="C622" s="117" t="str">
        <f>_xlfn.XLOOKUP(B622,dimUniversidades!$A:$A,dimUniversidades!$B:$B,"(sin universidad)")</f>
        <v>Grupo Educativo Universidad Privada de Ica S.A.C.</v>
      </c>
      <c r="D622" s="117" t="s">
        <v>324</v>
      </c>
      <c r="E622" s="119" t="b">
        <v>1</v>
      </c>
      <c r="F622" s="117" t="s">
        <v>1417</v>
      </c>
      <c r="G622" s="117" t="s">
        <v>1417</v>
      </c>
      <c r="H622" s="117" t="s">
        <v>1417</v>
      </c>
      <c r="I622" s="117" t="s">
        <v>1448</v>
      </c>
      <c r="J622" s="118">
        <v>-14.0767829</v>
      </c>
      <c r="K622" s="118">
        <v>-75.733898100000005</v>
      </c>
      <c r="L622" s="117">
        <v>100101</v>
      </c>
      <c r="M622" s="117">
        <v>110101</v>
      </c>
    </row>
    <row r="623" spans="1:13" x14ac:dyDescent="0.25">
      <c r="A623" s="120">
        <v>622</v>
      </c>
      <c r="B623" s="120">
        <v>82</v>
      </c>
      <c r="C623" s="117" t="str">
        <f>_xlfn.XLOOKUP(B623,dimUniversidades!$A:$A,dimUniversidades!$B:$B,"(sin universidad)")</f>
        <v>Universidad Privada Sergio Bernales S.A.</v>
      </c>
      <c r="D623" s="117" t="s">
        <v>324</v>
      </c>
      <c r="E623" s="119" t="b">
        <v>1</v>
      </c>
      <c r="F623" s="117" t="s">
        <v>385</v>
      </c>
      <c r="G623" s="117" t="s">
        <v>1159</v>
      </c>
      <c r="H623" s="117" t="s">
        <v>1158</v>
      </c>
      <c r="I623" s="117" t="s">
        <v>1447</v>
      </c>
      <c r="J623" s="118">
        <v>-13.073085951757101</v>
      </c>
      <c r="K623" s="118">
        <v>-76.369398592343202</v>
      </c>
      <c r="L623" s="117">
        <v>140401</v>
      </c>
      <c r="M623" s="117">
        <v>150501</v>
      </c>
    </row>
    <row r="624" spans="1:13" x14ac:dyDescent="0.25">
      <c r="A624" s="120">
        <v>623</v>
      </c>
      <c r="B624" s="120">
        <v>83</v>
      </c>
      <c r="C624" s="117" t="str">
        <f>_xlfn.XLOOKUP(B624,dimUniversidades!$A:$A,dimUniversidades!$B:$B,"(sin universidad)")</f>
        <v>Universidad Nacional San Luis Gonzaga</v>
      </c>
      <c r="D624" s="117" t="s">
        <v>324</v>
      </c>
      <c r="E624" s="119" t="b">
        <v>1</v>
      </c>
      <c r="F624" s="117" t="s">
        <v>1417</v>
      </c>
      <c r="G624" s="117" t="s">
        <v>1417</v>
      </c>
      <c r="H624" s="117" t="s">
        <v>1417</v>
      </c>
      <c r="I624" s="117" t="s">
        <v>1446</v>
      </c>
      <c r="J624" s="118">
        <v>-14.087132199999999</v>
      </c>
      <c r="K624" s="118">
        <v>-75.733514799999995</v>
      </c>
      <c r="L624" s="117">
        <v>100101</v>
      </c>
      <c r="M624" s="117">
        <v>110101</v>
      </c>
    </row>
    <row r="625" spans="1:13" x14ac:dyDescent="0.25">
      <c r="A625" s="120">
        <v>624</v>
      </c>
      <c r="B625" s="120">
        <v>83</v>
      </c>
      <c r="C625" s="117" t="str">
        <f>_xlfn.XLOOKUP(B625,dimUniversidades!$A:$A,dimUniversidades!$B:$B,"(sin universidad)")</f>
        <v>Universidad Nacional San Luis Gonzaga</v>
      </c>
      <c r="D625" s="117" t="s">
        <v>399</v>
      </c>
      <c r="E625" s="119" t="b">
        <v>0</v>
      </c>
      <c r="F625" s="117" t="s">
        <v>1417</v>
      </c>
      <c r="G625" s="117" t="s">
        <v>1417</v>
      </c>
      <c r="H625" s="117" t="s">
        <v>1417</v>
      </c>
      <c r="I625" s="117" t="s">
        <v>1445</v>
      </c>
      <c r="J625" s="118">
        <v>-14.0655296</v>
      </c>
      <c r="K625" s="118">
        <v>-75.729230299999998</v>
      </c>
      <c r="L625" s="117">
        <v>100101</v>
      </c>
      <c r="M625" s="117">
        <v>110101</v>
      </c>
    </row>
    <row r="626" spans="1:13" x14ac:dyDescent="0.25">
      <c r="A626" s="120">
        <v>625</v>
      </c>
      <c r="B626" s="120">
        <v>83</v>
      </c>
      <c r="C626" s="117" t="str">
        <f>_xlfn.XLOOKUP(B626,dimUniversidades!$A:$A,dimUniversidades!$B:$B,"(sin universidad)")</f>
        <v>Universidad Nacional San Luis Gonzaga</v>
      </c>
      <c r="D626" s="117" t="s">
        <v>735</v>
      </c>
      <c r="E626" s="119" t="b">
        <v>0</v>
      </c>
      <c r="F626" s="117" t="s">
        <v>1417</v>
      </c>
      <c r="G626" s="117" t="s">
        <v>1417</v>
      </c>
      <c r="H626" s="117" t="s">
        <v>1417</v>
      </c>
      <c r="I626" s="117" t="s">
        <v>1444</v>
      </c>
      <c r="J626" s="118">
        <v>-14.0711107</v>
      </c>
      <c r="K626" s="118">
        <v>-75.734517999999994</v>
      </c>
      <c r="L626" s="117">
        <v>100101</v>
      </c>
      <c r="M626" s="117">
        <v>110101</v>
      </c>
    </row>
    <row r="627" spans="1:13" x14ac:dyDescent="0.25">
      <c r="A627" s="120">
        <v>626</v>
      </c>
      <c r="B627" s="120">
        <v>83</v>
      </c>
      <c r="C627" s="117" t="str">
        <f>_xlfn.XLOOKUP(B627,dimUniversidades!$A:$A,dimUniversidades!$B:$B,"(sin universidad)")</f>
        <v>Universidad Nacional San Luis Gonzaga</v>
      </c>
      <c r="D627" s="117" t="s">
        <v>500</v>
      </c>
      <c r="E627" s="119" t="b">
        <v>0</v>
      </c>
      <c r="F627" s="117" t="s">
        <v>1417</v>
      </c>
      <c r="G627" s="117" t="s">
        <v>1417</v>
      </c>
      <c r="H627" s="117" t="s">
        <v>1443</v>
      </c>
      <c r="I627" s="117" t="s">
        <v>1442</v>
      </c>
      <c r="J627" s="118">
        <v>-14.0332829</v>
      </c>
      <c r="K627" s="118">
        <v>-75.7485116</v>
      </c>
      <c r="L627" s="117">
        <v>100110</v>
      </c>
      <c r="M627" s="117">
        <v>110112</v>
      </c>
    </row>
    <row r="628" spans="1:13" x14ac:dyDescent="0.25">
      <c r="A628" s="120">
        <v>627</v>
      </c>
      <c r="B628" s="120">
        <v>83</v>
      </c>
      <c r="C628" s="117" t="str">
        <f>_xlfn.XLOOKUP(B628,dimUniversidades!$A:$A,dimUniversidades!$B:$B,"(sin universidad)")</f>
        <v>Universidad Nacional San Luis Gonzaga</v>
      </c>
      <c r="D628" s="117" t="s">
        <v>579</v>
      </c>
      <c r="E628" s="119" t="b">
        <v>0</v>
      </c>
      <c r="F628" s="117" t="s">
        <v>1417</v>
      </c>
      <c r="G628" s="117" t="s">
        <v>1416</v>
      </c>
      <c r="H628" s="117" t="s">
        <v>1441</v>
      </c>
      <c r="I628" s="117" t="s">
        <v>1440</v>
      </c>
      <c r="J628" s="118">
        <v>-13.42553</v>
      </c>
      <c r="K628" s="118">
        <v>-76.136711000000005</v>
      </c>
      <c r="L628" s="117">
        <v>100203</v>
      </c>
      <c r="M628" s="117">
        <v>110204</v>
      </c>
    </row>
    <row r="629" spans="1:13" x14ac:dyDescent="0.25">
      <c r="A629" s="120">
        <v>628</v>
      </c>
      <c r="B629" s="120">
        <v>83</v>
      </c>
      <c r="C629" s="117" t="str">
        <f>_xlfn.XLOOKUP(B629,dimUniversidades!$A:$A,dimUniversidades!$B:$B,"(sin universidad)")</f>
        <v>Universidad Nacional San Luis Gonzaga</v>
      </c>
      <c r="D629" s="117" t="s">
        <v>1160</v>
      </c>
      <c r="E629" s="119" t="b">
        <v>0</v>
      </c>
      <c r="F629" s="117" t="s">
        <v>1417</v>
      </c>
      <c r="G629" s="117" t="s">
        <v>1439</v>
      </c>
      <c r="H629" s="117" t="s">
        <v>1439</v>
      </c>
      <c r="I629" s="117" t="s">
        <v>1438</v>
      </c>
      <c r="J629" s="118">
        <v>-14.835868700000001</v>
      </c>
      <c r="K629" s="118">
        <v>-74.932758300000003</v>
      </c>
      <c r="L629" s="117">
        <v>100301</v>
      </c>
      <c r="M629" s="117">
        <v>110301</v>
      </c>
    </row>
    <row r="630" spans="1:13" x14ac:dyDescent="0.25">
      <c r="A630" s="120">
        <v>629</v>
      </c>
      <c r="B630" s="120">
        <v>83</v>
      </c>
      <c r="C630" s="117" t="str">
        <f>_xlfn.XLOOKUP(B630,dimUniversidades!$A:$A,dimUniversidades!$B:$B,"(sin universidad)")</f>
        <v>Universidad Nacional San Luis Gonzaga</v>
      </c>
      <c r="D630" s="117" t="s">
        <v>599</v>
      </c>
      <c r="E630" s="119" t="b">
        <v>0</v>
      </c>
      <c r="F630" s="117" t="s">
        <v>1417</v>
      </c>
      <c r="G630" s="117" t="s">
        <v>1437</v>
      </c>
      <c r="H630" s="117" t="s">
        <v>1436</v>
      </c>
      <c r="I630" s="117" t="s">
        <v>1435</v>
      </c>
      <c r="J630" s="118">
        <v>-13.7091444675159</v>
      </c>
      <c r="K630" s="118">
        <v>-76.146956770115693</v>
      </c>
      <c r="L630" s="117">
        <v>100408</v>
      </c>
      <c r="M630" s="117">
        <v>110508</v>
      </c>
    </row>
    <row r="631" spans="1:13" x14ac:dyDescent="0.25">
      <c r="A631" s="120">
        <v>630</v>
      </c>
      <c r="B631" s="120">
        <v>84</v>
      </c>
      <c r="C631" s="117" t="str">
        <f>_xlfn.XLOOKUP(B631,dimUniversidades!$A:$A,dimUniversidades!$B:$B,"(sin universidad)")</f>
        <v>Universidad Autónoma de Ica S.A.C.</v>
      </c>
      <c r="D631" s="117" t="s">
        <v>324</v>
      </c>
      <c r="E631" s="119" t="b">
        <v>1</v>
      </c>
      <c r="F631" s="117" t="s">
        <v>1417</v>
      </c>
      <c r="G631" s="117" t="s">
        <v>1416</v>
      </c>
      <c r="H631" s="117" t="s">
        <v>1415</v>
      </c>
      <c r="I631" s="117" t="s">
        <v>1434</v>
      </c>
      <c r="J631" s="118">
        <v>-13.415587219625101</v>
      </c>
      <c r="K631" s="118">
        <v>-76.128651142327897</v>
      </c>
      <c r="L631" s="117">
        <v>100201</v>
      </c>
      <c r="M631" s="117">
        <v>110201</v>
      </c>
    </row>
    <row r="632" spans="1:13" x14ac:dyDescent="0.25">
      <c r="A632" s="120">
        <v>631</v>
      </c>
      <c r="B632" s="120">
        <v>84</v>
      </c>
      <c r="C632" s="117" t="str">
        <f>_xlfn.XLOOKUP(B632,dimUniversidades!$A:$A,dimUniversidades!$B:$B,"(sin universidad)")</f>
        <v>Universidad Autónoma de Ica S.A.C.</v>
      </c>
      <c r="D632" s="117" t="s">
        <v>399</v>
      </c>
      <c r="E632" s="119" t="b">
        <v>0</v>
      </c>
      <c r="F632" s="117" t="s">
        <v>1417</v>
      </c>
      <c r="G632" s="117" t="s">
        <v>1416</v>
      </c>
      <c r="H632" s="117" t="s">
        <v>1415</v>
      </c>
      <c r="I632" s="117" t="s">
        <v>1433</v>
      </c>
      <c r="J632" s="118">
        <v>-13.414236199999999</v>
      </c>
      <c r="K632" s="118">
        <v>-76.1276972</v>
      </c>
      <c r="L632" s="117">
        <v>100201</v>
      </c>
      <c r="M632" s="117">
        <v>110201</v>
      </c>
    </row>
    <row r="633" spans="1:13" x14ac:dyDescent="0.25">
      <c r="A633" s="120">
        <v>632</v>
      </c>
      <c r="B633" s="120">
        <v>84</v>
      </c>
      <c r="C633" s="117" t="str">
        <f>_xlfn.XLOOKUP(B633,dimUniversidades!$A:$A,dimUniversidades!$B:$B,"(sin universidad)")</f>
        <v>Universidad Autónoma de Ica S.A.C.</v>
      </c>
      <c r="D633" s="117" t="s">
        <v>735</v>
      </c>
      <c r="E633" s="119" t="b">
        <v>0</v>
      </c>
      <c r="F633" s="117" t="s">
        <v>1417</v>
      </c>
      <c r="G633" s="117" t="s">
        <v>1416</v>
      </c>
      <c r="H633" s="117" t="s">
        <v>1415</v>
      </c>
      <c r="I633" s="117" t="s">
        <v>1432</v>
      </c>
      <c r="J633" s="118">
        <v>-13.42553</v>
      </c>
      <c r="K633" s="118">
        <v>-76.136711000000005</v>
      </c>
      <c r="L633" s="117">
        <v>100201</v>
      </c>
      <c r="M633" s="117">
        <v>110201</v>
      </c>
    </row>
    <row r="634" spans="1:13" x14ac:dyDescent="0.25">
      <c r="A634" s="120">
        <v>633</v>
      </c>
      <c r="B634" s="120">
        <v>84</v>
      </c>
      <c r="C634" s="117" t="str">
        <f>_xlfn.XLOOKUP(B634,dimUniversidades!$A:$A,dimUniversidades!$B:$B,"(sin universidad)")</f>
        <v>Universidad Autónoma de Ica S.A.C.</v>
      </c>
      <c r="D634" s="117" t="s">
        <v>579</v>
      </c>
      <c r="E634" s="119" t="b">
        <v>0</v>
      </c>
      <c r="F634" s="117" t="s">
        <v>1417</v>
      </c>
      <c r="G634" s="117" t="s">
        <v>1417</v>
      </c>
      <c r="H634" s="117" t="s">
        <v>1417</v>
      </c>
      <c r="I634" s="117" t="s">
        <v>1431</v>
      </c>
      <c r="J634" s="118">
        <v>-14.076838246493599</v>
      </c>
      <c r="K634" s="118">
        <v>-75.733892478573594</v>
      </c>
      <c r="L634" s="117">
        <v>100101</v>
      </c>
      <c r="M634" s="117">
        <v>110101</v>
      </c>
    </row>
    <row r="635" spans="1:13" x14ac:dyDescent="0.25">
      <c r="A635" s="120">
        <v>634</v>
      </c>
      <c r="B635" s="120">
        <v>84</v>
      </c>
      <c r="C635" s="117" t="str">
        <f>_xlfn.XLOOKUP(B635,dimUniversidades!$A:$A,dimUniversidades!$B:$B,"(sin universidad)")</f>
        <v>Universidad Autónoma de Ica S.A.C.</v>
      </c>
      <c r="D635" s="117" t="s">
        <v>1165</v>
      </c>
      <c r="E635" s="119" t="b">
        <v>0</v>
      </c>
      <c r="F635" s="117" t="s">
        <v>1417</v>
      </c>
      <c r="G635" s="117" t="s">
        <v>1417</v>
      </c>
      <c r="H635" s="117" t="s">
        <v>1417</v>
      </c>
      <c r="I635" s="117" t="s">
        <v>1430</v>
      </c>
      <c r="J635" s="118">
        <v>-14.1007929</v>
      </c>
      <c r="K635" s="118">
        <v>-75.729860900000006</v>
      </c>
      <c r="L635" s="117">
        <v>100101</v>
      </c>
      <c r="M635" s="117">
        <v>110101</v>
      </c>
    </row>
    <row r="636" spans="1:13" x14ac:dyDescent="0.25">
      <c r="A636" s="120">
        <v>635</v>
      </c>
      <c r="B636" s="120">
        <v>84</v>
      </c>
      <c r="C636" s="117" t="str">
        <f>_xlfn.XLOOKUP(B636,dimUniversidades!$A:$A,dimUniversidades!$B:$B,"(sin universidad)")</f>
        <v>Universidad Autónoma de Ica S.A.C.</v>
      </c>
      <c r="D636" s="117" t="s">
        <v>1160</v>
      </c>
      <c r="E636" s="119" t="b">
        <v>0</v>
      </c>
      <c r="F636" s="117" t="s">
        <v>385</v>
      </c>
      <c r="G636" s="117" t="s">
        <v>405</v>
      </c>
      <c r="H636" s="117" t="s">
        <v>1429</v>
      </c>
      <c r="I636" s="117" t="s">
        <v>1428</v>
      </c>
      <c r="J636" s="118">
        <v>-11.086611100000001</v>
      </c>
      <c r="K636" s="118">
        <v>-77.598690899999994</v>
      </c>
      <c r="L636" s="117">
        <v>140506</v>
      </c>
      <c r="M636" s="117">
        <v>150805</v>
      </c>
    </row>
    <row r="637" spans="1:13" x14ac:dyDescent="0.25">
      <c r="A637" s="120">
        <v>636</v>
      </c>
      <c r="B637" s="120">
        <v>85</v>
      </c>
      <c r="C637" s="117" t="str">
        <f>_xlfn.XLOOKUP(B637,dimUniversidades!$A:$A,dimUniversidades!$B:$B,"(sin universidad)")</f>
        <v>Universidad Inca Garcilaso de la Vega Asociación Civil</v>
      </c>
      <c r="D637" s="117" t="s">
        <v>324</v>
      </c>
      <c r="E637" s="119" t="b">
        <v>1</v>
      </c>
      <c r="F637" s="117" t="s">
        <v>385</v>
      </c>
      <c r="G637" s="117" t="s">
        <v>385</v>
      </c>
      <c r="H637" s="117" t="s">
        <v>1236</v>
      </c>
      <c r="I637" s="117" t="s">
        <v>1427</v>
      </c>
      <c r="J637" s="118">
        <v>-12.0828451</v>
      </c>
      <c r="K637" s="118">
        <v>-77.034581900000006</v>
      </c>
      <c r="L637" s="117">
        <v>140111</v>
      </c>
      <c r="M637" s="117">
        <v>150116</v>
      </c>
    </row>
    <row r="638" spans="1:13" x14ac:dyDescent="0.25">
      <c r="A638" s="120">
        <v>637</v>
      </c>
      <c r="B638" s="120">
        <v>85</v>
      </c>
      <c r="C638" s="117" t="str">
        <f>_xlfn.XLOOKUP(B638,dimUniversidades!$A:$A,dimUniversidades!$B:$B,"(sin universidad)")</f>
        <v>Universidad Inca Garcilaso de la Vega Asociación Civil</v>
      </c>
      <c r="D638" s="117" t="s">
        <v>399</v>
      </c>
      <c r="E638" s="119" t="b">
        <v>0</v>
      </c>
      <c r="F638" s="117" t="s">
        <v>385</v>
      </c>
      <c r="G638" s="117" t="s">
        <v>385</v>
      </c>
      <c r="H638" s="117" t="s">
        <v>385</v>
      </c>
      <c r="I638" s="117" t="s">
        <v>1426</v>
      </c>
      <c r="J638" s="118">
        <v>-12.0610268</v>
      </c>
      <c r="K638" s="118">
        <v>-77.039139700000007</v>
      </c>
      <c r="L638" s="117">
        <v>140101</v>
      </c>
      <c r="M638" s="117">
        <v>150101</v>
      </c>
    </row>
    <row r="639" spans="1:13" x14ac:dyDescent="0.25">
      <c r="A639" s="120">
        <v>638</v>
      </c>
      <c r="B639" s="120">
        <v>85</v>
      </c>
      <c r="C639" s="117" t="str">
        <f>_xlfn.XLOOKUP(B639,dimUniversidades!$A:$A,dimUniversidades!$B:$B,"(sin universidad)")</f>
        <v>Universidad Inca Garcilaso de la Vega Asociación Civil</v>
      </c>
      <c r="D639" s="117" t="s">
        <v>735</v>
      </c>
      <c r="E639" s="119" t="b">
        <v>0</v>
      </c>
      <c r="F639" s="117" t="s">
        <v>385</v>
      </c>
      <c r="G639" s="117" t="s">
        <v>385</v>
      </c>
      <c r="H639" s="117" t="s">
        <v>1119</v>
      </c>
      <c r="I639" s="117" t="s">
        <v>1425</v>
      </c>
      <c r="J639" s="118">
        <v>-12.0947347</v>
      </c>
      <c r="K639" s="118">
        <v>-77.055413400000006</v>
      </c>
      <c r="L639" s="117">
        <v>140114</v>
      </c>
      <c r="M639" s="117">
        <v>150120</v>
      </c>
    </row>
    <row r="640" spans="1:13" x14ac:dyDescent="0.25">
      <c r="A640" s="120">
        <v>639</v>
      </c>
      <c r="B640" s="120">
        <v>85</v>
      </c>
      <c r="C640" s="117" t="str">
        <f>_xlfn.XLOOKUP(B640,dimUniversidades!$A:$A,dimUniversidades!$B:$B,"(sin universidad)")</f>
        <v>Universidad Inca Garcilaso de la Vega Asociación Civil</v>
      </c>
      <c r="D640" s="117" t="s">
        <v>500</v>
      </c>
      <c r="E640" s="119" t="b">
        <v>0</v>
      </c>
      <c r="F640" s="117" t="s">
        <v>385</v>
      </c>
      <c r="G640" s="117" t="s">
        <v>385</v>
      </c>
      <c r="H640" s="117" t="s">
        <v>1179</v>
      </c>
      <c r="I640" s="117" t="s">
        <v>1424</v>
      </c>
      <c r="J640" s="118">
        <v>-12.075242299999999</v>
      </c>
      <c r="K640" s="118">
        <v>-77.069259099999996</v>
      </c>
      <c r="L640" s="117">
        <v>140117</v>
      </c>
      <c r="M640" s="117">
        <v>150121</v>
      </c>
    </row>
    <row r="641" spans="1:13" x14ac:dyDescent="0.25">
      <c r="A641" s="120">
        <v>640</v>
      </c>
      <c r="B641" s="120">
        <v>85</v>
      </c>
      <c r="C641" s="117" t="str">
        <f>_xlfn.XLOOKUP(B641,dimUniversidades!$A:$A,dimUniversidades!$B:$B,"(sin universidad)")</f>
        <v>Universidad Inca Garcilaso de la Vega Asociación Civil</v>
      </c>
      <c r="D641" s="117" t="s">
        <v>1117</v>
      </c>
      <c r="E641" s="119" t="b">
        <v>0</v>
      </c>
      <c r="F641" s="117" t="s">
        <v>385</v>
      </c>
      <c r="G641" s="117" t="s">
        <v>385</v>
      </c>
      <c r="H641" s="117" t="s">
        <v>1226</v>
      </c>
      <c r="I641" s="117" t="s">
        <v>1423</v>
      </c>
      <c r="J641" s="118">
        <v>-12.1021334</v>
      </c>
      <c r="K641" s="118">
        <v>-77.032060799999996</v>
      </c>
      <c r="L641" s="117">
        <v>140124</v>
      </c>
      <c r="M641" s="117">
        <v>150131</v>
      </c>
    </row>
    <row r="642" spans="1:13" x14ac:dyDescent="0.25">
      <c r="A642" s="120">
        <v>641</v>
      </c>
      <c r="B642" s="120">
        <v>85</v>
      </c>
      <c r="C642" s="117" t="str">
        <f>_xlfn.XLOOKUP(B642,dimUniversidades!$A:$A,dimUniversidades!$B:$B,"(sin universidad)")</f>
        <v>Universidad Inca Garcilaso de la Vega Asociación Civil</v>
      </c>
      <c r="D642" s="117" t="s">
        <v>1232</v>
      </c>
      <c r="E642" s="119" t="b">
        <v>0</v>
      </c>
      <c r="F642" s="117" t="s">
        <v>385</v>
      </c>
      <c r="G642" s="117" t="s">
        <v>385</v>
      </c>
      <c r="H642" s="117" t="s">
        <v>1182</v>
      </c>
      <c r="I642" s="117" t="s">
        <v>1422</v>
      </c>
      <c r="J642" s="118">
        <v>-12.069437799999999</v>
      </c>
      <c r="K642" s="118">
        <v>-77.048899199999994</v>
      </c>
      <c r="L642" s="117">
        <v>140133</v>
      </c>
      <c r="M642" s="117">
        <v>150113</v>
      </c>
    </row>
    <row r="643" spans="1:13" x14ac:dyDescent="0.25">
      <c r="A643" s="120">
        <v>642</v>
      </c>
      <c r="B643" s="120">
        <v>85</v>
      </c>
      <c r="C643" s="117" t="str">
        <f>_xlfn.XLOOKUP(B643,dimUniversidades!$A:$A,dimUniversidades!$B:$B,"(sin universidad)")</f>
        <v>Universidad Inca Garcilaso de la Vega Asociación Civil</v>
      </c>
      <c r="D643" s="117" t="s">
        <v>1230</v>
      </c>
      <c r="E643" s="119" t="b">
        <v>0</v>
      </c>
      <c r="F643" s="117" t="s">
        <v>385</v>
      </c>
      <c r="G643" s="117" t="s">
        <v>385</v>
      </c>
      <c r="H643" s="117" t="s">
        <v>1182</v>
      </c>
      <c r="I643" s="117" t="s">
        <v>1421</v>
      </c>
      <c r="J643" s="118">
        <v>-12.0812238</v>
      </c>
      <c r="K643" s="118">
        <v>-77.048212500000005</v>
      </c>
      <c r="L643" s="117">
        <v>140133</v>
      </c>
      <c r="M643" s="117">
        <v>150113</v>
      </c>
    </row>
    <row r="644" spans="1:13" x14ac:dyDescent="0.25">
      <c r="A644" s="120">
        <v>643</v>
      </c>
      <c r="B644" s="120">
        <v>85</v>
      </c>
      <c r="C644" s="117" t="str">
        <f>_xlfn.XLOOKUP(B644,dimUniversidades!$A:$A,dimUniversidades!$B:$B,"(sin universidad)")</f>
        <v>Universidad Inca Garcilaso de la Vega Asociación Civil</v>
      </c>
      <c r="D644" s="117" t="s">
        <v>1227</v>
      </c>
      <c r="E644" s="119" t="b">
        <v>0</v>
      </c>
      <c r="F644" s="117" t="s">
        <v>385</v>
      </c>
      <c r="G644" s="117" t="s">
        <v>385</v>
      </c>
      <c r="H644" s="117" t="s">
        <v>1179</v>
      </c>
      <c r="I644" s="117" t="s">
        <v>1420</v>
      </c>
      <c r="J644" s="118">
        <v>-12.074601400000001</v>
      </c>
      <c r="K644" s="118">
        <v>-77.0547842</v>
      </c>
      <c r="L644" s="117">
        <v>140117</v>
      </c>
      <c r="M644" s="117">
        <v>150121</v>
      </c>
    </row>
    <row r="645" spans="1:13" x14ac:dyDescent="0.25">
      <c r="A645" s="120">
        <v>644</v>
      </c>
      <c r="B645" s="120">
        <v>85</v>
      </c>
      <c r="C645" s="117" t="str">
        <f>_xlfn.XLOOKUP(B645,dimUniversidades!$A:$A,dimUniversidades!$B:$B,"(sin universidad)")</f>
        <v>Universidad Inca Garcilaso de la Vega Asociación Civil</v>
      </c>
      <c r="D645" s="117" t="s">
        <v>1419</v>
      </c>
      <c r="E645" s="119" t="b">
        <v>0</v>
      </c>
      <c r="F645" s="117" t="s">
        <v>385</v>
      </c>
      <c r="G645" s="117" t="s">
        <v>385</v>
      </c>
      <c r="H645" s="117" t="s">
        <v>385</v>
      </c>
      <c r="I645" s="117" t="s">
        <v>1418</v>
      </c>
      <c r="J645" s="118">
        <v>-12.0660975</v>
      </c>
      <c r="K645" s="118">
        <v>-77.036199100000005</v>
      </c>
      <c r="L645" s="117">
        <v>140101</v>
      </c>
      <c r="M645" s="117">
        <v>150101</v>
      </c>
    </row>
    <row r="646" spans="1:13" x14ac:dyDescent="0.25">
      <c r="A646" s="120">
        <v>645</v>
      </c>
      <c r="B646" s="120">
        <v>85</v>
      </c>
      <c r="C646" s="117" t="str">
        <f>_xlfn.XLOOKUP(B646,dimUniversidades!$A:$A,dimUniversidades!$B:$B,"(sin universidad)")</f>
        <v>Universidad Inca Garcilaso de la Vega Asociación Civil</v>
      </c>
      <c r="D646" s="117" t="s">
        <v>579</v>
      </c>
      <c r="E646" s="119" t="b">
        <v>0</v>
      </c>
      <c r="F646" s="117" t="s">
        <v>1417</v>
      </c>
      <c r="G646" s="117" t="s">
        <v>1416</v>
      </c>
      <c r="H646" s="117" t="s">
        <v>1415</v>
      </c>
      <c r="I646" s="117" t="s">
        <v>1414</v>
      </c>
      <c r="J646" s="118">
        <v>-13.42553</v>
      </c>
      <c r="K646" s="118">
        <v>-76.136711000000005</v>
      </c>
      <c r="L646" s="117">
        <v>100201</v>
      </c>
      <c r="M646" s="117">
        <v>110201</v>
      </c>
    </row>
    <row r="647" spans="1:13" x14ac:dyDescent="0.25">
      <c r="A647" s="120">
        <v>646</v>
      </c>
      <c r="B647" s="120">
        <v>86</v>
      </c>
      <c r="C647" s="117" t="str">
        <f>_xlfn.XLOOKUP(B647,dimUniversidades!$A:$A,dimUniversidades!$B:$B,"(sin universidad)")</f>
        <v>Universidad Peruana del Oriente S.A.C.</v>
      </c>
      <c r="D647" s="117" t="s">
        <v>324</v>
      </c>
      <c r="E647" s="119" t="b">
        <v>1</v>
      </c>
      <c r="F647" s="117" t="s">
        <v>1312</v>
      </c>
      <c r="G647" s="117" t="s">
        <v>1400</v>
      </c>
      <c r="H647" s="117" t="s">
        <v>1399</v>
      </c>
      <c r="I647" s="117" t="s">
        <v>1413</v>
      </c>
      <c r="J647" s="118">
        <v>-3.771757644</v>
      </c>
      <c r="K647" s="118">
        <v>-73.283431686</v>
      </c>
      <c r="L647" s="117">
        <v>150113</v>
      </c>
      <c r="M647" s="117">
        <v>160113</v>
      </c>
    </row>
    <row r="648" spans="1:13" x14ac:dyDescent="0.25">
      <c r="A648" s="120">
        <v>647</v>
      </c>
      <c r="B648" s="120">
        <v>87</v>
      </c>
      <c r="C648" s="117" t="str">
        <f>_xlfn.XLOOKUP(B648,dimUniversidades!$A:$A,dimUniversidades!$B:$B,"(sin universidad)")</f>
        <v>Universidad Privada San Carlos S.A.C.</v>
      </c>
      <c r="D648" s="117" t="s">
        <v>324</v>
      </c>
      <c r="E648" s="119" t="b">
        <v>1</v>
      </c>
      <c r="F648" s="117" t="s">
        <v>322</v>
      </c>
      <c r="G648" s="117" t="s">
        <v>322</v>
      </c>
      <c r="H648" s="117" t="s">
        <v>322</v>
      </c>
      <c r="I648" s="117" t="s">
        <v>1412</v>
      </c>
      <c r="J648" s="118">
        <v>-15.8395008</v>
      </c>
      <c r="K648" s="118">
        <v>-70.029516599999994</v>
      </c>
      <c r="L648" s="117">
        <v>200101</v>
      </c>
      <c r="M648" s="117">
        <v>210101</v>
      </c>
    </row>
    <row r="649" spans="1:13" x14ac:dyDescent="0.25">
      <c r="A649" s="120">
        <v>648</v>
      </c>
      <c r="B649" s="120">
        <v>87</v>
      </c>
      <c r="C649" s="117" t="str">
        <f>_xlfn.XLOOKUP(B649,dimUniversidades!$A:$A,dimUniversidades!$B:$B,"(sin universidad)")</f>
        <v>Universidad Privada San Carlos S.A.C.</v>
      </c>
      <c r="D649" s="117" t="s">
        <v>399</v>
      </c>
      <c r="E649" s="119" t="b">
        <v>0</v>
      </c>
      <c r="F649" s="117" t="s">
        <v>322</v>
      </c>
      <c r="G649" s="117" t="s">
        <v>322</v>
      </c>
      <c r="H649" s="117" t="s">
        <v>322</v>
      </c>
      <c r="I649" s="117" t="s">
        <v>1411</v>
      </c>
      <c r="J649" s="118">
        <v>-15.838176000000001</v>
      </c>
      <c r="K649" s="118">
        <v>-70.028342100000003</v>
      </c>
      <c r="L649" s="117">
        <v>200101</v>
      </c>
      <c r="M649" s="117">
        <v>210101</v>
      </c>
    </row>
    <row r="650" spans="1:13" x14ac:dyDescent="0.25">
      <c r="A650" s="120">
        <v>649</v>
      </c>
      <c r="B650" s="120">
        <v>87</v>
      </c>
      <c r="C650" s="117" t="str">
        <f>_xlfn.XLOOKUP(B650,dimUniversidades!$A:$A,dimUniversidades!$B:$B,"(sin universidad)")</f>
        <v>Universidad Privada San Carlos S.A.C.</v>
      </c>
      <c r="D650" s="117" t="s">
        <v>579</v>
      </c>
      <c r="E650" s="119" t="b">
        <v>0</v>
      </c>
      <c r="F650" s="117" t="s">
        <v>322</v>
      </c>
      <c r="G650" s="117" t="s">
        <v>1347</v>
      </c>
      <c r="H650" s="117" t="s">
        <v>456</v>
      </c>
      <c r="I650" s="117" t="s">
        <v>1410</v>
      </c>
      <c r="J650" s="118">
        <v>-15.4935744</v>
      </c>
      <c r="K650" s="118">
        <v>-70.127063800000002</v>
      </c>
      <c r="L650" s="117">
        <v>200901</v>
      </c>
      <c r="M650" s="117">
        <v>211101</v>
      </c>
    </row>
    <row r="651" spans="1:13" x14ac:dyDescent="0.25">
      <c r="A651" s="120">
        <v>650</v>
      </c>
      <c r="B651" s="120">
        <v>87</v>
      </c>
      <c r="C651" s="117" t="str">
        <f>_xlfn.XLOOKUP(B651,dimUniversidades!$A:$A,dimUniversidades!$B:$B,"(sin universidad)")</f>
        <v>Universidad Privada San Carlos S.A.C.</v>
      </c>
      <c r="D651" s="117" t="s">
        <v>1160</v>
      </c>
      <c r="E651" s="119" t="b">
        <v>0</v>
      </c>
      <c r="F651" s="117" t="s">
        <v>322</v>
      </c>
      <c r="G651" s="117" t="s">
        <v>1289</v>
      </c>
      <c r="H651" s="117" t="s">
        <v>1288</v>
      </c>
      <c r="I651" s="117" t="s">
        <v>1409</v>
      </c>
      <c r="J651" s="118">
        <v>-16.082539499999999</v>
      </c>
      <c r="K651" s="118">
        <v>-69.638472399999998</v>
      </c>
      <c r="L651" s="117">
        <v>201201</v>
      </c>
      <c r="M651" s="117">
        <v>210501</v>
      </c>
    </row>
    <row r="652" spans="1:13" x14ac:dyDescent="0.25">
      <c r="A652" s="120">
        <v>651</v>
      </c>
      <c r="B652" s="120">
        <v>88</v>
      </c>
      <c r="C652" s="117" t="str">
        <f>_xlfn.XLOOKUP(B652,dimUniversidades!$A:$A,dimUniversidades!$B:$B,"(sin universidad)")</f>
        <v>Universidad Nacional Toribio Rodríguez de Mendoza de Amazonas</v>
      </c>
      <c r="D652" s="117" t="s">
        <v>324</v>
      </c>
      <c r="E652" s="119" t="b">
        <v>1</v>
      </c>
      <c r="F652" s="117" t="s">
        <v>1307</v>
      </c>
      <c r="G652" s="117" t="s">
        <v>1408</v>
      </c>
      <c r="H652" s="117" t="s">
        <v>1408</v>
      </c>
      <c r="I652" s="117" t="s">
        <v>1407</v>
      </c>
      <c r="J652" s="118">
        <v>-6.2335409000000004</v>
      </c>
      <c r="K652" s="118">
        <v>-77.853165099999998</v>
      </c>
      <c r="L652" s="117">
        <v>10101</v>
      </c>
      <c r="M652" s="117">
        <v>10101</v>
      </c>
    </row>
    <row r="653" spans="1:13" x14ac:dyDescent="0.25">
      <c r="A653" s="120">
        <v>652</v>
      </c>
      <c r="B653" s="120">
        <v>88</v>
      </c>
      <c r="C653" s="117" t="str">
        <f>_xlfn.XLOOKUP(B653,dimUniversidades!$A:$A,dimUniversidades!$B:$B,"(sin universidad)")</f>
        <v>Universidad Nacional Toribio Rodríguez de Mendoza de Amazonas</v>
      </c>
      <c r="D653" s="117" t="s">
        <v>579</v>
      </c>
      <c r="E653" s="119" t="b">
        <v>0</v>
      </c>
      <c r="F653" s="117" t="s">
        <v>1307</v>
      </c>
      <c r="G653" s="117" t="s">
        <v>1306</v>
      </c>
      <c r="H653" s="117" t="s">
        <v>1306</v>
      </c>
      <c r="I653" s="117" t="s">
        <v>1406</v>
      </c>
      <c r="J653" s="118">
        <v>-5.6434298314263298</v>
      </c>
      <c r="K653" s="118">
        <v>-78.522647902064904</v>
      </c>
      <c r="L653" s="117">
        <v>10205</v>
      </c>
      <c r="M653" s="117">
        <v>10201</v>
      </c>
    </row>
    <row r="654" spans="1:13" x14ac:dyDescent="0.25">
      <c r="A654" s="120">
        <v>653</v>
      </c>
      <c r="B654" s="120">
        <v>88</v>
      </c>
      <c r="C654" s="117" t="str">
        <f>_xlfn.XLOOKUP(B654,dimUniversidades!$A:$A,dimUniversidades!$B:$B,"(sin universidad)")</f>
        <v>Universidad Nacional Toribio Rodríguez de Mendoza de Amazonas</v>
      </c>
      <c r="D654" s="117" t="s">
        <v>1160</v>
      </c>
      <c r="E654" s="119" t="b">
        <v>0</v>
      </c>
      <c r="F654" s="117" t="s">
        <v>1307</v>
      </c>
      <c r="G654" s="117" t="s">
        <v>1315</v>
      </c>
      <c r="H654" s="117" t="s">
        <v>1314</v>
      </c>
      <c r="I654" s="117" t="s">
        <v>1405</v>
      </c>
      <c r="J654" s="118">
        <v>-5.7627165290560001</v>
      </c>
      <c r="K654" s="118">
        <v>-78.450386524200397</v>
      </c>
      <c r="L654" s="117">
        <v>10701</v>
      </c>
      <c r="M654" s="117">
        <v>10701</v>
      </c>
    </row>
    <row r="655" spans="1:13" x14ac:dyDescent="0.25">
      <c r="A655" s="120">
        <v>654</v>
      </c>
      <c r="B655" s="120">
        <v>89</v>
      </c>
      <c r="C655" s="117" t="str">
        <f>_xlfn.XLOOKUP(B655,dimUniversidades!$A:$A,dimUniversidades!$B:$B,"(sin universidad)")</f>
        <v>Universidad Esan</v>
      </c>
      <c r="D655" s="117" t="s">
        <v>324</v>
      </c>
      <c r="E655" s="119" t="b">
        <v>1</v>
      </c>
      <c r="F655" s="117" t="s">
        <v>385</v>
      </c>
      <c r="G655" s="117" t="s">
        <v>385</v>
      </c>
      <c r="H655" s="117" t="s">
        <v>542</v>
      </c>
      <c r="I655" s="117" t="s">
        <v>1404</v>
      </c>
      <c r="J655" s="118">
        <v>-12.1044896914765</v>
      </c>
      <c r="K655" s="118">
        <v>-76.961964968769294</v>
      </c>
      <c r="L655" s="117">
        <v>140130</v>
      </c>
      <c r="M655" s="117">
        <v>150140</v>
      </c>
    </row>
    <row r="656" spans="1:13" x14ac:dyDescent="0.25">
      <c r="A656" s="120">
        <v>655</v>
      </c>
      <c r="B656" s="120">
        <v>91</v>
      </c>
      <c r="C656" s="117" t="str">
        <f>_xlfn.XLOOKUP(B656,dimUniversidades!$A:$A,dimUniversidades!$B:$B,"(sin universidad)")</f>
        <v>Universidad Seminario Bíblico Andino</v>
      </c>
      <c r="D656" s="117" t="s">
        <v>324</v>
      </c>
      <c r="E656" s="119" t="b">
        <v>1</v>
      </c>
      <c r="F656" s="117" t="s">
        <v>385</v>
      </c>
      <c r="G656" s="117" t="s">
        <v>385</v>
      </c>
      <c r="H656" s="117" t="s">
        <v>1179</v>
      </c>
      <c r="I656" s="117" t="s">
        <v>1403</v>
      </c>
      <c r="J656" s="118">
        <v>-12.069620799999999</v>
      </c>
      <c r="K656" s="118">
        <v>-77.053397799999999</v>
      </c>
      <c r="L656" s="117">
        <v>140117</v>
      </c>
      <c r="M656" s="117">
        <v>150121</v>
      </c>
    </row>
    <row r="657" spans="1:13" x14ac:dyDescent="0.25">
      <c r="A657" s="120">
        <v>656</v>
      </c>
      <c r="B657" s="120">
        <v>92</v>
      </c>
      <c r="C657" s="117" t="str">
        <f>_xlfn.XLOOKUP(B657,dimUniversidades!$A:$A,dimUniversidades!$B:$B,"(sin universidad)")</f>
        <v>Universidad Seminario Evangélico de Lima</v>
      </c>
      <c r="D657" s="117" t="s">
        <v>324</v>
      </c>
      <c r="E657" s="119" t="b">
        <v>1</v>
      </c>
      <c r="F657" s="117" t="s">
        <v>385</v>
      </c>
      <c r="G657" s="117" t="s">
        <v>385</v>
      </c>
      <c r="H657" s="117" t="s">
        <v>428</v>
      </c>
      <c r="I657" s="117" t="s">
        <v>1402</v>
      </c>
      <c r="J657" s="118">
        <v>-12.063822399999999</v>
      </c>
      <c r="K657" s="118">
        <v>-76.960132700000003</v>
      </c>
      <c r="L657" s="117">
        <v>140110</v>
      </c>
      <c r="M657" s="117">
        <v>150114</v>
      </c>
    </row>
    <row r="658" spans="1:13" x14ac:dyDescent="0.25">
      <c r="A658" s="120">
        <v>657</v>
      </c>
      <c r="B658" s="120">
        <v>93</v>
      </c>
      <c r="C658" s="117" t="str">
        <f>_xlfn.XLOOKUP(B658,dimUniversidades!$A:$A,dimUniversidades!$B:$B,"(sin universidad)")</f>
        <v>Universidad Científica del Perú</v>
      </c>
      <c r="D658" s="117" t="s">
        <v>324</v>
      </c>
      <c r="E658" s="119" t="b">
        <v>1</v>
      </c>
      <c r="F658" s="117" t="s">
        <v>1312</v>
      </c>
      <c r="G658" s="117" t="s">
        <v>1400</v>
      </c>
      <c r="H658" s="117" t="s">
        <v>1399</v>
      </c>
      <c r="I658" s="117" t="s">
        <v>1401</v>
      </c>
      <c r="J658" s="118">
        <v>-3.7691882966999999</v>
      </c>
      <c r="K658" s="118">
        <v>-73.282036938000005</v>
      </c>
      <c r="L658" s="117">
        <v>150113</v>
      </c>
      <c r="M658" s="117">
        <v>160113</v>
      </c>
    </row>
    <row r="659" spans="1:13" x14ac:dyDescent="0.25">
      <c r="A659" s="120">
        <v>658</v>
      </c>
      <c r="B659" s="120">
        <v>93</v>
      </c>
      <c r="C659" s="117" t="str">
        <f>_xlfn.XLOOKUP(B659,dimUniversidades!$A:$A,dimUniversidades!$B:$B,"(sin universidad)")</f>
        <v>Universidad Científica del Perú</v>
      </c>
      <c r="D659" s="117" t="s">
        <v>399</v>
      </c>
      <c r="E659" s="119" t="b">
        <v>0</v>
      </c>
      <c r="F659" s="117" t="s">
        <v>1312</v>
      </c>
      <c r="G659" s="117" t="s">
        <v>1400</v>
      </c>
      <c r="H659" s="117" t="s">
        <v>1399</v>
      </c>
      <c r="I659" s="117" t="s">
        <v>1398</v>
      </c>
      <c r="J659" s="118">
        <v>-3.7846150999999999</v>
      </c>
      <c r="K659" s="118">
        <v>-73.256079600000007</v>
      </c>
      <c r="L659" s="117">
        <v>150113</v>
      </c>
      <c r="M659" s="117">
        <v>160113</v>
      </c>
    </row>
    <row r="660" spans="1:13" x14ac:dyDescent="0.25">
      <c r="A660" s="120">
        <v>659</v>
      </c>
      <c r="B660" s="120">
        <v>93</v>
      </c>
      <c r="C660" s="117" t="str">
        <f>_xlfn.XLOOKUP(B660,dimUniversidades!$A:$A,dimUniversidades!$B:$B,"(sin universidad)")</f>
        <v>Universidad Científica del Perú</v>
      </c>
      <c r="D660" s="117" t="s">
        <v>579</v>
      </c>
      <c r="E660" s="119" t="b">
        <v>0</v>
      </c>
      <c r="F660" s="117" t="s">
        <v>1318</v>
      </c>
      <c r="G660" s="117" t="s">
        <v>1318</v>
      </c>
      <c r="H660" s="117" t="s">
        <v>1329</v>
      </c>
      <c r="I660" s="117" t="s">
        <v>1397</v>
      </c>
      <c r="J660" s="118">
        <v>-6.4796912000000004</v>
      </c>
      <c r="K660" s="118">
        <v>-76.364974000000004</v>
      </c>
      <c r="L660" s="117">
        <v>210601</v>
      </c>
      <c r="M660" s="117">
        <v>220901</v>
      </c>
    </row>
    <row r="661" spans="1:13" x14ac:dyDescent="0.25">
      <c r="A661" s="120">
        <v>660</v>
      </c>
      <c r="B661" s="120">
        <v>93</v>
      </c>
      <c r="C661" s="117" t="str">
        <f>_xlfn.XLOOKUP(B661,dimUniversidades!$A:$A,dimUniversidades!$B:$B,"(sin universidad)")</f>
        <v>Universidad Científica del Perú</v>
      </c>
      <c r="D661" s="117" t="s">
        <v>1165</v>
      </c>
      <c r="E661" s="119" t="b">
        <v>0</v>
      </c>
      <c r="F661" s="117" t="s">
        <v>1318</v>
      </c>
      <c r="G661" s="117" t="s">
        <v>1318</v>
      </c>
      <c r="H661" s="117" t="s">
        <v>1329</v>
      </c>
      <c r="I661" s="117" t="s">
        <v>1396</v>
      </c>
      <c r="J661" s="118">
        <v>-6.4929911000000002</v>
      </c>
      <c r="K661" s="118">
        <v>-76.366619099999994</v>
      </c>
      <c r="L661" s="117">
        <v>210601</v>
      </c>
      <c r="M661" s="117">
        <v>220901</v>
      </c>
    </row>
    <row r="662" spans="1:13" x14ac:dyDescent="0.25">
      <c r="A662" s="120">
        <v>661</v>
      </c>
      <c r="B662" s="120">
        <v>94</v>
      </c>
      <c r="C662" s="117" t="str">
        <f>_xlfn.XLOOKUP(B662,dimUniversidades!$A:$A,dimUniversidades!$B:$B,"(sin universidad)")</f>
        <v>Universidad José Carlos Mariátegui</v>
      </c>
      <c r="D662" s="117" t="s">
        <v>324</v>
      </c>
      <c r="E662" s="119" t="b">
        <v>1</v>
      </c>
      <c r="F662" s="117" t="s">
        <v>1390</v>
      </c>
      <c r="G662" s="117" t="s">
        <v>1392</v>
      </c>
      <c r="H662" s="117" t="s">
        <v>1258</v>
      </c>
      <c r="I662" s="117" t="s">
        <v>1395</v>
      </c>
      <c r="J662" s="118">
        <v>-17.206236700000002</v>
      </c>
      <c r="K662" s="118">
        <v>-70.945763499999998</v>
      </c>
      <c r="L662" s="117">
        <v>170107</v>
      </c>
      <c r="M662" s="117">
        <v>180107</v>
      </c>
    </row>
    <row r="663" spans="1:13" x14ac:dyDescent="0.25">
      <c r="A663" s="120">
        <v>662</v>
      </c>
      <c r="B663" s="120">
        <v>94</v>
      </c>
      <c r="C663" s="117" t="str">
        <f>_xlfn.XLOOKUP(B663,dimUniversidades!$A:$A,dimUniversidades!$B:$B,"(sin universidad)")</f>
        <v>Universidad José Carlos Mariátegui</v>
      </c>
      <c r="D663" s="117" t="s">
        <v>1176</v>
      </c>
      <c r="E663" s="119" t="b">
        <v>0</v>
      </c>
      <c r="F663" s="117" t="s">
        <v>1390</v>
      </c>
      <c r="G663" s="117" t="s">
        <v>1392</v>
      </c>
      <c r="H663" s="117" t="s">
        <v>1390</v>
      </c>
      <c r="I663" s="117" t="s">
        <v>1394</v>
      </c>
      <c r="J663" s="118">
        <v>-17.1900294</v>
      </c>
      <c r="K663" s="118">
        <v>-70.9423867</v>
      </c>
      <c r="L663" s="117">
        <v>170101</v>
      </c>
      <c r="M663" s="117">
        <v>180101</v>
      </c>
    </row>
    <row r="664" spans="1:13" x14ac:dyDescent="0.25">
      <c r="A664" s="120">
        <v>663</v>
      </c>
      <c r="B664" s="120">
        <v>94</v>
      </c>
      <c r="C664" s="117" t="str">
        <f>_xlfn.XLOOKUP(B664,dimUniversidades!$A:$A,dimUniversidades!$B:$B,"(sin universidad)")</f>
        <v>Universidad José Carlos Mariátegui</v>
      </c>
      <c r="D664" s="117" t="s">
        <v>399</v>
      </c>
      <c r="E664" s="119" t="b">
        <v>0</v>
      </c>
      <c r="F664" s="117" t="s">
        <v>1390</v>
      </c>
      <c r="G664" s="117" t="s">
        <v>1392</v>
      </c>
      <c r="H664" s="117" t="s">
        <v>1390</v>
      </c>
      <c r="I664" s="117" t="s">
        <v>1393</v>
      </c>
      <c r="J664" s="118">
        <v>-17.187292299999999</v>
      </c>
      <c r="K664" s="118">
        <v>-70.931940900000001</v>
      </c>
      <c r="L664" s="117">
        <v>170101</v>
      </c>
      <c r="M664" s="117">
        <v>180101</v>
      </c>
    </row>
    <row r="665" spans="1:13" x14ac:dyDescent="0.25">
      <c r="A665" s="120">
        <v>664</v>
      </c>
      <c r="B665" s="120">
        <v>94</v>
      </c>
      <c r="C665" s="117" t="str">
        <f>_xlfn.XLOOKUP(B665,dimUniversidades!$A:$A,dimUniversidades!$B:$B,"(sin universidad)")</f>
        <v>Universidad José Carlos Mariátegui</v>
      </c>
      <c r="D665" s="117" t="s">
        <v>735</v>
      </c>
      <c r="E665" s="119" t="b">
        <v>0</v>
      </c>
      <c r="F665" s="117" t="s">
        <v>1390</v>
      </c>
      <c r="G665" s="117" t="s">
        <v>1392</v>
      </c>
      <c r="H665" s="117" t="s">
        <v>1390</v>
      </c>
      <c r="I665" s="117" t="s">
        <v>1391</v>
      </c>
      <c r="J665" s="118">
        <v>-17.192736100000001</v>
      </c>
      <c r="K665" s="118">
        <v>-70.932813800000005</v>
      </c>
      <c r="L665" s="117">
        <v>170101</v>
      </c>
      <c r="M665" s="117">
        <v>180101</v>
      </c>
    </row>
    <row r="666" spans="1:13" x14ac:dyDescent="0.25">
      <c r="A666" s="120">
        <v>665</v>
      </c>
      <c r="B666" s="120">
        <v>94</v>
      </c>
      <c r="C666" s="117" t="str">
        <f>_xlfn.XLOOKUP(B666,dimUniversidades!$A:$A,dimUniversidades!$B:$B,"(sin universidad)")</f>
        <v>Universidad José Carlos Mariátegui</v>
      </c>
      <c r="D666" s="117" t="s">
        <v>579</v>
      </c>
      <c r="E666" s="119" t="b">
        <v>0</v>
      </c>
      <c r="F666" s="117" t="s">
        <v>1390</v>
      </c>
      <c r="G666" s="117" t="s">
        <v>1389</v>
      </c>
      <c r="H666" s="117" t="s">
        <v>1389</v>
      </c>
      <c r="I666" s="117" t="s">
        <v>1388</v>
      </c>
      <c r="J666" s="118">
        <v>-17.6430705</v>
      </c>
      <c r="K666" s="118">
        <v>-71.322335800000005</v>
      </c>
      <c r="L666" s="117">
        <v>170301</v>
      </c>
      <c r="M666" s="117">
        <v>180301</v>
      </c>
    </row>
    <row r="667" spans="1:13" x14ac:dyDescent="0.25">
      <c r="A667" s="120">
        <v>666</v>
      </c>
      <c r="B667" s="120">
        <v>94</v>
      </c>
      <c r="C667" s="117" t="str">
        <f>_xlfn.XLOOKUP(B667,dimUniversidades!$A:$A,dimUniversidades!$B:$B,"(sin universidad)")</f>
        <v>Universidad José Carlos Mariátegui</v>
      </c>
      <c r="D667" s="117" t="s">
        <v>1160</v>
      </c>
      <c r="E667" s="119" t="b">
        <v>0</v>
      </c>
      <c r="F667" s="117" t="s">
        <v>322</v>
      </c>
      <c r="G667" s="117" t="s">
        <v>1347</v>
      </c>
      <c r="H667" s="117" t="s">
        <v>456</v>
      </c>
      <c r="I667" s="117" t="s">
        <v>1387</v>
      </c>
      <c r="J667" s="118">
        <v>-15.484090399999999</v>
      </c>
      <c r="K667" s="118">
        <v>-70.1303585</v>
      </c>
      <c r="L667" s="117">
        <v>200901</v>
      </c>
      <c r="M667" s="117">
        <v>211101</v>
      </c>
    </row>
    <row r="668" spans="1:13" x14ac:dyDescent="0.25">
      <c r="A668" s="120">
        <v>667</v>
      </c>
      <c r="B668" s="120">
        <v>94</v>
      </c>
      <c r="C668" s="117" t="str">
        <f>_xlfn.XLOOKUP(B668,dimUniversidades!$A:$A,dimUniversidades!$B:$B,"(sin universidad)")</f>
        <v>Universidad José Carlos Mariátegui</v>
      </c>
      <c r="D668" s="117" t="s">
        <v>599</v>
      </c>
      <c r="E668" s="119" t="b">
        <v>0</v>
      </c>
      <c r="F668" s="117" t="s">
        <v>1114</v>
      </c>
      <c r="G668" s="117" t="s">
        <v>1114</v>
      </c>
      <c r="H668" s="117" t="s">
        <v>1114</v>
      </c>
      <c r="I668" s="117" t="s">
        <v>1386</v>
      </c>
      <c r="J668" s="118">
        <v>-18.026852699999999</v>
      </c>
      <c r="K668" s="118">
        <v>-70.265275900000006</v>
      </c>
      <c r="L668" s="117">
        <v>220101</v>
      </c>
      <c r="M668" s="117">
        <v>230101</v>
      </c>
    </row>
    <row r="669" spans="1:13" x14ac:dyDescent="0.25">
      <c r="A669" s="120">
        <v>668</v>
      </c>
      <c r="B669" s="120">
        <v>94</v>
      </c>
      <c r="C669" s="117" t="str">
        <f>_xlfn.XLOOKUP(B669,dimUniversidades!$A:$A,dimUniversidades!$B:$B,"(sin universidad)")</f>
        <v>Universidad José Carlos Mariátegui</v>
      </c>
      <c r="D669" s="117" t="s">
        <v>678</v>
      </c>
      <c r="E669" s="119" t="b">
        <v>0</v>
      </c>
      <c r="F669" s="117" t="s">
        <v>530</v>
      </c>
      <c r="G669" s="117" t="s">
        <v>530</v>
      </c>
      <c r="H669" s="117" t="s">
        <v>530</v>
      </c>
      <c r="I669" s="117" t="s">
        <v>1385</v>
      </c>
      <c r="J669" s="118">
        <v>-16.394022400000001</v>
      </c>
      <c r="K669" s="118">
        <v>-71.531806599999996</v>
      </c>
      <c r="L669" s="117">
        <v>40101</v>
      </c>
      <c r="M669" s="117">
        <v>40101</v>
      </c>
    </row>
    <row r="670" spans="1:13" x14ac:dyDescent="0.25">
      <c r="A670" s="120">
        <v>669</v>
      </c>
      <c r="B670" s="120">
        <v>94</v>
      </c>
      <c r="C670" s="117" t="str">
        <f>_xlfn.XLOOKUP(B670,dimUniversidades!$A:$A,dimUniversidades!$B:$B,"(sin universidad)")</f>
        <v>Universidad José Carlos Mariátegui</v>
      </c>
      <c r="D670" s="117" t="s">
        <v>392</v>
      </c>
      <c r="E670" s="119" t="b">
        <v>0</v>
      </c>
      <c r="F670" s="117" t="s">
        <v>385</v>
      </c>
      <c r="G670" s="117" t="s">
        <v>385</v>
      </c>
      <c r="H670" s="117" t="s">
        <v>1182</v>
      </c>
      <c r="I670" s="117" t="s">
        <v>1384</v>
      </c>
      <c r="J670" s="118">
        <v>-12.0729358</v>
      </c>
      <c r="K670" s="118">
        <v>-77.0431557</v>
      </c>
      <c r="L670" s="117">
        <v>140133</v>
      </c>
      <c r="M670" s="117">
        <v>150113</v>
      </c>
    </row>
    <row r="671" spans="1:13" x14ac:dyDescent="0.25">
      <c r="A671" s="120">
        <v>670</v>
      </c>
      <c r="B671" s="120">
        <v>94</v>
      </c>
      <c r="C671" s="117" t="str">
        <f>_xlfn.XLOOKUP(B671,dimUniversidades!$A:$A,dimUniversidades!$B:$B,"(sin universidad)")</f>
        <v>Universidad José Carlos Mariátegui</v>
      </c>
      <c r="D671" s="117" t="s">
        <v>1383</v>
      </c>
      <c r="E671" s="119" t="b">
        <v>0</v>
      </c>
      <c r="F671" s="117" t="s">
        <v>385</v>
      </c>
      <c r="G671" s="117" t="s">
        <v>385</v>
      </c>
      <c r="H671" s="117" t="s">
        <v>1382</v>
      </c>
      <c r="I671" s="117" t="s">
        <v>1381</v>
      </c>
      <c r="J671" s="118">
        <v>-12.1786273</v>
      </c>
      <c r="K671" s="118">
        <v>-76.944913499999998</v>
      </c>
      <c r="L671" s="117">
        <v>140132</v>
      </c>
      <c r="M671" s="117">
        <v>150143</v>
      </c>
    </row>
    <row r="672" spans="1:13" x14ac:dyDescent="0.25">
      <c r="A672" s="120">
        <v>671</v>
      </c>
      <c r="B672" s="120">
        <v>95</v>
      </c>
      <c r="C672" s="117" t="str">
        <f>_xlfn.XLOOKUP(B672,dimUniversidades!$A:$A,dimUniversidades!$B:$B,"(sin universidad)")</f>
        <v>Universidad Peruana Austral del Cusco S.A.C.</v>
      </c>
      <c r="D672" s="117" t="s">
        <v>324</v>
      </c>
      <c r="E672" s="119" t="b">
        <v>1</v>
      </c>
      <c r="F672" s="117" t="s">
        <v>374</v>
      </c>
      <c r="G672" s="117" t="s">
        <v>374</v>
      </c>
      <c r="H672" s="117" t="s">
        <v>374</v>
      </c>
      <c r="I672" s="117" t="s">
        <v>1380</v>
      </c>
      <c r="J672" s="118">
        <v>-13.525463065</v>
      </c>
      <c r="K672" s="118">
        <v>-71.951678423999994</v>
      </c>
      <c r="L672" s="117">
        <v>70101</v>
      </c>
      <c r="M672" s="117">
        <v>80101</v>
      </c>
    </row>
    <row r="673" spans="1:13" x14ac:dyDescent="0.25">
      <c r="A673" s="120">
        <v>672</v>
      </c>
      <c r="B673" s="120">
        <v>96</v>
      </c>
      <c r="C673" s="117" t="str">
        <f>_xlfn.XLOOKUP(B673,dimUniversidades!$A:$A,dimUniversidades!$B:$B,"(sin universidad)")</f>
        <v>Universidad Privada Juan Pablo II S.A.C.</v>
      </c>
      <c r="D673" s="117" t="s">
        <v>324</v>
      </c>
      <c r="E673" s="119" t="b">
        <v>1</v>
      </c>
      <c r="F673" s="117" t="s">
        <v>385</v>
      </c>
      <c r="G673" s="117" t="s">
        <v>385</v>
      </c>
      <c r="H673" s="117" t="s">
        <v>1277</v>
      </c>
      <c r="I673" s="117" t="s">
        <v>1379</v>
      </c>
      <c r="J673" s="118">
        <v>-12.021130599999999</v>
      </c>
      <c r="K673" s="118">
        <v>-76.903717299999997</v>
      </c>
      <c r="L673" s="117">
        <v>140103</v>
      </c>
      <c r="M673" s="117">
        <v>150103</v>
      </c>
    </row>
    <row r="674" spans="1:13" x14ac:dyDescent="0.25">
      <c r="A674" s="120">
        <v>673</v>
      </c>
      <c r="B674" s="120">
        <v>97</v>
      </c>
      <c r="C674" s="117" t="str">
        <f>_xlfn.XLOOKUP(B674,dimUniversidades!$A:$A,dimUniversidades!$B:$B,"(sin universidad)")</f>
        <v>Universidad San Andrés S.A.C.</v>
      </c>
      <c r="D674" s="117" t="s">
        <v>324</v>
      </c>
      <c r="E674" s="119" t="b">
        <v>1</v>
      </c>
      <c r="F674" s="117" t="s">
        <v>385</v>
      </c>
      <c r="G674" s="117" t="s">
        <v>385</v>
      </c>
      <c r="H674" s="117" t="s">
        <v>1121</v>
      </c>
      <c r="I674" s="117" t="s">
        <v>1378</v>
      </c>
      <c r="J674" s="118">
        <v>-11.990606</v>
      </c>
      <c r="K674" s="118">
        <v>-77.059860599999993</v>
      </c>
      <c r="L674" s="117">
        <v>140134</v>
      </c>
      <c r="M674" s="117">
        <v>150112</v>
      </c>
    </row>
    <row r="675" spans="1:13" x14ac:dyDescent="0.25">
      <c r="A675" s="120">
        <v>674</v>
      </c>
      <c r="B675" s="120">
        <v>98</v>
      </c>
      <c r="C675" s="117" t="str">
        <f>_xlfn.XLOOKUP(B675,dimUniversidades!$A:$A,dimUniversidades!$B:$B,"(sin universidad)")</f>
        <v>Universidad Peruana del Centro</v>
      </c>
      <c r="D675" s="117" t="s">
        <v>324</v>
      </c>
      <c r="E675" s="119" t="b">
        <v>1</v>
      </c>
      <c r="F675" s="117" t="s">
        <v>467</v>
      </c>
      <c r="G675" s="117" t="s">
        <v>631</v>
      </c>
      <c r="H675" s="117" t="s">
        <v>631</v>
      </c>
      <c r="I675" s="117" t="s">
        <v>1377</v>
      </c>
      <c r="J675" s="118">
        <v>-12.0330464</v>
      </c>
      <c r="K675" s="118">
        <v>-75.237331999999995</v>
      </c>
      <c r="L675" s="117">
        <v>110101</v>
      </c>
      <c r="M675" s="117">
        <v>120101</v>
      </c>
    </row>
    <row r="676" spans="1:13" x14ac:dyDescent="0.25">
      <c r="A676" s="120">
        <v>675</v>
      </c>
      <c r="B676" s="120">
        <v>99</v>
      </c>
      <c r="C676" s="117" t="str">
        <f>_xlfn.XLOOKUP(B676,dimUniversidades!$A:$A,dimUniversidades!$B:$B,"(sin universidad)")</f>
        <v>Universidad Privada Arzobispo Loayza S.A.C.</v>
      </c>
      <c r="D676" s="117" t="s">
        <v>324</v>
      </c>
      <c r="E676" s="119" t="b">
        <v>1</v>
      </c>
      <c r="F676" s="117" t="s">
        <v>385</v>
      </c>
      <c r="G676" s="117" t="s">
        <v>385</v>
      </c>
      <c r="H676" s="117" t="s">
        <v>385</v>
      </c>
      <c r="I676" s="117" t="s">
        <v>1376</v>
      </c>
      <c r="J676" s="118">
        <v>-12.0739859</v>
      </c>
      <c r="K676" s="118">
        <v>-77.035861199999999</v>
      </c>
      <c r="L676" s="117">
        <v>140101</v>
      </c>
      <c r="M676" s="117">
        <v>150101</v>
      </c>
    </row>
    <row r="677" spans="1:13" x14ac:dyDescent="0.25">
      <c r="A677" s="120">
        <v>676</v>
      </c>
      <c r="B677" s="120">
        <v>100</v>
      </c>
      <c r="C677" s="117" t="str">
        <f>_xlfn.XLOOKUP(B677,dimUniversidades!$A:$A,dimUniversidades!$B:$B,"(sin universidad)")</f>
        <v>Universidad Privada Juan Mejía Baca S.A.C.</v>
      </c>
      <c r="D677" s="117" t="s">
        <v>324</v>
      </c>
      <c r="E677" s="119" t="b">
        <v>1</v>
      </c>
      <c r="F677" s="117" t="s">
        <v>589</v>
      </c>
      <c r="G677" s="117" t="s">
        <v>1222</v>
      </c>
      <c r="H677" s="117" t="s">
        <v>1222</v>
      </c>
      <c r="I677" s="117" t="s">
        <v>1375</v>
      </c>
      <c r="J677" s="118">
        <v>-6.7677499455000003</v>
      </c>
      <c r="K677" s="118">
        <v>-79.832568276000003</v>
      </c>
      <c r="L677" s="117">
        <v>130101</v>
      </c>
      <c r="M677" s="117">
        <v>140101</v>
      </c>
    </row>
    <row r="678" spans="1:13" x14ac:dyDescent="0.25">
      <c r="A678" s="120">
        <v>677</v>
      </c>
      <c r="B678" s="120">
        <v>101</v>
      </c>
      <c r="C678" s="117" t="str">
        <f>_xlfn.XLOOKUP(B678,dimUniversidades!$A:$A,dimUniversidades!$B:$B,"(sin universidad)")</f>
        <v>Universidad Ciencias de la Salud S.A.C.</v>
      </c>
      <c r="D678" s="117" t="s">
        <v>324</v>
      </c>
      <c r="E678" s="119" t="b">
        <v>1</v>
      </c>
      <c r="F678" s="117" t="s">
        <v>530</v>
      </c>
      <c r="G678" s="117" t="s">
        <v>530</v>
      </c>
      <c r="H678" s="117" t="s">
        <v>1111</v>
      </c>
      <c r="I678" s="117" t="s">
        <v>1374</v>
      </c>
      <c r="J678" s="118">
        <v>-16.4029451</v>
      </c>
      <c r="K678" s="118">
        <v>-71.545643699999999</v>
      </c>
      <c r="L678" s="117">
        <v>40123</v>
      </c>
      <c r="M678" s="117">
        <v>40126</v>
      </c>
    </row>
    <row r="679" spans="1:13" x14ac:dyDescent="0.25">
      <c r="A679" s="120">
        <v>678</v>
      </c>
      <c r="B679" s="120">
        <v>101</v>
      </c>
      <c r="C679" s="117" t="str">
        <f>_xlfn.XLOOKUP(B679,dimUniversidades!$A:$A,dimUniversidades!$B:$B,"(sin universidad)")</f>
        <v>Universidad Ciencias de la Salud S.A.C.</v>
      </c>
      <c r="D679" s="117" t="s">
        <v>399</v>
      </c>
      <c r="E679" s="119" t="b">
        <v>0</v>
      </c>
      <c r="F679" s="117" t="s">
        <v>530</v>
      </c>
      <c r="G679" s="117" t="s">
        <v>530</v>
      </c>
      <c r="H679" s="117" t="s">
        <v>1111</v>
      </c>
      <c r="I679" s="117" t="s">
        <v>1373</v>
      </c>
      <c r="J679" s="118">
        <v>-16.397739099999999</v>
      </c>
      <c r="K679" s="118">
        <v>-71.557558599999993</v>
      </c>
      <c r="L679" s="117">
        <v>40123</v>
      </c>
      <c r="M679" s="117">
        <v>40126</v>
      </c>
    </row>
    <row r="680" spans="1:13" x14ac:dyDescent="0.25">
      <c r="A680" s="120">
        <v>679</v>
      </c>
      <c r="B680" s="120">
        <v>102</v>
      </c>
      <c r="C680" s="117" t="str">
        <f>_xlfn.XLOOKUP(B680,dimUniversidades!$A:$A,dimUniversidades!$B:$B,"(sin universidad)")</f>
        <v>Universidad Global del Cusco S.A.C.</v>
      </c>
      <c r="D680" s="117" t="s">
        <v>324</v>
      </c>
      <c r="E680" s="119" t="b">
        <v>1</v>
      </c>
      <c r="F680" s="117" t="s">
        <v>374</v>
      </c>
      <c r="G680" s="117" t="s">
        <v>374</v>
      </c>
      <c r="H680" s="117" t="s">
        <v>374</v>
      </c>
      <c r="I680" s="117" t="s">
        <v>1372</v>
      </c>
      <c r="J680" s="118">
        <v>-13.524219499999999</v>
      </c>
      <c r="K680" s="118">
        <v>-71.943693699999997</v>
      </c>
      <c r="L680" s="117">
        <v>70101</v>
      </c>
      <c r="M680" s="117">
        <v>80101</v>
      </c>
    </row>
    <row r="681" spans="1:13" x14ac:dyDescent="0.25">
      <c r="A681" s="120">
        <v>680</v>
      </c>
      <c r="B681" s="120">
        <v>103</v>
      </c>
      <c r="C681" s="117" t="str">
        <f>_xlfn.XLOOKUP(B681,dimUniversidades!$A:$A,dimUniversidades!$B:$B,"(sin universidad)")</f>
        <v>Universidad San Pedro</v>
      </c>
      <c r="D681" s="117" t="s">
        <v>324</v>
      </c>
      <c r="E681" s="119" t="b">
        <v>1</v>
      </c>
      <c r="F681" s="117" t="s">
        <v>1134</v>
      </c>
      <c r="G681" s="117" t="s">
        <v>362</v>
      </c>
      <c r="H681" s="117" t="s">
        <v>1168</v>
      </c>
      <c r="I681" s="117" t="s">
        <v>1371</v>
      </c>
      <c r="J681" s="118">
        <v>-9.0761070517999993</v>
      </c>
      <c r="K681" s="118">
        <v>-78.594445098999998</v>
      </c>
      <c r="L681" s="117">
        <v>21301</v>
      </c>
      <c r="M681" s="117">
        <v>21801</v>
      </c>
    </row>
    <row r="682" spans="1:13" x14ac:dyDescent="0.25">
      <c r="A682" s="120">
        <v>681</v>
      </c>
      <c r="B682" s="120">
        <v>103</v>
      </c>
      <c r="C682" s="117" t="str">
        <f>_xlfn.XLOOKUP(B682,dimUniversidades!$A:$A,dimUniversidades!$B:$B,"(sin universidad)")</f>
        <v>Universidad San Pedro</v>
      </c>
      <c r="D682" s="117" t="s">
        <v>399</v>
      </c>
      <c r="E682" s="119" t="b">
        <v>0</v>
      </c>
      <c r="F682" s="117" t="s">
        <v>1134</v>
      </c>
      <c r="G682" s="117" t="s">
        <v>362</v>
      </c>
      <c r="H682" s="117" t="s">
        <v>1168</v>
      </c>
      <c r="I682" s="117" t="s">
        <v>1370</v>
      </c>
      <c r="J682" s="118">
        <v>-9.1317647999999991</v>
      </c>
      <c r="K682" s="118">
        <v>-78.526471599999994</v>
      </c>
      <c r="L682" s="117">
        <v>21301</v>
      </c>
      <c r="M682" s="117">
        <v>21801</v>
      </c>
    </row>
    <row r="683" spans="1:13" x14ac:dyDescent="0.25">
      <c r="A683" s="120">
        <v>682</v>
      </c>
      <c r="B683" s="120">
        <v>103</v>
      </c>
      <c r="C683" s="117" t="str">
        <f>_xlfn.XLOOKUP(B683,dimUniversidades!$A:$A,dimUniversidades!$B:$B,"(sin universidad)")</f>
        <v>Universidad San Pedro</v>
      </c>
      <c r="D683" s="117" t="s">
        <v>735</v>
      </c>
      <c r="E683" s="119" t="b">
        <v>0</v>
      </c>
      <c r="F683" s="117" t="s">
        <v>1134</v>
      </c>
      <c r="G683" s="117" t="s">
        <v>362</v>
      </c>
      <c r="H683" s="117" t="s">
        <v>1168</v>
      </c>
      <c r="I683" s="117" t="s">
        <v>1369</v>
      </c>
      <c r="J683" s="118">
        <v>-9.1162253999999994</v>
      </c>
      <c r="K683" s="118">
        <v>-78.537235600000002</v>
      </c>
      <c r="L683" s="117">
        <v>21301</v>
      </c>
      <c r="M683" s="117">
        <v>21801</v>
      </c>
    </row>
    <row r="684" spans="1:13" x14ac:dyDescent="0.25">
      <c r="A684" s="120">
        <v>683</v>
      </c>
      <c r="B684" s="120">
        <v>103</v>
      </c>
      <c r="C684" s="117" t="str">
        <f>_xlfn.XLOOKUP(B684,dimUniversidades!$A:$A,dimUniversidades!$B:$B,"(sin universidad)")</f>
        <v>Universidad San Pedro</v>
      </c>
      <c r="D684" s="117" t="s">
        <v>500</v>
      </c>
      <c r="E684" s="119" t="b">
        <v>0</v>
      </c>
      <c r="F684" s="117" t="s">
        <v>1134</v>
      </c>
      <c r="G684" s="117" t="s">
        <v>362</v>
      </c>
      <c r="H684" s="117" t="s">
        <v>361</v>
      </c>
      <c r="I684" s="117" t="s">
        <v>1368</v>
      </c>
      <c r="J684" s="118">
        <v>-9.0633364000000007</v>
      </c>
      <c r="K684" s="118">
        <v>-78.589010999999999</v>
      </c>
      <c r="L684" s="117">
        <v>21309</v>
      </c>
      <c r="M684" s="117">
        <v>21809</v>
      </c>
    </row>
    <row r="685" spans="1:13" x14ac:dyDescent="0.25">
      <c r="A685" s="120">
        <v>684</v>
      </c>
      <c r="B685" s="120">
        <v>103</v>
      </c>
      <c r="C685" s="117" t="str">
        <f>_xlfn.XLOOKUP(B685,dimUniversidades!$A:$A,dimUniversidades!$B:$B,"(sin universidad)")</f>
        <v>Universidad San Pedro</v>
      </c>
      <c r="D685" s="117" t="s">
        <v>1117</v>
      </c>
      <c r="E685" s="119" t="b">
        <v>0</v>
      </c>
      <c r="F685" s="117" t="s">
        <v>1134</v>
      </c>
      <c r="G685" s="117" t="s">
        <v>362</v>
      </c>
      <c r="H685" s="117" t="s">
        <v>1168</v>
      </c>
      <c r="I685" s="117" t="s">
        <v>1367</v>
      </c>
      <c r="J685" s="118">
        <v>-9.0747044999999993</v>
      </c>
      <c r="K685" s="118">
        <v>-78.596593200000001</v>
      </c>
      <c r="L685" s="117">
        <v>21301</v>
      </c>
      <c r="M685" s="117">
        <v>21801</v>
      </c>
    </row>
    <row r="686" spans="1:13" x14ac:dyDescent="0.25">
      <c r="A686" s="120">
        <v>685</v>
      </c>
      <c r="B686" s="120">
        <v>103</v>
      </c>
      <c r="C686" s="117" t="str">
        <f>_xlfn.XLOOKUP(B686,dimUniversidades!$A:$A,dimUniversidades!$B:$B,"(sin universidad)")</f>
        <v>Universidad San Pedro</v>
      </c>
      <c r="D686" s="117" t="s">
        <v>579</v>
      </c>
      <c r="E686" s="119" t="b">
        <v>0</v>
      </c>
      <c r="F686" s="117" t="s">
        <v>1134</v>
      </c>
      <c r="G686" s="117" t="s">
        <v>1133</v>
      </c>
      <c r="H686" s="117" t="s">
        <v>1121</v>
      </c>
      <c r="I686" s="117" t="s">
        <v>1366</v>
      </c>
      <c r="J686" s="118">
        <v>-9.5153090000000002</v>
      </c>
      <c r="K686" s="118">
        <v>-77.525037900000001</v>
      </c>
      <c r="L686" s="117">
        <v>20102</v>
      </c>
      <c r="M686" s="117">
        <v>20105</v>
      </c>
    </row>
    <row r="687" spans="1:13" x14ac:dyDescent="0.25">
      <c r="A687" s="120">
        <v>686</v>
      </c>
      <c r="B687" s="120">
        <v>103</v>
      </c>
      <c r="C687" s="117" t="str">
        <f>_xlfn.XLOOKUP(B687,dimUniversidades!$A:$A,dimUniversidades!$B:$B,"(sin universidad)")</f>
        <v>Universidad San Pedro</v>
      </c>
      <c r="D687" s="117" t="s">
        <v>1165</v>
      </c>
      <c r="E687" s="119" t="b">
        <v>0</v>
      </c>
      <c r="F687" s="117" t="s">
        <v>1134</v>
      </c>
      <c r="G687" s="117" t="s">
        <v>1133</v>
      </c>
      <c r="H687" s="117" t="s">
        <v>1121</v>
      </c>
      <c r="I687" s="117" t="s">
        <v>1365</v>
      </c>
      <c r="J687" s="118">
        <v>-9.5132596200371609</v>
      </c>
      <c r="K687" s="118">
        <v>-77.531753196295199</v>
      </c>
      <c r="L687" s="117">
        <v>20102</v>
      </c>
      <c r="M687" s="117">
        <v>20105</v>
      </c>
    </row>
    <row r="688" spans="1:13" x14ac:dyDescent="0.25">
      <c r="A688" s="120">
        <v>687</v>
      </c>
      <c r="B688" s="120">
        <v>103</v>
      </c>
      <c r="C688" s="117" t="str">
        <f>_xlfn.XLOOKUP(B688,dimUniversidades!$A:$A,dimUniversidades!$B:$B,"(sin universidad)")</f>
        <v>Universidad San Pedro</v>
      </c>
      <c r="D688" s="117" t="s">
        <v>1160</v>
      </c>
      <c r="E688" s="119" t="b">
        <v>0</v>
      </c>
      <c r="F688" s="117" t="s">
        <v>385</v>
      </c>
      <c r="G688" s="117" t="s">
        <v>405</v>
      </c>
      <c r="H688" s="117" t="s">
        <v>404</v>
      </c>
      <c r="I688" s="117" t="s">
        <v>1364</v>
      </c>
      <c r="J688" s="118">
        <v>-11.1048338</v>
      </c>
      <c r="K688" s="118">
        <v>-77.606821999999994</v>
      </c>
      <c r="L688" s="117">
        <v>140501</v>
      </c>
      <c r="M688" s="117">
        <v>150801</v>
      </c>
    </row>
    <row r="689" spans="1:13" x14ac:dyDescent="0.25">
      <c r="A689" s="120">
        <v>688</v>
      </c>
      <c r="B689" s="120">
        <v>103</v>
      </c>
      <c r="C689" s="117" t="str">
        <f>_xlfn.XLOOKUP(B689,dimUniversidades!$A:$A,dimUniversidades!$B:$B,"(sin universidad)")</f>
        <v>Universidad San Pedro</v>
      </c>
      <c r="D689" s="117" t="s">
        <v>599</v>
      </c>
      <c r="E689" s="119" t="b">
        <v>0</v>
      </c>
      <c r="F689" s="117" t="s">
        <v>622</v>
      </c>
      <c r="G689" s="117" t="s">
        <v>622</v>
      </c>
      <c r="H689" s="117" t="s">
        <v>1363</v>
      </c>
      <c r="I689" s="117" t="s">
        <v>1362</v>
      </c>
      <c r="J689" s="118">
        <v>-5.1774902000000003</v>
      </c>
      <c r="K689" s="118">
        <v>-80.644484300000002</v>
      </c>
      <c r="L689" s="117">
        <v>190103</v>
      </c>
      <c r="M689" s="117">
        <v>200104</v>
      </c>
    </row>
    <row r="690" spans="1:13" x14ac:dyDescent="0.25">
      <c r="A690" s="120">
        <v>689</v>
      </c>
      <c r="B690" s="120">
        <v>103</v>
      </c>
      <c r="C690" s="117" t="str">
        <f>_xlfn.XLOOKUP(B690,dimUniversidades!$A:$A,dimUniversidades!$B:$B,"(sin universidad)")</f>
        <v>Universidad San Pedro</v>
      </c>
      <c r="D690" s="117" t="s">
        <v>1361</v>
      </c>
      <c r="E690" s="119" t="b">
        <v>0</v>
      </c>
      <c r="F690" s="117" t="s">
        <v>622</v>
      </c>
      <c r="G690" s="117" t="s">
        <v>622</v>
      </c>
      <c r="H690" s="117" t="s">
        <v>622</v>
      </c>
      <c r="I690" s="117" t="s">
        <v>1360</v>
      </c>
      <c r="J690" s="118">
        <v>-5.1798938000000003</v>
      </c>
      <c r="K690" s="118">
        <v>-80.654541399999999</v>
      </c>
      <c r="L690" s="117">
        <v>190101</v>
      </c>
      <c r="M690" s="117">
        <v>200101</v>
      </c>
    </row>
    <row r="691" spans="1:13" x14ac:dyDescent="0.25">
      <c r="A691" s="120">
        <v>690</v>
      </c>
      <c r="B691" s="120">
        <v>103</v>
      </c>
      <c r="C691" s="117" t="str">
        <f>_xlfn.XLOOKUP(B691,dimUniversidades!$A:$A,dimUniversidades!$B:$B,"(sin universidad)")</f>
        <v>Universidad San Pedro</v>
      </c>
      <c r="D691" s="117" t="s">
        <v>678</v>
      </c>
      <c r="E691" s="119" t="b">
        <v>0</v>
      </c>
      <c r="F691" s="117" t="s">
        <v>420</v>
      </c>
      <c r="G691" s="117" t="s">
        <v>420</v>
      </c>
      <c r="H691" s="117" t="s">
        <v>420</v>
      </c>
      <c r="I691" s="117" t="s">
        <v>1359</v>
      </c>
      <c r="J691" s="118">
        <v>-7.1541496000000002</v>
      </c>
      <c r="K691" s="118">
        <v>-78.512636200000003</v>
      </c>
      <c r="L691" s="117">
        <v>60101</v>
      </c>
      <c r="M691" s="117">
        <v>60101</v>
      </c>
    </row>
    <row r="692" spans="1:13" x14ac:dyDescent="0.25">
      <c r="A692" s="120">
        <v>691</v>
      </c>
      <c r="B692" s="120">
        <v>103</v>
      </c>
      <c r="C692" s="117" t="str">
        <f>_xlfn.XLOOKUP(B692,dimUniversidades!$A:$A,dimUniversidades!$B:$B,"(sin universidad)")</f>
        <v>Universidad San Pedro</v>
      </c>
      <c r="D692" s="117" t="s">
        <v>392</v>
      </c>
      <c r="E692" s="119" t="b">
        <v>0</v>
      </c>
      <c r="F692" s="117" t="s">
        <v>385</v>
      </c>
      <c r="G692" s="117" t="s">
        <v>385</v>
      </c>
      <c r="H692" s="117" t="s">
        <v>1182</v>
      </c>
      <c r="I692" s="117" t="s">
        <v>1358</v>
      </c>
      <c r="J692" s="118">
        <v>-12.074954399999999</v>
      </c>
      <c r="K692" s="118">
        <v>-77.041170899999997</v>
      </c>
      <c r="L692" s="117">
        <v>140133</v>
      </c>
      <c r="M692" s="117">
        <v>150113</v>
      </c>
    </row>
    <row r="693" spans="1:13" x14ac:dyDescent="0.25">
      <c r="A693" s="120">
        <v>692</v>
      </c>
      <c r="B693" s="120">
        <v>103</v>
      </c>
      <c r="C693" s="117" t="str">
        <f>_xlfn.XLOOKUP(B693,dimUniversidades!$A:$A,dimUniversidades!$B:$B,"(sin universidad)")</f>
        <v>Universidad San Pedro</v>
      </c>
      <c r="D693" s="117" t="s">
        <v>1148</v>
      </c>
      <c r="E693" s="119" t="b">
        <v>0</v>
      </c>
      <c r="F693" s="117" t="s">
        <v>622</v>
      </c>
      <c r="G693" s="117" t="s">
        <v>621</v>
      </c>
      <c r="H693" s="117" t="s">
        <v>621</v>
      </c>
      <c r="I693" s="117" t="s">
        <v>1357</v>
      </c>
      <c r="J693" s="118">
        <v>-4.8976546000000001</v>
      </c>
      <c r="K693" s="118">
        <v>-80.6764771</v>
      </c>
      <c r="L693" s="117">
        <v>190601</v>
      </c>
      <c r="M693" s="117">
        <v>200601</v>
      </c>
    </row>
    <row r="694" spans="1:13" x14ac:dyDescent="0.25">
      <c r="A694" s="120">
        <v>693</v>
      </c>
      <c r="B694" s="120">
        <v>103</v>
      </c>
      <c r="C694" s="117" t="str">
        <f>_xlfn.XLOOKUP(B694,dimUniversidades!$A:$A,dimUniversidades!$B:$B,"(sin universidad)")</f>
        <v>Universidad San Pedro</v>
      </c>
      <c r="D694" s="117" t="s">
        <v>1143</v>
      </c>
      <c r="E694" s="119" t="b">
        <v>0</v>
      </c>
      <c r="F694" s="117" t="s">
        <v>420</v>
      </c>
      <c r="G694" s="117" t="s">
        <v>1356</v>
      </c>
      <c r="H694" s="117" t="s">
        <v>1356</v>
      </c>
      <c r="I694" s="117" t="s">
        <v>1355</v>
      </c>
      <c r="J694" s="118">
        <v>-6.8655619999999997</v>
      </c>
      <c r="K694" s="118">
        <v>-78.146152000000001</v>
      </c>
      <c r="L694" s="117">
        <v>60301</v>
      </c>
      <c r="M694" s="117">
        <v>60301</v>
      </c>
    </row>
    <row r="695" spans="1:13" x14ac:dyDescent="0.25">
      <c r="A695" s="120">
        <v>694</v>
      </c>
      <c r="B695" s="120">
        <v>103</v>
      </c>
      <c r="C695" s="117" t="str">
        <f>_xlfn.XLOOKUP(B695,dimUniversidades!$A:$A,dimUniversidades!$B:$B,"(sin universidad)")</f>
        <v>Universidad San Pedro</v>
      </c>
      <c r="D695" s="117" t="s">
        <v>1139</v>
      </c>
      <c r="E695" s="119" t="b">
        <v>0</v>
      </c>
      <c r="F695" s="117" t="s">
        <v>397</v>
      </c>
      <c r="G695" s="117" t="s">
        <v>396</v>
      </c>
      <c r="H695" s="117" t="s">
        <v>396</v>
      </c>
      <c r="I695" s="117" t="s">
        <v>1354</v>
      </c>
      <c r="J695" s="118">
        <v>-8.1041442999999997</v>
      </c>
      <c r="K695" s="118">
        <v>-79.033489700000004</v>
      </c>
      <c r="L695" s="117">
        <v>120101</v>
      </c>
      <c r="M695" s="117">
        <v>130101</v>
      </c>
    </row>
    <row r="696" spans="1:13" x14ac:dyDescent="0.25">
      <c r="A696" s="120">
        <v>695</v>
      </c>
      <c r="B696" s="120">
        <v>103</v>
      </c>
      <c r="C696" s="117" t="str">
        <f>_xlfn.XLOOKUP(B696,dimUniversidades!$A:$A,dimUniversidades!$B:$B,"(sin universidad)")</f>
        <v>Universidad San Pedro</v>
      </c>
      <c r="D696" s="117" t="s">
        <v>1353</v>
      </c>
      <c r="E696" s="119" t="b">
        <v>0</v>
      </c>
      <c r="F696" s="117" t="s">
        <v>1134</v>
      </c>
      <c r="G696" s="117" t="s">
        <v>1352</v>
      </c>
      <c r="H696" s="117" t="s">
        <v>1351</v>
      </c>
      <c r="I696" s="117" t="s">
        <v>1350</v>
      </c>
      <c r="J696" s="118">
        <v>-9.0484953000000008</v>
      </c>
      <c r="K696" s="118">
        <v>-77.810995800000001</v>
      </c>
      <c r="L696" s="117">
        <v>20701</v>
      </c>
      <c r="M696" s="117">
        <v>21201</v>
      </c>
    </row>
    <row r="697" spans="1:13" x14ac:dyDescent="0.25">
      <c r="A697" s="120">
        <v>696</v>
      </c>
      <c r="B697" s="120">
        <v>103</v>
      </c>
      <c r="C697" s="117" t="str">
        <f>_xlfn.XLOOKUP(B697,dimUniversidades!$A:$A,dimUniversidades!$B:$B,"(sin universidad)")</f>
        <v>Universidad San Pedro</v>
      </c>
      <c r="D697" s="117" t="s">
        <v>1349</v>
      </c>
      <c r="E697" s="119" t="b">
        <v>0</v>
      </c>
      <c r="F697" s="117" t="s">
        <v>385</v>
      </c>
      <c r="G697" s="117" t="s">
        <v>487</v>
      </c>
      <c r="H697" s="117" t="s">
        <v>487</v>
      </c>
      <c r="I697" s="117" t="s">
        <v>1348</v>
      </c>
      <c r="J697" s="118">
        <v>-12.176400599999999</v>
      </c>
      <c r="K697" s="118">
        <v>-76.951316599999998</v>
      </c>
      <c r="L697" s="117">
        <v>140901</v>
      </c>
      <c r="M697" s="117">
        <v>150201</v>
      </c>
    </row>
    <row r="698" spans="1:13" x14ac:dyDescent="0.25">
      <c r="A698" s="120">
        <v>697</v>
      </c>
      <c r="B698" s="120">
        <v>104</v>
      </c>
      <c r="C698" s="117" t="str">
        <f>_xlfn.XLOOKUP(B698,dimUniversidades!$A:$A,dimUniversidades!$B:$B,"(sin universidad)")</f>
        <v>Universidad Andina Néstor Cáceres Velásquez</v>
      </c>
      <c r="D698" s="117" t="s">
        <v>324</v>
      </c>
      <c r="E698" s="119" t="b">
        <v>1</v>
      </c>
      <c r="F698" s="117" t="s">
        <v>322</v>
      </c>
      <c r="G698" s="117" t="s">
        <v>1347</v>
      </c>
      <c r="H698" s="117" t="s">
        <v>456</v>
      </c>
      <c r="I698" s="117" t="s">
        <v>1346</v>
      </c>
      <c r="J698" s="118">
        <v>-15.532748</v>
      </c>
      <c r="K698" s="118">
        <v>-70.118667000000002</v>
      </c>
      <c r="L698" s="117">
        <v>200901</v>
      </c>
      <c r="M698" s="117">
        <v>211101</v>
      </c>
    </row>
    <row r="699" spans="1:13" x14ac:dyDescent="0.25">
      <c r="A699" s="120">
        <v>698</v>
      </c>
      <c r="B699" s="120">
        <v>104</v>
      </c>
      <c r="C699" s="117" t="str">
        <f>_xlfn.XLOOKUP(B699,dimUniversidades!$A:$A,dimUniversidades!$B:$B,"(sin universidad)")</f>
        <v>Universidad Andina Néstor Cáceres Velásquez</v>
      </c>
      <c r="D699" s="117" t="s">
        <v>579</v>
      </c>
      <c r="E699" s="119" t="b">
        <v>0</v>
      </c>
      <c r="F699" s="117" t="s">
        <v>322</v>
      </c>
      <c r="G699" s="117" t="s">
        <v>322</v>
      </c>
      <c r="H699" s="117" t="s">
        <v>322</v>
      </c>
      <c r="I699" s="117" t="s">
        <v>1345</v>
      </c>
      <c r="J699" s="118">
        <v>-15.8420849</v>
      </c>
      <c r="K699" s="118">
        <v>-70.023701000000003</v>
      </c>
      <c r="L699" s="117">
        <v>200101</v>
      </c>
      <c r="M699" s="117">
        <v>210101</v>
      </c>
    </row>
    <row r="700" spans="1:13" x14ac:dyDescent="0.25">
      <c r="A700" s="120">
        <v>699</v>
      </c>
      <c r="B700" s="120">
        <v>104</v>
      </c>
      <c r="C700" s="117" t="str">
        <f>_xlfn.XLOOKUP(B700,dimUniversidades!$A:$A,dimUniversidades!$B:$B,"(sin universidad)")</f>
        <v>Universidad Andina Néstor Cáceres Velásquez</v>
      </c>
      <c r="D700" s="117" t="s">
        <v>1344</v>
      </c>
      <c r="E700" s="119" t="b">
        <v>0</v>
      </c>
      <c r="F700" s="117" t="s">
        <v>322</v>
      </c>
      <c r="G700" s="117" t="s">
        <v>322</v>
      </c>
      <c r="H700" s="117" t="s">
        <v>322</v>
      </c>
      <c r="I700" s="117" t="s">
        <v>1343</v>
      </c>
      <c r="J700" s="118">
        <v>-15.8362689859533</v>
      </c>
      <c r="K700" s="118">
        <v>-70.026566415344206</v>
      </c>
      <c r="L700" s="117">
        <v>200101</v>
      </c>
      <c r="M700" s="117">
        <v>210101</v>
      </c>
    </row>
    <row r="701" spans="1:13" x14ac:dyDescent="0.25">
      <c r="A701" s="120">
        <v>700</v>
      </c>
      <c r="B701" s="120">
        <v>104</v>
      </c>
      <c r="C701" s="117" t="str">
        <f>_xlfn.XLOOKUP(B701,dimUniversidades!$A:$A,dimUniversidades!$B:$B,"(sin universidad)")</f>
        <v>Universidad Andina Néstor Cáceres Velásquez</v>
      </c>
      <c r="D701" s="117" t="s">
        <v>1160</v>
      </c>
      <c r="E701" s="119" t="b">
        <v>0</v>
      </c>
      <c r="F701" s="117" t="s">
        <v>530</v>
      </c>
      <c r="G701" s="117" t="s">
        <v>530</v>
      </c>
      <c r="H701" s="117" t="s">
        <v>530</v>
      </c>
      <c r="I701" s="117" t="s">
        <v>1342</v>
      </c>
      <c r="J701" s="118">
        <v>-16.391931199999998</v>
      </c>
      <c r="K701" s="118">
        <v>-71.527180299999998</v>
      </c>
      <c r="L701" s="117">
        <v>40101</v>
      </c>
      <c r="M701" s="117">
        <v>40101</v>
      </c>
    </row>
    <row r="702" spans="1:13" x14ac:dyDescent="0.25">
      <c r="A702" s="120">
        <v>701</v>
      </c>
      <c r="B702" s="120">
        <v>104</v>
      </c>
      <c r="C702" s="117" t="str">
        <f>_xlfn.XLOOKUP(B702,dimUniversidades!$A:$A,dimUniversidades!$B:$B,"(sin universidad)")</f>
        <v>Universidad Andina Néstor Cáceres Velásquez</v>
      </c>
      <c r="D702" s="117" t="s">
        <v>599</v>
      </c>
      <c r="E702" s="119" t="b">
        <v>0</v>
      </c>
      <c r="F702" s="117" t="s">
        <v>322</v>
      </c>
      <c r="G702" s="117" t="s">
        <v>1289</v>
      </c>
      <c r="H702" s="117" t="s">
        <v>1288</v>
      </c>
      <c r="I702" s="117" t="s">
        <v>1341</v>
      </c>
      <c r="J702" s="118">
        <v>-16.082539499999999</v>
      </c>
      <c r="K702" s="118">
        <v>-69.638472399999998</v>
      </c>
      <c r="L702" s="117">
        <v>201201</v>
      </c>
      <c r="M702" s="117">
        <v>210501</v>
      </c>
    </row>
    <row r="703" spans="1:13" x14ac:dyDescent="0.25">
      <c r="A703" s="120">
        <v>702</v>
      </c>
      <c r="B703" s="120">
        <v>104</v>
      </c>
      <c r="C703" s="117" t="str">
        <f>_xlfn.XLOOKUP(B703,dimUniversidades!$A:$A,dimUniversidades!$B:$B,"(sin universidad)")</f>
        <v>Universidad Andina Néstor Cáceres Velásquez</v>
      </c>
      <c r="D703" s="117" t="s">
        <v>678</v>
      </c>
      <c r="E703" s="119" t="b">
        <v>0</v>
      </c>
      <c r="F703" s="117" t="s">
        <v>322</v>
      </c>
      <c r="G703" s="117" t="s">
        <v>1340</v>
      </c>
      <c r="H703" s="117" t="s">
        <v>1340</v>
      </c>
      <c r="I703" s="117" t="s">
        <v>1339</v>
      </c>
      <c r="J703" s="118">
        <v>-14.916428700000001</v>
      </c>
      <c r="K703" s="118">
        <v>-70.196185</v>
      </c>
      <c r="L703" s="117">
        <v>200201</v>
      </c>
      <c r="M703" s="117">
        <v>210201</v>
      </c>
    </row>
    <row r="704" spans="1:13" x14ac:dyDescent="0.25">
      <c r="A704" s="120">
        <v>703</v>
      </c>
      <c r="B704" s="120">
        <v>104</v>
      </c>
      <c r="C704" s="117" t="str">
        <f>_xlfn.XLOOKUP(B704,dimUniversidades!$A:$A,dimUniversidades!$B:$B,"(sin universidad)")</f>
        <v>Universidad Andina Néstor Cáceres Velásquez</v>
      </c>
      <c r="D704" s="117" t="s">
        <v>392</v>
      </c>
      <c r="E704" s="119" t="b">
        <v>0</v>
      </c>
      <c r="F704" s="117" t="s">
        <v>322</v>
      </c>
      <c r="G704" s="117" t="s">
        <v>1338</v>
      </c>
      <c r="H704" s="117" t="s">
        <v>1337</v>
      </c>
      <c r="I704" s="117" t="s">
        <v>1336</v>
      </c>
      <c r="J704" s="118">
        <v>-14.884294199999999</v>
      </c>
      <c r="K704" s="118">
        <v>-70.5889612</v>
      </c>
      <c r="L704" s="117">
        <v>200701</v>
      </c>
      <c r="M704" s="117">
        <v>210801</v>
      </c>
    </row>
    <row r="705" spans="1:13" x14ac:dyDescent="0.25">
      <c r="A705" s="120">
        <v>704</v>
      </c>
      <c r="B705" s="120">
        <v>106</v>
      </c>
      <c r="C705" s="117" t="str">
        <f>_xlfn.XLOOKUP(B705,dimUniversidades!$A:$A,dimUniversidades!$B:$B,"(sin universidad)")</f>
        <v>Universidad Nacional de San Martín</v>
      </c>
      <c r="D705" s="117" t="s">
        <v>324</v>
      </c>
      <c r="E705" s="119" t="b">
        <v>1</v>
      </c>
      <c r="F705" s="117" t="s">
        <v>1318</v>
      </c>
      <c r="G705" s="117" t="s">
        <v>1318</v>
      </c>
      <c r="H705" s="117" t="s">
        <v>1329</v>
      </c>
      <c r="I705" s="117" t="s">
        <v>1335</v>
      </c>
      <c r="J705" s="118">
        <v>-6.4887718950805997</v>
      </c>
      <c r="K705" s="118">
        <v>-76.359403579762301</v>
      </c>
      <c r="L705" s="117">
        <v>210601</v>
      </c>
      <c r="M705" s="117">
        <v>220901</v>
      </c>
    </row>
    <row r="706" spans="1:13" x14ac:dyDescent="0.25">
      <c r="A706" s="120">
        <v>705</v>
      </c>
      <c r="B706" s="120">
        <v>106</v>
      </c>
      <c r="C706" s="117" t="str">
        <f>_xlfn.XLOOKUP(B706,dimUniversidades!$A:$A,dimUniversidades!$B:$B,"(sin universidad)")</f>
        <v>Universidad Nacional de San Martín</v>
      </c>
      <c r="D706" s="117" t="s">
        <v>399</v>
      </c>
      <c r="E706" s="119" t="b">
        <v>0</v>
      </c>
      <c r="F706" s="117" t="s">
        <v>1318</v>
      </c>
      <c r="G706" s="117" t="s">
        <v>1318</v>
      </c>
      <c r="H706" s="117" t="s">
        <v>1334</v>
      </c>
      <c r="I706" s="117" t="s">
        <v>1333</v>
      </c>
      <c r="J706" s="118">
        <v>-6.4847694918797698</v>
      </c>
      <c r="K706" s="118">
        <v>-76.377607130294095</v>
      </c>
      <c r="L706" s="117">
        <v>210611</v>
      </c>
      <c r="M706" s="117">
        <v>220910</v>
      </c>
    </row>
    <row r="707" spans="1:13" x14ac:dyDescent="0.25">
      <c r="A707" s="120">
        <v>706</v>
      </c>
      <c r="B707" s="120">
        <v>106</v>
      </c>
      <c r="C707" s="117" t="str">
        <f>_xlfn.XLOOKUP(B707,dimUniversidades!$A:$A,dimUniversidades!$B:$B,"(sin universidad)")</f>
        <v>Universidad Nacional de San Martín</v>
      </c>
      <c r="D707" s="117" t="s">
        <v>735</v>
      </c>
      <c r="E707" s="119" t="b">
        <v>0</v>
      </c>
      <c r="F707" s="117" t="s">
        <v>1318</v>
      </c>
      <c r="G707" s="117" t="s">
        <v>1318</v>
      </c>
      <c r="H707" s="117" t="s">
        <v>1329</v>
      </c>
      <c r="I707" s="117" t="s">
        <v>1332</v>
      </c>
      <c r="J707" s="118">
        <v>-6.48769272707497</v>
      </c>
      <c r="K707" s="118">
        <v>-76.367868211114498</v>
      </c>
      <c r="L707" s="117">
        <v>210601</v>
      </c>
      <c r="M707" s="117">
        <v>220901</v>
      </c>
    </row>
    <row r="708" spans="1:13" x14ac:dyDescent="0.25">
      <c r="A708" s="120">
        <v>707</v>
      </c>
      <c r="B708" s="120">
        <v>106</v>
      </c>
      <c r="C708" s="117" t="str">
        <f>_xlfn.XLOOKUP(B708,dimUniversidades!$A:$A,dimUniversidades!$B:$B,"(sin universidad)")</f>
        <v>Universidad Nacional de San Martín</v>
      </c>
      <c r="D708" s="117" t="s">
        <v>500</v>
      </c>
      <c r="E708" s="119" t="b">
        <v>0</v>
      </c>
      <c r="F708" s="117" t="s">
        <v>1318</v>
      </c>
      <c r="G708" s="117" t="s">
        <v>1318</v>
      </c>
      <c r="H708" s="117" t="s">
        <v>1331</v>
      </c>
      <c r="I708" s="117" t="s">
        <v>1330</v>
      </c>
      <c r="J708" s="118">
        <v>-6.4876540455318397</v>
      </c>
      <c r="K708" s="118">
        <v>-76.367889909442198</v>
      </c>
      <c r="L708" s="117">
        <v>210621</v>
      </c>
      <c r="M708" s="117">
        <v>220909</v>
      </c>
    </row>
    <row r="709" spans="1:13" x14ac:dyDescent="0.25">
      <c r="A709" s="120">
        <v>708</v>
      </c>
      <c r="B709" s="120">
        <v>106</v>
      </c>
      <c r="C709" s="117" t="str">
        <f>_xlfn.XLOOKUP(B709,dimUniversidades!$A:$A,dimUniversidades!$B:$B,"(sin universidad)")</f>
        <v>Universidad Nacional de San Martín</v>
      </c>
      <c r="D709" s="117" t="s">
        <v>1117</v>
      </c>
      <c r="E709" s="119" t="b">
        <v>0</v>
      </c>
      <c r="F709" s="117" t="s">
        <v>1318</v>
      </c>
      <c r="G709" s="117" t="s">
        <v>1318</v>
      </c>
      <c r="H709" s="117" t="s">
        <v>1329</v>
      </c>
      <c r="I709" s="117" t="s">
        <v>1328</v>
      </c>
      <c r="J709" s="118">
        <v>-6.4993284640019402</v>
      </c>
      <c r="K709" s="118">
        <v>-76.379668870638994</v>
      </c>
      <c r="L709" s="117">
        <v>210601</v>
      </c>
      <c r="M709" s="117">
        <v>220901</v>
      </c>
    </row>
    <row r="710" spans="1:13" x14ac:dyDescent="0.25">
      <c r="A710" s="120">
        <v>709</v>
      </c>
      <c r="B710" s="120">
        <v>106</v>
      </c>
      <c r="C710" s="117" t="str">
        <f>_xlfn.XLOOKUP(B710,dimUniversidades!$A:$A,dimUniversidades!$B:$B,"(sin universidad)")</f>
        <v>Universidad Nacional de San Martín</v>
      </c>
      <c r="D710" s="117" t="s">
        <v>579</v>
      </c>
      <c r="E710" s="119" t="b">
        <v>0</v>
      </c>
      <c r="F710" s="117" t="s">
        <v>1318</v>
      </c>
      <c r="G710" s="117" t="s">
        <v>1327</v>
      </c>
      <c r="H710" s="117" t="s">
        <v>1327</v>
      </c>
      <c r="I710" s="117" t="s">
        <v>1326</v>
      </c>
      <c r="J710" s="118">
        <v>-6.0508711453289097</v>
      </c>
      <c r="K710" s="118">
        <v>-76.973431351238602</v>
      </c>
      <c r="L710" s="117">
        <v>210101</v>
      </c>
      <c r="M710" s="117">
        <v>220101</v>
      </c>
    </row>
    <row r="711" spans="1:13" x14ac:dyDescent="0.25">
      <c r="A711" s="120">
        <v>710</v>
      </c>
      <c r="B711" s="120">
        <v>106</v>
      </c>
      <c r="C711" s="117" t="str">
        <f>_xlfn.XLOOKUP(B711,dimUniversidades!$A:$A,dimUniversidades!$B:$B,"(sin universidad)")</f>
        <v>Universidad Nacional de San Martín</v>
      </c>
      <c r="D711" s="117" t="s">
        <v>1160</v>
      </c>
      <c r="E711" s="119" t="b">
        <v>0</v>
      </c>
      <c r="F711" s="117" t="s">
        <v>1318</v>
      </c>
      <c r="G711" s="117" t="s">
        <v>1325</v>
      </c>
      <c r="H711" s="117" t="s">
        <v>1325</v>
      </c>
      <c r="I711" s="117" t="s">
        <v>1324</v>
      </c>
      <c r="J711" s="118">
        <v>-6.0639591619400299</v>
      </c>
      <c r="K711" s="118">
        <v>-77.167131479970493</v>
      </c>
      <c r="L711" s="117">
        <v>210501</v>
      </c>
      <c r="M711" s="117">
        <v>220801</v>
      </c>
    </row>
    <row r="712" spans="1:13" x14ac:dyDescent="0.25">
      <c r="A712" s="120">
        <v>711</v>
      </c>
      <c r="B712" s="120">
        <v>106</v>
      </c>
      <c r="C712" s="117" t="str">
        <f>_xlfn.XLOOKUP(B712,dimUniversidades!$A:$A,dimUniversidades!$B:$B,"(sin universidad)")</f>
        <v>Universidad Nacional de San Martín</v>
      </c>
      <c r="D712" s="117" t="s">
        <v>599</v>
      </c>
      <c r="E712" s="119" t="b">
        <v>0</v>
      </c>
      <c r="F712" s="117" t="s">
        <v>1318</v>
      </c>
      <c r="G712" s="117" t="s">
        <v>1323</v>
      </c>
      <c r="H712" s="117" t="s">
        <v>1323</v>
      </c>
      <c r="I712" s="117" t="s">
        <v>1322</v>
      </c>
      <c r="J712" s="118">
        <v>-6.4192414921484904</v>
      </c>
      <c r="K712" s="118">
        <v>-76.515740260713201</v>
      </c>
      <c r="L712" s="117">
        <v>210301</v>
      </c>
      <c r="M712" s="117">
        <v>220501</v>
      </c>
    </row>
    <row r="713" spans="1:13" x14ac:dyDescent="0.25">
      <c r="A713" s="120">
        <v>712</v>
      </c>
      <c r="B713" s="120">
        <v>106</v>
      </c>
      <c r="C713" s="117" t="str">
        <f>_xlfn.XLOOKUP(B713,dimUniversidades!$A:$A,dimUniversidades!$B:$B,"(sin universidad)")</f>
        <v>Universidad Nacional de San Martín</v>
      </c>
      <c r="D713" s="117" t="s">
        <v>678</v>
      </c>
      <c r="E713" s="119" t="b">
        <v>0</v>
      </c>
      <c r="F713" s="117" t="s">
        <v>1318</v>
      </c>
      <c r="G713" s="117" t="s">
        <v>1321</v>
      </c>
      <c r="H713" s="117" t="s">
        <v>1320</v>
      </c>
      <c r="I713" s="117" t="s">
        <v>1319</v>
      </c>
      <c r="J713" s="118">
        <v>-7.1731495000000001</v>
      </c>
      <c r="K713" s="118">
        <v>-76.727880299999995</v>
      </c>
      <c r="L713" s="117">
        <v>210401</v>
      </c>
      <c r="M713" s="117">
        <v>220601</v>
      </c>
    </row>
    <row r="714" spans="1:13" x14ac:dyDescent="0.25">
      <c r="A714" s="120">
        <v>713</v>
      </c>
      <c r="B714" s="120">
        <v>106</v>
      </c>
      <c r="C714" s="117" t="str">
        <f>_xlfn.XLOOKUP(B714,dimUniversidades!$A:$A,dimUniversidades!$B:$B,"(sin universidad)")</f>
        <v>Universidad Nacional de San Martín</v>
      </c>
      <c r="D714" s="117" t="s">
        <v>392</v>
      </c>
      <c r="E714" s="119" t="b">
        <v>0</v>
      </c>
      <c r="F714" s="117" t="s">
        <v>1318</v>
      </c>
      <c r="G714" s="117" t="s">
        <v>1317</v>
      </c>
      <c r="H714" s="117" t="s">
        <v>1317</v>
      </c>
      <c r="I714" s="117" t="s">
        <v>1316</v>
      </c>
      <c r="J714" s="118">
        <v>-8.1872537220002997</v>
      </c>
      <c r="K714" s="118">
        <v>-76.525048180734203</v>
      </c>
      <c r="L714" s="117">
        <v>210801</v>
      </c>
      <c r="M714" s="117">
        <v>221001</v>
      </c>
    </row>
    <row r="715" spans="1:13" x14ac:dyDescent="0.25">
      <c r="A715" s="120">
        <v>714</v>
      </c>
      <c r="B715" s="120">
        <v>107</v>
      </c>
      <c r="C715" s="117" t="str">
        <f>_xlfn.XLOOKUP(B715,dimUniversidades!$A:$A,dimUniversidades!$B:$B,"(sin universidad)")</f>
        <v>Universidad Politécnica Amazónica S.A.C.</v>
      </c>
      <c r="D715" s="117" t="s">
        <v>324</v>
      </c>
      <c r="E715" s="119" t="b">
        <v>1</v>
      </c>
      <c r="F715" s="117" t="s">
        <v>1307</v>
      </c>
      <c r="G715" s="117" t="s">
        <v>1315</v>
      </c>
      <c r="H715" s="117" t="s">
        <v>1314</v>
      </c>
      <c r="I715" s="117" t="s">
        <v>1313</v>
      </c>
      <c r="J715" s="118">
        <v>-5.7566749000000002</v>
      </c>
      <c r="K715" s="118">
        <v>-78.443932000000004</v>
      </c>
      <c r="L715" s="117">
        <v>10701</v>
      </c>
      <c r="M715" s="117">
        <v>10701</v>
      </c>
    </row>
    <row r="716" spans="1:13" x14ac:dyDescent="0.25">
      <c r="A716" s="120">
        <v>715</v>
      </c>
      <c r="B716" s="120">
        <v>108</v>
      </c>
      <c r="C716" s="117" t="str">
        <f>_xlfn.XLOOKUP(B716,dimUniversidades!$A:$A,dimUniversidades!$B:$B,"(sin universidad)")</f>
        <v>Universidad Nacional Autónoma de Alto Amazonas</v>
      </c>
      <c r="D716" s="117" t="s">
        <v>324</v>
      </c>
      <c r="E716" s="119" t="b">
        <v>1</v>
      </c>
      <c r="F716" s="117" t="s">
        <v>1312</v>
      </c>
      <c r="G716" s="117" t="s">
        <v>1311</v>
      </c>
      <c r="H716" s="117" t="s">
        <v>1310</v>
      </c>
      <c r="I716" s="117" t="s">
        <v>1309</v>
      </c>
      <c r="J716" s="118">
        <v>-5.8974938000000003</v>
      </c>
      <c r="K716" s="118">
        <v>-76.128726799999995</v>
      </c>
      <c r="L716" s="117">
        <v>150201</v>
      </c>
      <c r="M716" s="117">
        <v>160201</v>
      </c>
    </row>
    <row r="717" spans="1:13" x14ac:dyDescent="0.25">
      <c r="A717" s="120">
        <v>716</v>
      </c>
      <c r="B717" s="120">
        <v>109</v>
      </c>
      <c r="C717" s="117" t="str">
        <f>_xlfn.XLOOKUP(B717,dimUniversidades!$A:$A,dimUniversidades!$B:$B,"(sin universidad)")</f>
        <v>Universidad Nacional Intercultural Fabiola Salazar Leguía de Bagua</v>
      </c>
      <c r="D717" s="117" t="s">
        <v>324</v>
      </c>
      <c r="E717" s="119" t="b">
        <v>1</v>
      </c>
      <c r="F717" s="117" t="s">
        <v>1307</v>
      </c>
      <c r="G717" s="117" t="s">
        <v>1306</v>
      </c>
      <c r="H717" s="117" t="s">
        <v>1306</v>
      </c>
      <c r="I717" s="117" t="s">
        <v>1308</v>
      </c>
      <c r="J717" s="118">
        <v>-5.6324299</v>
      </c>
      <c r="K717" s="118">
        <v>-78.534925999999999</v>
      </c>
      <c r="L717" s="117">
        <v>10205</v>
      </c>
      <c r="M717" s="117">
        <v>10201</v>
      </c>
    </row>
    <row r="718" spans="1:13" x14ac:dyDescent="0.25">
      <c r="A718" s="120">
        <v>717</v>
      </c>
      <c r="B718" s="120">
        <v>109</v>
      </c>
      <c r="C718" s="117" t="str">
        <f>_xlfn.XLOOKUP(B718,dimUniversidades!$A:$A,dimUniversidades!$B:$B,"(sin universidad)")</f>
        <v>Universidad Nacional Intercultural Fabiola Salazar Leguía de Bagua</v>
      </c>
      <c r="D718" s="117" t="s">
        <v>399</v>
      </c>
      <c r="E718" s="119" t="b">
        <v>0</v>
      </c>
      <c r="F718" s="117" t="s">
        <v>1307</v>
      </c>
      <c r="G718" s="117" t="s">
        <v>1306</v>
      </c>
      <c r="H718" s="117" t="s">
        <v>1306</v>
      </c>
      <c r="I718" s="117" t="s">
        <v>1305</v>
      </c>
      <c r="J718" s="118">
        <v>-5.6400012999999998</v>
      </c>
      <c r="K718" s="118">
        <v>-78.524836899999997</v>
      </c>
      <c r="L718" s="117">
        <v>10205</v>
      </c>
      <c r="M718" s="117">
        <v>10201</v>
      </c>
    </row>
    <row r="719" spans="1:13" x14ac:dyDescent="0.25">
      <c r="A719" s="120">
        <v>718</v>
      </c>
      <c r="B719" s="120">
        <v>110</v>
      </c>
      <c r="C719" s="117" t="str">
        <f>_xlfn.XLOOKUP(B719,dimUniversidades!$A:$A,dimUniversidades!$B:$B,"(sin universidad)")</f>
        <v>Universidad Le Cordon Bleu S.A.C.</v>
      </c>
      <c r="D719" s="117" t="s">
        <v>324</v>
      </c>
      <c r="E719" s="119" t="b">
        <v>1</v>
      </c>
      <c r="F719" s="117" t="s">
        <v>385</v>
      </c>
      <c r="G719" s="117" t="s">
        <v>385</v>
      </c>
      <c r="H719" s="117" t="s">
        <v>1119</v>
      </c>
      <c r="I719" s="117" t="s">
        <v>1304</v>
      </c>
      <c r="J719" s="118">
        <v>-12.0985893</v>
      </c>
      <c r="K719" s="118">
        <v>-77.056359999999998</v>
      </c>
      <c r="L719" s="117">
        <v>140114</v>
      </c>
      <c r="M719" s="117">
        <v>150120</v>
      </c>
    </row>
    <row r="720" spans="1:13" x14ac:dyDescent="0.25">
      <c r="A720" s="120">
        <v>719</v>
      </c>
      <c r="B720" s="120">
        <v>111</v>
      </c>
      <c r="C720" s="117" t="str">
        <f>_xlfn.XLOOKUP(B720,dimUniversidades!$A:$A,dimUniversidades!$B:$B,"(sin universidad)")</f>
        <v>Universidad de Lambayeque S.A.C.</v>
      </c>
      <c r="D720" s="117" t="s">
        <v>324</v>
      </c>
      <c r="E720" s="119" t="b">
        <v>1</v>
      </c>
      <c r="F720" s="117" t="s">
        <v>589</v>
      </c>
      <c r="G720" s="117" t="s">
        <v>1222</v>
      </c>
      <c r="H720" s="117" t="s">
        <v>1222</v>
      </c>
      <c r="I720" s="117" t="s">
        <v>1303</v>
      </c>
      <c r="J720" s="118">
        <v>-6.7745742</v>
      </c>
      <c r="K720" s="118">
        <v>-79.845074499999996</v>
      </c>
      <c r="L720" s="117">
        <v>130101</v>
      </c>
      <c r="M720" s="117">
        <v>140101</v>
      </c>
    </row>
    <row r="721" spans="1:13" x14ac:dyDescent="0.25">
      <c r="A721" s="120">
        <v>720</v>
      </c>
      <c r="B721" s="120">
        <v>112</v>
      </c>
      <c r="C721" s="117" t="str">
        <f>_xlfn.XLOOKUP(B721,dimUniversidades!$A:$A,dimUniversidades!$B:$B,"(sin universidad)")</f>
        <v>Universidad Peruana de Arte Orval S.A.C.</v>
      </c>
      <c r="D721" s="117" t="s">
        <v>324</v>
      </c>
      <c r="E721" s="119" t="b">
        <v>1</v>
      </c>
      <c r="F721" s="117" t="s">
        <v>385</v>
      </c>
      <c r="G721" s="117" t="s">
        <v>385</v>
      </c>
      <c r="H721" s="117" t="s">
        <v>1302</v>
      </c>
      <c r="I721" s="117" t="s">
        <v>1301</v>
      </c>
      <c r="J721" s="118">
        <v>-12.110886199999999</v>
      </c>
      <c r="K721" s="118">
        <v>-76.991261899999998</v>
      </c>
      <c r="L721" s="117">
        <v>140140</v>
      </c>
      <c r="M721" s="117">
        <v>150130</v>
      </c>
    </row>
    <row r="722" spans="1:13" x14ac:dyDescent="0.25">
      <c r="A722" s="120">
        <v>721</v>
      </c>
      <c r="B722" s="120">
        <v>113</v>
      </c>
      <c r="C722" s="117" t="str">
        <f>_xlfn.XLOOKUP(B722,dimUniversidades!$A:$A,dimUniversidades!$B:$B,"(sin universidad)")</f>
        <v>Universidad Peruana de Investigación y Negocios S.A.C.</v>
      </c>
      <c r="D722" s="117" t="s">
        <v>324</v>
      </c>
      <c r="E722" s="119" t="b">
        <v>1</v>
      </c>
      <c r="F722" s="117" t="s">
        <v>385</v>
      </c>
      <c r="G722" s="117" t="s">
        <v>385</v>
      </c>
      <c r="H722" s="117" t="s">
        <v>1182</v>
      </c>
      <c r="I722" s="117" t="s">
        <v>1300</v>
      </c>
      <c r="J722" s="118">
        <v>-12.0825774</v>
      </c>
      <c r="K722" s="118">
        <v>-77.046274499999996</v>
      </c>
      <c r="L722" s="117">
        <v>140133</v>
      </c>
      <c r="M722" s="117">
        <v>150113</v>
      </c>
    </row>
    <row r="723" spans="1:13" x14ac:dyDescent="0.25">
      <c r="A723" s="120">
        <v>722</v>
      </c>
      <c r="B723" s="120">
        <v>113</v>
      </c>
      <c r="C723" s="117" t="str">
        <f>_xlfn.XLOOKUP(B723,dimUniversidades!$A:$A,dimUniversidades!$B:$B,"(sin universidad)")</f>
        <v>Universidad Peruana de Investigación y Negocios S.A.C.</v>
      </c>
      <c r="D723" s="117" t="s">
        <v>399</v>
      </c>
      <c r="E723" s="119" t="b">
        <v>0</v>
      </c>
      <c r="F723" s="117" t="s">
        <v>385</v>
      </c>
      <c r="G723" s="117" t="s">
        <v>385</v>
      </c>
      <c r="H723" s="117" t="s">
        <v>1182</v>
      </c>
      <c r="I723" s="117" t="s">
        <v>1299</v>
      </c>
      <c r="J723" s="118">
        <v>-12.071557641</v>
      </c>
      <c r="K723" s="118">
        <v>-77.044150114999994</v>
      </c>
      <c r="L723" s="117">
        <v>140133</v>
      </c>
      <c r="M723" s="117">
        <v>150113</v>
      </c>
    </row>
    <row r="724" spans="1:13" x14ac:dyDescent="0.25">
      <c r="A724" s="120">
        <v>723</v>
      </c>
      <c r="B724" s="120">
        <v>114</v>
      </c>
      <c r="C724" s="117" t="str">
        <f>_xlfn.XLOOKUP(B724,dimUniversidades!$A:$A,dimUniversidades!$B:$B,"(sin universidad)")</f>
        <v>Universidad Peruana de Integración Global S.A.C.</v>
      </c>
      <c r="D724" s="117" t="s">
        <v>324</v>
      </c>
      <c r="E724" s="119" t="b">
        <v>1</v>
      </c>
      <c r="F724" s="117" t="s">
        <v>385</v>
      </c>
      <c r="G724" s="117" t="s">
        <v>385</v>
      </c>
      <c r="H724" s="117" t="s">
        <v>542</v>
      </c>
      <c r="I724" s="117" t="s">
        <v>1298</v>
      </c>
      <c r="J724" s="118">
        <v>-12.134611</v>
      </c>
      <c r="K724" s="118">
        <v>-76.979022999999998</v>
      </c>
      <c r="L724" s="117">
        <v>140130</v>
      </c>
      <c r="M724" s="117">
        <v>150140</v>
      </c>
    </row>
    <row r="725" spans="1:13" x14ac:dyDescent="0.25">
      <c r="A725" s="120">
        <v>724</v>
      </c>
      <c r="B725" s="120">
        <v>114</v>
      </c>
      <c r="C725" s="117" t="str">
        <f>_xlfn.XLOOKUP(B725,dimUniversidades!$A:$A,dimUniversidades!$B:$B,"(sin universidad)")</f>
        <v>Universidad Peruana de Integración Global S.A.C.</v>
      </c>
      <c r="D725" s="117" t="s">
        <v>399</v>
      </c>
      <c r="E725" s="119" t="b">
        <v>0</v>
      </c>
      <c r="F725" s="117" t="s">
        <v>385</v>
      </c>
      <c r="G725" s="117" t="s">
        <v>385</v>
      </c>
      <c r="H725" s="117" t="s">
        <v>1116</v>
      </c>
      <c r="I725" s="117" t="s">
        <v>1297</v>
      </c>
      <c r="J725" s="118">
        <v>-12.2095337</v>
      </c>
      <c r="K725" s="118">
        <v>-76.8538748</v>
      </c>
      <c r="L725" s="117">
        <v>140116</v>
      </c>
      <c r="M725" s="117">
        <v>150123</v>
      </c>
    </row>
    <row r="726" spans="1:13" x14ac:dyDescent="0.25">
      <c r="A726" s="120">
        <v>725</v>
      </c>
      <c r="B726" s="120">
        <v>115</v>
      </c>
      <c r="C726" s="117" t="str">
        <f>_xlfn.XLOOKUP(B726,dimUniversidades!$A:$A,dimUniversidades!$B:$B,"(sin universidad)")</f>
        <v>Universidad Nacional de Ucayali</v>
      </c>
      <c r="D726" s="117" t="s">
        <v>324</v>
      </c>
      <c r="E726" s="119" t="b">
        <v>1</v>
      </c>
      <c r="F726" s="117" t="s">
        <v>1152</v>
      </c>
      <c r="G726" s="117" t="s">
        <v>1151</v>
      </c>
      <c r="H726" s="117" t="s">
        <v>1150</v>
      </c>
      <c r="I726" s="117" t="s">
        <v>1296</v>
      </c>
      <c r="J726" s="118">
        <v>-8.3948987000000006</v>
      </c>
      <c r="K726" s="118">
        <v>-74.577609300000006</v>
      </c>
      <c r="L726" s="117">
        <v>250101</v>
      </c>
      <c r="M726" s="117">
        <v>250101</v>
      </c>
    </row>
    <row r="727" spans="1:13" x14ac:dyDescent="0.25">
      <c r="A727" s="120">
        <v>726</v>
      </c>
      <c r="B727" s="120">
        <v>115</v>
      </c>
      <c r="C727" s="117" t="str">
        <f>_xlfn.XLOOKUP(B727,dimUniversidades!$A:$A,dimUniversidades!$B:$B,"(sin universidad)")</f>
        <v>Universidad Nacional de Ucayali</v>
      </c>
      <c r="D727" s="117" t="s">
        <v>579</v>
      </c>
      <c r="E727" s="119" t="b">
        <v>0</v>
      </c>
      <c r="F727" s="117" t="s">
        <v>1152</v>
      </c>
      <c r="G727" s="117" t="s">
        <v>1295</v>
      </c>
      <c r="H727" s="117" t="s">
        <v>1295</v>
      </c>
      <c r="I727" s="117" t="s">
        <v>1294</v>
      </c>
      <c r="J727" s="118">
        <v>-9.0488834918035899</v>
      </c>
      <c r="K727" s="118">
        <v>-75.511144739425603</v>
      </c>
      <c r="L727" s="117">
        <v>250201</v>
      </c>
      <c r="M727" s="117">
        <v>250301</v>
      </c>
    </row>
    <row r="728" spans="1:13" x14ac:dyDescent="0.25">
      <c r="A728" s="120">
        <v>727</v>
      </c>
      <c r="B728" s="120">
        <v>116</v>
      </c>
      <c r="C728" s="117" t="str">
        <f>_xlfn.XLOOKUP(B728,dimUniversidades!$A:$A,dimUniversidades!$B:$B,"(sin universidad)")</f>
        <v>Universidad Nacional Jorge Basadre Grohmann</v>
      </c>
      <c r="D728" s="117" t="s">
        <v>324</v>
      </c>
      <c r="E728" s="119" t="b">
        <v>1</v>
      </c>
      <c r="F728" s="117" t="s">
        <v>1114</v>
      </c>
      <c r="G728" s="117" t="s">
        <v>1114</v>
      </c>
      <c r="H728" s="117" t="s">
        <v>1114</v>
      </c>
      <c r="I728" s="117" t="s">
        <v>1293</v>
      </c>
      <c r="J728" s="118">
        <v>-18.0251828</v>
      </c>
      <c r="K728" s="118">
        <v>-70.250503100000003</v>
      </c>
      <c r="L728" s="117">
        <v>220101</v>
      </c>
      <c r="M728" s="117">
        <v>230101</v>
      </c>
    </row>
    <row r="729" spans="1:13" x14ac:dyDescent="0.25">
      <c r="A729" s="120">
        <v>728</v>
      </c>
      <c r="B729" s="120">
        <v>116</v>
      </c>
      <c r="C729" s="117" t="str">
        <f>_xlfn.XLOOKUP(B729,dimUniversidades!$A:$A,dimUniversidades!$B:$B,"(sin universidad)")</f>
        <v>Universidad Nacional Jorge Basadre Grohmann</v>
      </c>
      <c r="D729" s="117" t="s">
        <v>399</v>
      </c>
      <c r="E729" s="119" t="b">
        <v>0</v>
      </c>
      <c r="F729" s="117" t="s">
        <v>1114</v>
      </c>
      <c r="G729" s="117" t="s">
        <v>1114</v>
      </c>
      <c r="H729" s="117" t="s">
        <v>1114</v>
      </c>
      <c r="I729" s="117" t="s">
        <v>1292</v>
      </c>
      <c r="J729" s="118">
        <v>-17.990714861735299</v>
      </c>
      <c r="K729" s="118">
        <v>-70.242706114749893</v>
      </c>
      <c r="L729" s="117">
        <v>220101</v>
      </c>
      <c r="M729" s="117">
        <v>230101</v>
      </c>
    </row>
    <row r="730" spans="1:13" x14ac:dyDescent="0.25">
      <c r="A730" s="120">
        <v>729</v>
      </c>
      <c r="B730" s="120">
        <v>116</v>
      </c>
      <c r="C730" s="117" t="str">
        <f>_xlfn.XLOOKUP(B730,dimUniversidades!$A:$A,dimUniversidades!$B:$B,"(sin universidad)")</f>
        <v>Universidad Nacional Jorge Basadre Grohmann</v>
      </c>
      <c r="D730" s="117" t="s">
        <v>735</v>
      </c>
      <c r="E730" s="119" t="b">
        <v>0</v>
      </c>
      <c r="F730" s="117" t="s">
        <v>1114</v>
      </c>
      <c r="G730" s="117" t="s">
        <v>1114</v>
      </c>
      <c r="H730" s="117" t="s">
        <v>1114</v>
      </c>
      <c r="I730" s="117" t="s">
        <v>1291</v>
      </c>
      <c r="J730" s="118">
        <v>-18.025104819596901</v>
      </c>
      <c r="K730" s="118">
        <v>-70.2506026167801</v>
      </c>
      <c r="L730" s="117">
        <v>220101</v>
      </c>
      <c r="M730" s="117">
        <v>230101</v>
      </c>
    </row>
    <row r="731" spans="1:13" x14ac:dyDescent="0.25">
      <c r="A731" s="120">
        <v>730</v>
      </c>
      <c r="B731" s="120">
        <v>116</v>
      </c>
      <c r="C731" s="117" t="str">
        <f>_xlfn.XLOOKUP(B731,dimUniversidades!$A:$A,dimUniversidades!$B:$B,"(sin universidad)")</f>
        <v>Universidad Nacional Jorge Basadre Grohmann</v>
      </c>
      <c r="D731" s="117" t="s">
        <v>500</v>
      </c>
      <c r="E731" s="119" t="b">
        <v>0</v>
      </c>
      <c r="F731" s="117" t="s">
        <v>1114</v>
      </c>
      <c r="G731" s="117" t="s">
        <v>1114</v>
      </c>
      <c r="H731" s="117" t="s">
        <v>1114</v>
      </c>
      <c r="I731" s="117" t="s">
        <v>1290</v>
      </c>
      <c r="J731" s="118">
        <v>-17.9941924941559</v>
      </c>
      <c r="K731" s="118">
        <v>-70.243517078434706</v>
      </c>
      <c r="L731" s="117">
        <v>220101</v>
      </c>
      <c r="M731" s="117">
        <v>230101</v>
      </c>
    </row>
    <row r="732" spans="1:13" x14ac:dyDescent="0.25">
      <c r="A732" s="120">
        <v>731</v>
      </c>
      <c r="B732" s="120">
        <v>116</v>
      </c>
      <c r="C732" s="117" t="str">
        <f>_xlfn.XLOOKUP(B732,dimUniversidades!$A:$A,dimUniversidades!$B:$B,"(sin universidad)")</f>
        <v>Universidad Nacional Jorge Basadre Grohmann</v>
      </c>
      <c r="D732" s="117" t="s">
        <v>579</v>
      </c>
      <c r="E732" s="119" t="b">
        <v>0</v>
      </c>
      <c r="F732" s="117" t="s">
        <v>322</v>
      </c>
      <c r="G732" s="117" t="s">
        <v>1289</v>
      </c>
      <c r="H732" s="117" t="s">
        <v>1288</v>
      </c>
      <c r="I732" s="117" t="s">
        <v>1287</v>
      </c>
      <c r="J732" s="118">
        <v>-16.076678600000001</v>
      </c>
      <c r="K732" s="118">
        <v>-69.647335699999999</v>
      </c>
      <c r="L732" s="117">
        <v>201201</v>
      </c>
      <c r="M732" s="117">
        <v>210501</v>
      </c>
    </row>
    <row r="733" spans="1:13" x14ac:dyDescent="0.25">
      <c r="A733" s="120">
        <v>732</v>
      </c>
      <c r="B733" s="120">
        <v>118</v>
      </c>
      <c r="C733" s="117" t="str">
        <f>_xlfn.XLOOKUP(B733,dimUniversidades!$A:$A,dimUniversidades!$B:$B,"(sin universidad)")</f>
        <v>Facultad de Teología Pontificia y Civil de Lima</v>
      </c>
      <c r="D733" s="117" t="s">
        <v>324</v>
      </c>
      <c r="E733" s="119" t="b">
        <v>1</v>
      </c>
      <c r="F733" s="117" t="s">
        <v>385</v>
      </c>
      <c r="G733" s="117" t="s">
        <v>385</v>
      </c>
      <c r="H733" s="117" t="s">
        <v>1179</v>
      </c>
      <c r="I733" s="117" t="s">
        <v>1286</v>
      </c>
      <c r="J733" s="118">
        <v>-12.0836439</v>
      </c>
      <c r="K733" s="118">
        <v>-77.069217800000004</v>
      </c>
      <c r="L733" s="117">
        <v>140117</v>
      </c>
      <c r="M733" s="117">
        <v>150121</v>
      </c>
    </row>
    <row r="734" spans="1:13" x14ac:dyDescent="0.25">
      <c r="A734" s="120">
        <v>733</v>
      </c>
      <c r="B734" s="120">
        <v>119</v>
      </c>
      <c r="C734" s="117" t="str">
        <f>_xlfn.XLOOKUP(B734,dimUniversidades!$A:$A,dimUniversidades!$B:$B,"(sin universidad)")</f>
        <v>Universidad Nacional Tecnológica de Lima Sur</v>
      </c>
      <c r="D734" s="117" t="s">
        <v>324</v>
      </c>
      <c r="E734" s="119" t="b">
        <v>1</v>
      </c>
      <c r="F734" s="117" t="s">
        <v>385</v>
      </c>
      <c r="G734" s="117" t="s">
        <v>385</v>
      </c>
      <c r="H734" s="117" t="s">
        <v>1285</v>
      </c>
      <c r="I734" s="117" t="s">
        <v>1284</v>
      </c>
      <c r="J734" s="118">
        <v>-12.2134138</v>
      </c>
      <c r="K734" s="118">
        <v>-76.932692399999993</v>
      </c>
      <c r="L734" s="117">
        <v>140141</v>
      </c>
      <c r="M734" s="117">
        <v>150142</v>
      </c>
    </row>
    <row r="735" spans="1:13" x14ac:dyDescent="0.25">
      <c r="A735" s="120">
        <v>734</v>
      </c>
      <c r="B735" s="120">
        <v>120</v>
      </c>
      <c r="C735" s="117" t="str">
        <f>_xlfn.XLOOKUP(B735,dimUniversidades!$A:$A,dimUniversidades!$B:$B,"(sin universidad)")</f>
        <v>Universidad Privada Leonardo Da Vinci S.A.C.</v>
      </c>
      <c r="D735" s="117" t="s">
        <v>324</v>
      </c>
      <c r="E735" s="119" t="b">
        <v>1</v>
      </c>
      <c r="F735" s="117" t="s">
        <v>397</v>
      </c>
      <c r="G735" s="117" t="s">
        <v>396</v>
      </c>
      <c r="H735" s="117" t="s">
        <v>396</v>
      </c>
      <c r="I735" s="117" t="s">
        <v>1283</v>
      </c>
      <c r="J735" s="118">
        <v>-8.1151</v>
      </c>
      <c r="K735" s="118">
        <v>-79.031940000000006</v>
      </c>
      <c r="L735" s="117">
        <v>120101</v>
      </c>
      <c r="M735" s="117">
        <v>130101</v>
      </c>
    </row>
    <row r="736" spans="1:13" x14ac:dyDescent="0.25">
      <c r="A736" s="120">
        <v>735</v>
      </c>
      <c r="B736" s="120">
        <v>120</v>
      </c>
      <c r="C736" s="117" t="str">
        <f>_xlfn.XLOOKUP(B736,dimUniversidades!$A:$A,dimUniversidades!$B:$B,"(sin universidad)")</f>
        <v>Universidad Privada Leonardo Da Vinci S.A.C.</v>
      </c>
      <c r="D736" s="117" t="s">
        <v>399</v>
      </c>
      <c r="E736" s="119" t="b">
        <v>0</v>
      </c>
      <c r="F736" s="117" t="s">
        <v>397</v>
      </c>
      <c r="G736" s="117" t="s">
        <v>396</v>
      </c>
      <c r="H736" s="117" t="s">
        <v>396</v>
      </c>
      <c r="I736" s="117" t="s">
        <v>1282</v>
      </c>
      <c r="J736" s="118">
        <v>-8.1163253999999991</v>
      </c>
      <c r="K736" s="118">
        <v>-79.0300893</v>
      </c>
      <c r="L736" s="117">
        <v>120101</v>
      </c>
      <c r="M736" s="117">
        <v>130101</v>
      </c>
    </row>
    <row r="737" spans="1:13" x14ac:dyDescent="0.25">
      <c r="A737" s="120">
        <v>736</v>
      </c>
      <c r="B737" s="120">
        <v>120</v>
      </c>
      <c r="C737" s="117" t="str">
        <f>_xlfn.XLOOKUP(B737,dimUniversidades!$A:$A,dimUniversidades!$B:$B,"(sin universidad)")</f>
        <v>Universidad Privada Leonardo Da Vinci S.A.C.</v>
      </c>
      <c r="D737" s="117" t="s">
        <v>735</v>
      </c>
      <c r="E737" s="119" t="b">
        <v>0</v>
      </c>
      <c r="F737" s="117" t="s">
        <v>397</v>
      </c>
      <c r="G737" s="117" t="s">
        <v>396</v>
      </c>
      <c r="H737" s="117" t="s">
        <v>1281</v>
      </c>
      <c r="I737" s="117" t="s">
        <v>1280</v>
      </c>
      <c r="J737" s="118">
        <v>-8.1060428000000009</v>
      </c>
      <c r="K737" s="118">
        <v>-79.032972700000002</v>
      </c>
      <c r="L737" s="117">
        <v>120102</v>
      </c>
      <c r="M737" s="117">
        <v>130104</v>
      </c>
    </row>
    <row r="738" spans="1:13" x14ac:dyDescent="0.25">
      <c r="A738" s="120">
        <v>737</v>
      </c>
      <c r="B738" s="120">
        <v>121</v>
      </c>
      <c r="C738" s="117" t="str">
        <f>_xlfn.XLOOKUP(B738,dimUniversidades!$A:$A,dimUniversidades!$B:$B,"(sin universidad)")</f>
        <v>Universidad Nacional Tecnológica de San Juan de Lurigancho</v>
      </c>
      <c r="D738" s="117" t="s">
        <v>324</v>
      </c>
      <c r="E738" s="119" t="b">
        <v>1</v>
      </c>
      <c r="F738" s="117" t="s">
        <v>385</v>
      </c>
      <c r="G738" s="117" t="s">
        <v>385</v>
      </c>
      <c r="H738" s="117" t="s">
        <v>514</v>
      </c>
      <c r="I738" s="117" t="s">
        <v>514</v>
      </c>
      <c r="J738" s="118">
        <v>-11.9835577</v>
      </c>
      <c r="K738" s="118">
        <v>-77.009520899999998</v>
      </c>
      <c r="L738" s="117">
        <v>140137</v>
      </c>
      <c r="M738" s="117">
        <v>150132</v>
      </c>
    </row>
    <row r="739" spans="1:13" x14ac:dyDescent="0.25">
      <c r="A739" s="120">
        <v>738</v>
      </c>
      <c r="B739" s="120">
        <v>122</v>
      </c>
      <c r="C739" s="117" t="str">
        <f>_xlfn.XLOOKUP(B739,dimUniversidades!$A:$A,dimUniversidades!$B:$B,"(sin universidad)")</f>
        <v>Universidad Autónoma Municipal de Los Olivos</v>
      </c>
      <c r="D739" s="117" t="s">
        <v>324</v>
      </c>
      <c r="E739" s="119" t="b">
        <v>1</v>
      </c>
      <c r="F739" s="117" t="s">
        <v>385</v>
      </c>
      <c r="G739" s="117" t="s">
        <v>385</v>
      </c>
      <c r="H739" s="117" t="s">
        <v>384</v>
      </c>
      <c r="I739" s="117" t="s">
        <v>384</v>
      </c>
      <c r="J739" s="118">
        <v>-12.0003522</v>
      </c>
      <c r="K739" s="118">
        <v>-77.083390300000005</v>
      </c>
      <c r="L739" s="117">
        <v>140142</v>
      </c>
      <c r="M739" s="117">
        <v>150117</v>
      </c>
    </row>
    <row r="740" spans="1:13" x14ac:dyDescent="0.25">
      <c r="A740" s="120">
        <v>739</v>
      </c>
      <c r="B740" s="120">
        <v>123</v>
      </c>
      <c r="C740" s="117" t="str">
        <f>_xlfn.XLOOKUP(B740,dimUniversidades!$A:$A,dimUniversidades!$B:$B,"(sin universidad)")</f>
        <v>Universidad Peruana de las Américas S.A.C.</v>
      </c>
      <c r="D740" s="117" t="s">
        <v>324</v>
      </c>
      <c r="E740" s="119" t="b">
        <v>1</v>
      </c>
      <c r="F740" s="117" t="s">
        <v>385</v>
      </c>
      <c r="G740" s="117" t="s">
        <v>385</v>
      </c>
      <c r="H740" s="117" t="s">
        <v>385</v>
      </c>
      <c r="I740" s="117" t="s">
        <v>1279</v>
      </c>
      <c r="J740" s="118">
        <v>-12.0630477</v>
      </c>
      <c r="K740" s="118">
        <v>-77.038036500000004</v>
      </c>
      <c r="L740" s="117">
        <v>140101</v>
      </c>
      <c r="M740" s="117">
        <v>150101</v>
      </c>
    </row>
    <row r="741" spans="1:13" x14ac:dyDescent="0.25">
      <c r="A741" s="120">
        <v>740</v>
      </c>
      <c r="B741" s="120">
        <v>123</v>
      </c>
      <c r="C741" s="117" t="str">
        <f>_xlfn.XLOOKUP(B741,dimUniversidades!$A:$A,dimUniversidades!$B:$B,"(sin universidad)")</f>
        <v>Universidad Peruana de las Américas S.A.C.</v>
      </c>
      <c r="D741" s="117" t="s">
        <v>399</v>
      </c>
      <c r="E741" s="119" t="b">
        <v>0</v>
      </c>
      <c r="F741" s="117" t="s">
        <v>385</v>
      </c>
      <c r="G741" s="117" t="s">
        <v>385</v>
      </c>
      <c r="H741" s="117" t="s">
        <v>385</v>
      </c>
      <c r="I741" s="117" t="s">
        <v>1278</v>
      </c>
      <c r="J741" s="118">
        <v>-12.063536300000001</v>
      </c>
      <c r="K741" s="118">
        <v>-77.039965100000003</v>
      </c>
      <c r="L741" s="117">
        <v>140101</v>
      </c>
      <c r="M741" s="117">
        <v>150101</v>
      </c>
    </row>
    <row r="742" spans="1:13" x14ac:dyDescent="0.25">
      <c r="A742" s="120">
        <v>741</v>
      </c>
      <c r="B742" s="120">
        <v>124</v>
      </c>
      <c r="C742" s="117" t="str">
        <f>_xlfn.XLOOKUP(B742,dimUniversidades!$A:$A,dimUniversidades!$B:$B,"(sin universidad)")</f>
        <v>Universidad Privada SISE S.A.C.</v>
      </c>
      <c r="D742" s="117" t="s">
        <v>324</v>
      </c>
      <c r="E742" s="119" t="b">
        <v>1</v>
      </c>
      <c r="F742" s="117" t="s">
        <v>385</v>
      </c>
      <c r="G742" s="117" t="s">
        <v>385</v>
      </c>
      <c r="H742" s="117" t="s">
        <v>1277</v>
      </c>
      <c r="I742" s="117" t="s">
        <v>1276</v>
      </c>
      <c r="J742" s="118">
        <v>-12.016577399999999</v>
      </c>
      <c r="K742" s="118">
        <v>-76.890171300000006</v>
      </c>
      <c r="L742" s="117">
        <v>140103</v>
      </c>
      <c r="M742" s="117">
        <v>150103</v>
      </c>
    </row>
    <row r="743" spans="1:13" x14ac:dyDescent="0.25">
      <c r="A743" s="120">
        <v>742</v>
      </c>
      <c r="B743" s="120">
        <v>124</v>
      </c>
      <c r="C743" s="117" t="str">
        <f>_xlfn.XLOOKUP(B743,dimUniversidades!$A:$A,dimUniversidades!$B:$B,"(sin universidad)")</f>
        <v>Universidad Privada SISE S.A.C.</v>
      </c>
      <c r="D743" s="117" t="s">
        <v>399</v>
      </c>
      <c r="E743" s="119" t="b">
        <v>0</v>
      </c>
      <c r="F743" s="117" t="s">
        <v>385</v>
      </c>
      <c r="G743" s="117" t="s">
        <v>385</v>
      </c>
      <c r="H743" s="117" t="s">
        <v>385</v>
      </c>
      <c r="I743" s="117" t="s">
        <v>1275</v>
      </c>
      <c r="J743" s="118">
        <v>-12.073911900000001</v>
      </c>
      <c r="K743" s="118">
        <v>-77.036185900000007</v>
      </c>
      <c r="L743" s="117">
        <v>140101</v>
      </c>
      <c r="M743" s="117">
        <v>150101</v>
      </c>
    </row>
    <row r="744" spans="1:13" x14ac:dyDescent="0.25">
      <c r="A744" s="120">
        <v>743</v>
      </c>
      <c r="B744" s="120">
        <v>124</v>
      </c>
      <c r="C744" s="117" t="str">
        <f>_xlfn.XLOOKUP(B744,dimUniversidades!$A:$A,dimUniversidades!$B:$B,"(sin universidad)")</f>
        <v>Universidad Privada SISE S.A.C.</v>
      </c>
      <c r="D744" s="117" t="s">
        <v>735</v>
      </c>
      <c r="E744" s="119" t="b">
        <v>0</v>
      </c>
      <c r="F744" s="117" t="s">
        <v>385</v>
      </c>
      <c r="G744" s="117" t="s">
        <v>385</v>
      </c>
      <c r="H744" s="117" t="s">
        <v>385</v>
      </c>
      <c r="I744" s="117" t="s">
        <v>1274</v>
      </c>
      <c r="J744" s="118">
        <v>-12.077567999999999</v>
      </c>
      <c r="K744" s="118">
        <v>-77.035801899999996</v>
      </c>
      <c r="L744" s="117">
        <v>140101</v>
      </c>
      <c r="M744" s="117">
        <v>150101</v>
      </c>
    </row>
    <row r="745" spans="1:13" x14ac:dyDescent="0.25">
      <c r="A745" s="120">
        <v>744</v>
      </c>
      <c r="B745" s="120">
        <v>124</v>
      </c>
      <c r="C745" s="117" t="str">
        <f>_xlfn.XLOOKUP(B745,dimUniversidades!$A:$A,dimUniversidades!$B:$B,"(sin universidad)")</f>
        <v>Universidad Privada SISE S.A.C.</v>
      </c>
      <c r="D745" s="117" t="s">
        <v>500</v>
      </c>
      <c r="E745" s="119" t="b">
        <v>0</v>
      </c>
      <c r="F745" s="117" t="s">
        <v>385</v>
      </c>
      <c r="G745" s="117" t="s">
        <v>385</v>
      </c>
      <c r="H745" s="117" t="s">
        <v>1121</v>
      </c>
      <c r="I745" s="117" t="s">
        <v>1273</v>
      </c>
      <c r="J745" s="118">
        <v>-11.9899570002421</v>
      </c>
      <c r="K745" s="118">
        <v>-77.0594580525146</v>
      </c>
      <c r="L745" s="117">
        <v>140134</v>
      </c>
      <c r="M745" s="117">
        <v>150112</v>
      </c>
    </row>
    <row r="746" spans="1:13" x14ac:dyDescent="0.25">
      <c r="A746" s="120">
        <v>745</v>
      </c>
      <c r="B746" s="120">
        <v>124</v>
      </c>
      <c r="C746" s="117" t="str">
        <f>_xlfn.XLOOKUP(B746,dimUniversidades!$A:$A,dimUniversidades!$B:$B,"(sin universidad)")</f>
        <v>Universidad Privada SISE S.A.C.</v>
      </c>
      <c r="D746" s="117" t="s">
        <v>1117</v>
      </c>
      <c r="E746" s="119" t="b">
        <v>0</v>
      </c>
      <c r="F746" s="117" t="s">
        <v>385</v>
      </c>
      <c r="G746" s="117" t="s">
        <v>385</v>
      </c>
      <c r="H746" s="117" t="s">
        <v>514</v>
      </c>
      <c r="I746" s="117" t="s">
        <v>1272</v>
      </c>
      <c r="J746" s="118">
        <v>-12.022004799999999</v>
      </c>
      <c r="K746" s="118">
        <v>-77.003906200000003</v>
      </c>
      <c r="L746" s="117">
        <v>140137</v>
      </c>
      <c r="M746" s="117">
        <v>150132</v>
      </c>
    </row>
    <row r="747" spans="1:13" x14ac:dyDescent="0.25">
      <c r="A747" s="120">
        <v>746</v>
      </c>
      <c r="B747" s="120">
        <v>125</v>
      </c>
      <c r="C747" s="117" t="str">
        <f>_xlfn.XLOOKUP(B747,dimUniversidades!$A:$A,dimUniversidades!$B:$B,"(sin universidad)")</f>
        <v>Universidad Peruana de Ciencias e Informática S.A.C.</v>
      </c>
      <c r="D747" s="117" t="s">
        <v>324</v>
      </c>
      <c r="E747" s="119" t="b">
        <v>1</v>
      </c>
      <c r="F747" s="117" t="s">
        <v>385</v>
      </c>
      <c r="G747" s="117" t="s">
        <v>385</v>
      </c>
      <c r="H747" s="117" t="s">
        <v>1236</v>
      </c>
      <c r="I747" s="117" t="s">
        <v>1271</v>
      </c>
      <c r="J747" s="118">
        <v>-12.087943238635001</v>
      </c>
      <c r="K747" s="118">
        <v>-77.033521259988404</v>
      </c>
      <c r="L747" s="117">
        <v>140111</v>
      </c>
      <c r="M747" s="117">
        <v>150116</v>
      </c>
    </row>
    <row r="748" spans="1:13" x14ac:dyDescent="0.25">
      <c r="A748" s="120">
        <v>747</v>
      </c>
      <c r="B748" s="120">
        <v>125</v>
      </c>
      <c r="C748" s="117" t="str">
        <f>_xlfn.XLOOKUP(B748,dimUniversidades!$A:$A,dimUniversidades!$B:$B,"(sin universidad)")</f>
        <v>Universidad Peruana de Ciencias e Informática S.A.C.</v>
      </c>
      <c r="D748" s="117" t="s">
        <v>399</v>
      </c>
      <c r="E748" s="119" t="b">
        <v>0</v>
      </c>
      <c r="F748" s="117" t="s">
        <v>385</v>
      </c>
      <c r="G748" s="117" t="s">
        <v>385</v>
      </c>
      <c r="H748" s="117" t="s">
        <v>1182</v>
      </c>
      <c r="I748" s="117" t="s">
        <v>1270</v>
      </c>
      <c r="J748" s="118">
        <v>-12.071757399999999</v>
      </c>
      <c r="K748" s="118">
        <v>-77.041882400000006</v>
      </c>
      <c r="L748" s="117">
        <v>140133</v>
      </c>
      <c r="M748" s="117">
        <v>150113</v>
      </c>
    </row>
    <row r="749" spans="1:13" x14ac:dyDescent="0.25">
      <c r="A749" s="120">
        <v>748</v>
      </c>
      <c r="B749" s="120">
        <v>125</v>
      </c>
      <c r="C749" s="117" t="str">
        <f>_xlfn.XLOOKUP(B749,dimUniversidades!$A:$A,dimUniversidades!$B:$B,"(sin universidad)")</f>
        <v>Universidad Peruana de Ciencias e Informática S.A.C.</v>
      </c>
      <c r="D749" s="117" t="s">
        <v>579</v>
      </c>
      <c r="E749" s="119" t="b">
        <v>0</v>
      </c>
      <c r="F749" s="117" t="s">
        <v>1134</v>
      </c>
      <c r="G749" s="117" t="s">
        <v>1133</v>
      </c>
      <c r="H749" s="117" t="s">
        <v>1121</v>
      </c>
      <c r="I749" s="117" t="s">
        <v>1269</v>
      </c>
      <c r="J749" s="118">
        <v>-9.5173374000000006</v>
      </c>
      <c r="K749" s="118">
        <v>-77.533069699999999</v>
      </c>
      <c r="L749" s="117">
        <v>20102</v>
      </c>
      <c r="M749" s="117">
        <v>20105</v>
      </c>
    </row>
    <row r="750" spans="1:13" x14ac:dyDescent="0.25">
      <c r="A750" s="120">
        <v>749</v>
      </c>
      <c r="B750" s="120">
        <v>125</v>
      </c>
      <c r="C750" s="117" t="str">
        <f>_xlfn.XLOOKUP(B750,dimUniversidades!$A:$A,dimUniversidades!$B:$B,"(sin universidad)")</f>
        <v>Universidad Peruana de Ciencias e Informática S.A.C.</v>
      </c>
      <c r="D750" s="117" t="s">
        <v>1160</v>
      </c>
      <c r="E750" s="119" t="b">
        <v>0</v>
      </c>
      <c r="F750" s="117" t="s">
        <v>467</v>
      </c>
      <c r="G750" s="117" t="s">
        <v>631</v>
      </c>
      <c r="H750" s="117" t="s">
        <v>1268</v>
      </c>
      <c r="I750" s="117" t="s">
        <v>1267</v>
      </c>
      <c r="J750" s="118">
        <v>-12.065648899999999</v>
      </c>
      <c r="K750" s="118">
        <v>-75.2148945</v>
      </c>
      <c r="L750" s="117">
        <v>110113</v>
      </c>
      <c r="M750" s="117">
        <v>120114</v>
      </c>
    </row>
    <row r="751" spans="1:13" x14ac:dyDescent="0.25">
      <c r="A751" s="120">
        <v>750</v>
      </c>
      <c r="B751" s="120">
        <v>125</v>
      </c>
      <c r="C751" s="117" t="str">
        <f>_xlfn.XLOOKUP(B751,dimUniversidades!$A:$A,dimUniversidades!$B:$B,"(sin universidad)")</f>
        <v>Universidad Peruana de Ciencias e Informática S.A.C.</v>
      </c>
      <c r="D751" s="117" t="s">
        <v>599</v>
      </c>
      <c r="E751" s="119" t="b">
        <v>0</v>
      </c>
      <c r="F751" s="117" t="s">
        <v>530</v>
      </c>
      <c r="G751" s="117" t="s">
        <v>530</v>
      </c>
      <c r="H751" s="117" t="s">
        <v>530</v>
      </c>
      <c r="I751" s="117" t="s">
        <v>1266</v>
      </c>
      <c r="J751" s="118">
        <v>-16.394925199999999</v>
      </c>
      <c r="K751" s="118">
        <v>-71.532612299999997</v>
      </c>
      <c r="L751" s="117">
        <v>40101</v>
      </c>
      <c r="M751" s="117">
        <v>40101</v>
      </c>
    </row>
    <row r="752" spans="1:13" x14ac:dyDescent="0.25">
      <c r="A752" s="120">
        <v>751</v>
      </c>
      <c r="B752" s="120">
        <v>125</v>
      </c>
      <c r="C752" s="117" t="str">
        <f>_xlfn.XLOOKUP(B752,dimUniversidades!$A:$A,dimUniversidades!$B:$B,"(sin universidad)")</f>
        <v>Universidad Peruana de Ciencias e Informática S.A.C.</v>
      </c>
      <c r="D752" s="117" t="s">
        <v>678</v>
      </c>
      <c r="E752" s="119" t="b">
        <v>0</v>
      </c>
      <c r="F752" s="117" t="s">
        <v>1164</v>
      </c>
      <c r="G752" s="117" t="s">
        <v>1163</v>
      </c>
      <c r="H752" s="117" t="s">
        <v>1164</v>
      </c>
      <c r="I752" s="117" t="s">
        <v>1265</v>
      </c>
      <c r="J752" s="118">
        <v>-13.1638737</v>
      </c>
      <c r="K752" s="118">
        <v>-74.223564100000004</v>
      </c>
      <c r="L752" s="117">
        <v>50101</v>
      </c>
      <c r="M752" s="117">
        <v>50101</v>
      </c>
    </row>
    <row r="753" spans="1:13" x14ac:dyDescent="0.25">
      <c r="A753" s="120">
        <v>752</v>
      </c>
      <c r="B753" s="120">
        <v>125</v>
      </c>
      <c r="C753" s="117" t="str">
        <f>_xlfn.XLOOKUP(B753,dimUniversidades!$A:$A,dimUniversidades!$B:$B,"(sin universidad)")</f>
        <v>Universidad Peruana de Ciencias e Informática S.A.C.</v>
      </c>
      <c r="D753" s="117" t="s">
        <v>392</v>
      </c>
      <c r="E753" s="119" t="b">
        <v>0</v>
      </c>
      <c r="F753" s="117" t="s">
        <v>1164</v>
      </c>
      <c r="G753" s="117" t="s">
        <v>1264</v>
      </c>
      <c r="H753" s="117" t="s">
        <v>1264</v>
      </c>
      <c r="I753" s="117" t="s">
        <v>1263</v>
      </c>
      <c r="J753" s="118">
        <v>-12.941140600000001</v>
      </c>
      <c r="K753" s="118">
        <v>-74.246202999999994</v>
      </c>
      <c r="L753" s="117">
        <v>50301</v>
      </c>
      <c r="M753" s="117">
        <v>50401</v>
      </c>
    </row>
    <row r="754" spans="1:13" x14ac:dyDescent="0.25">
      <c r="A754" s="120">
        <v>753</v>
      </c>
      <c r="B754" s="120">
        <v>126</v>
      </c>
      <c r="C754" s="117" t="str">
        <f>_xlfn.XLOOKUP(B754,dimUniversidades!$A:$A,dimUniversidades!$B:$B,"(sin universidad)")</f>
        <v>Universidad Privada Líder Peruana S.A.C.</v>
      </c>
      <c r="D754" s="117" t="s">
        <v>324</v>
      </c>
      <c r="E754" s="119" t="b">
        <v>1</v>
      </c>
      <c r="F754" s="117" t="s">
        <v>374</v>
      </c>
      <c r="G754" s="117" t="s">
        <v>1262</v>
      </c>
      <c r="H754" s="117" t="s">
        <v>686</v>
      </c>
      <c r="I754" s="117" t="s">
        <v>1261</v>
      </c>
      <c r="J754" s="118">
        <v>-12.860460700000001</v>
      </c>
      <c r="K754" s="118">
        <v>-72.692144400000004</v>
      </c>
      <c r="L754" s="117">
        <v>70901</v>
      </c>
      <c r="M754" s="117">
        <v>80901</v>
      </c>
    </row>
    <row r="755" spans="1:13" x14ac:dyDescent="0.25">
      <c r="A755" s="120">
        <v>754</v>
      </c>
      <c r="B755" s="120">
        <v>127</v>
      </c>
      <c r="C755" s="117" t="str">
        <f>_xlfn.XLOOKUP(B755,dimUniversidades!$A:$A,dimUniversidades!$B:$B,"(sin universidad)")</f>
        <v>Universidad Peruana Santo Tomás de Aquino de Ciencia e Integración S.A.C.</v>
      </c>
      <c r="D755" s="117" t="s">
        <v>324</v>
      </c>
      <c r="E755" s="119" t="b">
        <v>1</v>
      </c>
      <c r="F755" s="117" t="s">
        <v>467</v>
      </c>
      <c r="G755" s="117" t="s">
        <v>631</v>
      </c>
      <c r="H755" s="117" t="s">
        <v>631</v>
      </c>
      <c r="I755" s="117" t="s">
        <v>1260</v>
      </c>
      <c r="J755" s="118">
        <v>-12.071198300000001</v>
      </c>
      <c r="K755" s="118">
        <v>-75.213984600000003</v>
      </c>
      <c r="L755" s="117">
        <v>110101</v>
      </c>
      <c r="M755" s="117">
        <v>120101</v>
      </c>
    </row>
    <row r="756" spans="1:13" x14ac:dyDescent="0.25">
      <c r="A756" s="120">
        <v>755</v>
      </c>
      <c r="B756" s="120">
        <v>128</v>
      </c>
      <c r="C756" s="117" t="str">
        <f>_xlfn.XLOOKUP(B756,dimUniversidades!$A:$A,dimUniversidades!$B:$B,"(sin universidad)")</f>
        <v>Universidad Santo Domingo de Guzmán S.A.C.</v>
      </c>
      <c r="D756" s="117" t="s">
        <v>324</v>
      </c>
      <c r="E756" s="119" t="b">
        <v>1</v>
      </c>
      <c r="F756" s="117" t="s">
        <v>385</v>
      </c>
      <c r="G756" s="117" t="s">
        <v>1259</v>
      </c>
      <c r="H756" s="117" t="s">
        <v>1258</v>
      </c>
      <c r="I756" s="117" t="s">
        <v>1257</v>
      </c>
      <c r="J756" s="118">
        <v>-11.9096016182963</v>
      </c>
      <c r="K756" s="118">
        <v>-76.978466639846403</v>
      </c>
      <c r="L756" s="117">
        <v>140615</v>
      </c>
      <c r="M756" s="117">
        <v>150716</v>
      </c>
    </row>
    <row r="757" spans="1:13" x14ac:dyDescent="0.25">
      <c r="A757" s="120">
        <v>756</v>
      </c>
      <c r="B757" s="120">
        <v>129</v>
      </c>
      <c r="C757" s="117" t="str">
        <f>_xlfn.XLOOKUP(B757,dimUniversidades!$A:$A,dimUniversidades!$B:$B,"(sin universidad)")</f>
        <v>Universidad Católica de Trujillo Benedicto XVI</v>
      </c>
      <c r="D757" s="117" t="s">
        <v>324</v>
      </c>
      <c r="E757" s="119" t="b">
        <v>1</v>
      </c>
      <c r="F757" s="117" t="s">
        <v>397</v>
      </c>
      <c r="G757" s="117" t="s">
        <v>396</v>
      </c>
      <c r="H757" s="117" t="s">
        <v>1256</v>
      </c>
      <c r="I757" s="117" t="s">
        <v>1255</v>
      </c>
      <c r="J757" s="118">
        <v>-8.16028928082204</v>
      </c>
      <c r="K757" s="118">
        <v>-79.0114454031105</v>
      </c>
      <c r="L757" s="117">
        <v>120104</v>
      </c>
      <c r="M757" s="117">
        <v>130107</v>
      </c>
    </row>
    <row r="758" spans="1:13" x14ac:dyDescent="0.25">
      <c r="A758" s="120">
        <v>757</v>
      </c>
      <c r="B758" s="120">
        <v>129</v>
      </c>
      <c r="C758" s="117" t="str">
        <f>_xlfn.XLOOKUP(B758,dimUniversidades!$A:$A,dimUniversidades!$B:$B,"(sin universidad)")</f>
        <v>Universidad Católica de Trujillo Benedicto XVI</v>
      </c>
      <c r="D758" s="117" t="s">
        <v>399</v>
      </c>
      <c r="E758" s="119" t="b">
        <v>0</v>
      </c>
      <c r="F758" s="117" t="s">
        <v>397</v>
      </c>
      <c r="G758" s="117" t="s">
        <v>396</v>
      </c>
      <c r="H758" s="117" t="s">
        <v>396</v>
      </c>
      <c r="I758" s="117" t="s">
        <v>1254</v>
      </c>
      <c r="J758" s="118">
        <v>-8.1076226578013593</v>
      </c>
      <c r="K758" s="118">
        <v>-79.029162491401706</v>
      </c>
      <c r="L758" s="117">
        <v>120101</v>
      </c>
      <c r="M758" s="117">
        <v>130101</v>
      </c>
    </row>
    <row r="759" spans="1:13" x14ac:dyDescent="0.25">
      <c r="A759" s="120">
        <v>758</v>
      </c>
      <c r="B759" s="120">
        <v>129</v>
      </c>
      <c r="C759" s="117" t="str">
        <f>_xlfn.XLOOKUP(B759,dimUniversidades!$A:$A,dimUniversidades!$B:$B,"(sin universidad)")</f>
        <v>Universidad Católica de Trujillo Benedicto XVI</v>
      </c>
      <c r="D759" s="117" t="s">
        <v>735</v>
      </c>
      <c r="E759" s="119" t="b">
        <v>0</v>
      </c>
      <c r="F759" s="117" t="s">
        <v>397</v>
      </c>
      <c r="G759" s="117" t="s">
        <v>396</v>
      </c>
      <c r="H759" s="117" t="s">
        <v>396</v>
      </c>
      <c r="I759" s="117" t="s">
        <v>1253</v>
      </c>
      <c r="J759" s="118">
        <v>-8.1017143652700998</v>
      </c>
      <c r="K759" s="118">
        <v>-79.041802247850399</v>
      </c>
      <c r="L759" s="117">
        <v>120101</v>
      </c>
      <c r="M759" s="117">
        <v>130101</v>
      </c>
    </row>
    <row r="760" spans="1:13" x14ac:dyDescent="0.25">
      <c r="A760" s="120">
        <v>759</v>
      </c>
      <c r="B760" s="120">
        <v>130</v>
      </c>
      <c r="C760" s="117" t="str">
        <f>_xlfn.XLOOKUP(B760,dimUniversidades!$A:$A,dimUniversidades!$B:$B,"(sin universidad)")</f>
        <v>Universidad Peruana Simón Bolívar S.A.C.</v>
      </c>
      <c r="D760" s="117" t="s">
        <v>324</v>
      </c>
      <c r="E760" s="119" t="b">
        <v>1</v>
      </c>
      <c r="F760" s="117" t="s">
        <v>385</v>
      </c>
      <c r="G760" s="117" t="s">
        <v>385</v>
      </c>
      <c r="H760" s="117" t="s">
        <v>1179</v>
      </c>
      <c r="I760" s="117" t="s">
        <v>1252</v>
      </c>
      <c r="J760" s="118">
        <v>-12.071504300000001</v>
      </c>
      <c r="K760" s="118">
        <v>-77.051026699999994</v>
      </c>
      <c r="L760" s="117">
        <v>140117</v>
      </c>
      <c r="M760" s="117">
        <v>150121</v>
      </c>
    </row>
    <row r="761" spans="1:13" x14ac:dyDescent="0.25">
      <c r="A761" s="120">
        <v>760</v>
      </c>
      <c r="B761" s="120">
        <v>131</v>
      </c>
      <c r="C761" s="117" t="str">
        <f>_xlfn.XLOOKUP(B761,dimUniversidades!$A:$A,dimUniversidades!$B:$B,"(sin universidad)")</f>
        <v>Universidad Particular de Chiclayo</v>
      </c>
      <c r="D761" s="117" t="s">
        <v>324</v>
      </c>
      <c r="E761" s="119" t="b">
        <v>1</v>
      </c>
      <c r="F761" s="117" t="s">
        <v>589</v>
      </c>
      <c r="G761" s="117" t="s">
        <v>1222</v>
      </c>
      <c r="H761" s="117" t="s">
        <v>1251</v>
      </c>
      <c r="I761" s="117" t="s">
        <v>1250</v>
      </c>
      <c r="J761" s="118">
        <v>-6.7901109999999996</v>
      </c>
      <c r="K761" s="118">
        <v>-79.878333400000002</v>
      </c>
      <c r="L761" s="117">
        <v>130110</v>
      </c>
      <c r="M761" s="117">
        <v>140112</v>
      </c>
    </row>
    <row r="762" spans="1:13" x14ac:dyDescent="0.25">
      <c r="A762" s="120">
        <v>761</v>
      </c>
      <c r="B762" s="120">
        <v>131</v>
      </c>
      <c r="C762" s="117" t="str">
        <f>_xlfn.XLOOKUP(B762,dimUniversidades!$A:$A,dimUniversidades!$B:$B,"(sin universidad)")</f>
        <v>Universidad Particular de Chiclayo</v>
      </c>
      <c r="D762" s="117" t="s">
        <v>399</v>
      </c>
      <c r="E762" s="119" t="b">
        <v>0</v>
      </c>
      <c r="F762" s="117" t="s">
        <v>589</v>
      </c>
      <c r="G762" s="117" t="s">
        <v>1222</v>
      </c>
      <c r="H762" s="117" t="s">
        <v>1222</v>
      </c>
      <c r="I762" s="117" t="s">
        <v>1249</v>
      </c>
      <c r="J762" s="118">
        <v>-6.7700798000000004</v>
      </c>
      <c r="K762" s="118">
        <v>-79.854990700000002</v>
      </c>
      <c r="L762" s="117">
        <v>130101</v>
      </c>
      <c r="M762" s="117">
        <v>140101</v>
      </c>
    </row>
    <row r="763" spans="1:13" x14ac:dyDescent="0.25">
      <c r="A763" s="120">
        <v>762</v>
      </c>
      <c r="B763" s="120">
        <v>131</v>
      </c>
      <c r="C763" s="117" t="str">
        <f>_xlfn.XLOOKUP(B763,dimUniversidades!$A:$A,dimUniversidades!$B:$B,"(sin universidad)")</f>
        <v>Universidad Particular de Chiclayo</v>
      </c>
      <c r="D763" s="117" t="s">
        <v>579</v>
      </c>
      <c r="E763" s="119" t="b">
        <v>0</v>
      </c>
      <c r="F763" s="117" t="s">
        <v>420</v>
      </c>
      <c r="G763" s="117" t="s">
        <v>1248</v>
      </c>
      <c r="H763" s="117" t="s">
        <v>1248</v>
      </c>
      <c r="I763" s="117" t="s">
        <v>1247</v>
      </c>
      <c r="J763" s="118">
        <v>-5.7130172000000004</v>
      </c>
      <c r="K763" s="118">
        <v>-78.803021299999997</v>
      </c>
      <c r="L763" s="117">
        <v>60801</v>
      </c>
      <c r="M763" s="117">
        <v>60801</v>
      </c>
    </row>
    <row r="764" spans="1:13" x14ac:dyDescent="0.25">
      <c r="A764" s="120">
        <v>763</v>
      </c>
      <c r="B764" s="120">
        <v>132</v>
      </c>
      <c r="C764" s="117" t="str">
        <f>_xlfn.XLOOKUP(B764,dimUniversidades!$A:$A,dimUniversidades!$B:$B,"(sin universidad)")</f>
        <v>Universidad Privada de Huancayo Franklin Roosevelt S.A.C.</v>
      </c>
      <c r="D764" s="117" t="s">
        <v>324</v>
      </c>
      <c r="E764" s="119" t="b">
        <v>1</v>
      </c>
      <c r="F764" s="117" t="s">
        <v>467</v>
      </c>
      <c r="G764" s="117" t="s">
        <v>631</v>
      </c>
      <c r="H764" s="117" t="s">
        <v>631</v>
      </c>
      <c r="I764" s="117" t="s">
        <v>1246</v>
      </c>
      <c r="J764" s="118">
        <v>-12.065596360693601</v>
      </c>
      <c r="K764" s="118">
        <v>-75.204837858895502</v>
      </c>
      <c r="L764" s="117">
        <v>110101</v>
      </c>
      <c r="M764" s="117">
        <v>120101</v>
      </c>
    </row>
    <row r="765" spans="1:13" x14ac:dyDescent="0.25">
      <c r="A765" s="120">
        <v>764</v>
      </c>
      <c r="B765" s="120">
        <v>132</v>
      </c>
      <c r="C765" s="117" t="str">
        <f>_xlfn.XLOOKUP(B765,dimUniversidades!$A:$A,dimUniversidades!$B:$B,"(sin universidad)")</f>
        <v>Universidad Privada de Huancayo Franklin Roosevelt S.A.C.</v>
      </c>
      <c r="D765" s="117" t="s">
        <v>399</v>
      </c>
      <c r="E765" s="119" t="b">
        <v>0</v>
      </c>
      <c r="F765" s="117" t="s">
        <v>467</v>
      </c>
      <c r="G765" s="117" t="s">
        <v>631</v>
      </c>
      <c r="H765" s="117" t="s">
        <v>631</v>
      </c>
      <c r="I765" s="117" t="s">
        <v>1245</v>
      </c>
      <c r="J765" s="118">
        <v>-12.0418562</v>
      </c>
      <c r="K765" s="118">
        <v>-75.195621900000006</v>
      </c>
      <c r="L765" s="117">
        <v>110101</v>
      </c>
      <c r="M765" s="117">
        <v>120101</v>
      </c>
    </row>
    <row r="766" spans="1:13" x14ac:dyDescent="0.25">
      <c r="A766" s="120">
        <v>765</v>
      </c>
      <c r="B766" s="120">
        <v>132</v>
      </c>
      <c r="C766" s="117" t="str">
        <f>_xlfn.XLOOKUP(B766,dimUniversidades!$A:$A,dimUniversidades!$B:$B,"(sin universidad)")</f>
        <v>Universidad Privada de Huancayo Franklin Roosevelt S.A.C.</v>
      </c>
      <c r="D766" s="117" t="s">
        <v>579</v>
      </c>
      <c r="E766" s="119" t="b">
        <v>0</v>
      </c>
      <c r="F766" s="117" t="s">
        <v>385</v>
      </c>
      <c r="G766" s="117" t="s">
        <v>385</v>
      </c>
      <c r="H766" s="117" t="s">
        <v>1179</v>
      </c>
      <c r="I766" s="117" t="s">
        <v>1244</v>
      </c>
      <c r="J766" s="118">
        <v>-12.0719253</v>
      </c>
      <c r="K766" s="118">
        <v>-77.062225299999994</v>
      </c>
      <c r="L766" s="117">
        <v>140117</v>
      </c>
      <c r="M766" s="117">
        <v>150121</v>
      </c>
    </row>
    <row r="767" spans="1:13" x14ac:dyDescent="0.25">
      <c r="A767" s="120">
        <v>766</v>
      </c>
      <c r="B767" s="120">
        <v>133</v>
      </c>
      <c r="C767" s="117" t="str">
        <f>_xlfn.XLOOKUP(B767,dimUniversidades!$A:$A,dimUniversidades!$B:$B,"(sin universidad)")</f>
        <v>Universidad Nacional del Callao</v>
      </c>
      <c r="D767" s="117" t="s">
        <v>324</v>
      </c>
      <c r="E767" s="119" t="b">
        <v>1</v>
      </c>
      <c r="F767" s="117" t="s">
        <v>1188</v>
      </c>
      <c r="G767" s="117" t="s">
        <v>1187</v>
      </c>
      <c r="H767" s="117" t="s">
        <v>1186</v>
      </c>
      <c r="I767" s="117" t="s">
        <v>1243</v>
      </c>
      <c r="J767" s="118">
        <v>-12.062050683411901</v>
      </c>
      <c r="K767" s="118">
        <v>-77.117403418419997</v>
      </c>
      <c r="L767" s="117">
        <v>240102</v>
      </c>
      <c r="M767" s="117">
        <v>70102</v>
      </c>
    </row>
    <row r="768" spans="1:13" x14ac:dyDescent="0.25">
      <c r="A768" s="120">
        <v>767</v>
      </c>
      <c r="B768" s="120">
        <v>133</v>
      </c>
      <c r="C768" s="117" t="str">
        <f>_xlfn.XLOOKUP(B768,dimUniversidades!$A:$A,dimUniversidades!$B:$B,"(sin universidad)")</f>
        <v>Universidad Nacional del Callao</v>
      </c>
      <c r="D768" s="117" t="s">
        <v>399</v>
      </c>
      <c r="E768" s="119" t="b">
        <v>0</v>
      </c>
      <c r="F768" s="117" t="s">
        <v>1188</v>
      </c>
      <c r="G768" s="117" t="s">
        <v>1187</v>
      </c>
      <c r="H768" s="117" t="s">
        <v>1188</v>
      </c>
      <c r="I768" s="117" t="s">
        <v>1242</v>
      </c>
      <c r="J768" s="118">
        <v>-12.066835354111999</v>
      </c>
      <c r="K768" s="118">
        <v>-77.157457127647405</v>
      </c>
      <c r="L768" s="117">
        <v>240101</v>
      </c>
      <c r="M768" s="117">
        <v>70101</v>
      </c>
    </row>
    <row r="769" spans="1:13" x14ac:dyDescent="0.25">
      <c r="A769" s="120">
        <v>768</v>
      </c>
      <c r="B769" s="120">
        <v>133</v>
      </c>
      <c r="C769" s="117" t="str">
        <f>_xlfn.XLOOKUP(B769,dimUniversidades!$A:$A,dimUniversidades!$B:$B,"(sin universidad)")</f>
        <v>Universidad Nacional del Callao</v>
      </c>
      <c r="D769" s="117" t="s">
        <v>579</v>
      </c>
      <c r="E769" s="119" t="b">
        <v>0</v>
      </c>
      <c r="F769" s="117" t="s">
        <v>385</v>
      </c>
      <c r="G769" s="117" t="s">
        <v>1159</v>
      </c>
      <c r="H769" s="117" t="s">
        <v>1158</v>
      </c>
      <c r="I769" s="117" t="s">
        <v>1241</v>
      </c>
      <c r="J769" s="118">
        <v>-13.079319757057201</v>
      </c>
      <c r="K769" s="118">
        <v>-76.372006370057804</v>
      </c>
      <c r="L769" s="117">
        <v>140401</v>
      </c>
      <c r="M769" s="117">
        <v>150501</v>
      </c>
    </row>
    <row r="770" spans="1:13" x14ac:dyDescent="0.25">
      <c r="A770" s="120">
        <v>769</v>
      </c>
      <c r="B770" s="120">
        <v>134</v>
      </c>
      <c r="C770" s="117" t="str">
        <f>_xlfn.XLOOKUP(B770,dimUniversidades!$A:$A,dimUniversidades!$B:$B,"(sin universidad)")</f>
        <v>Universidad de Ayacucho Federico Froebel S.A.C.</v>
      </c>
      <c r="D770" s="117" t="s">
        <v>324</v>
      </c>
      <c r="E770" s="119" t="b">
        <v>1</v>
      </c>
      <c r="F770" s="117" t="s">
        <v>1164</v>
      </c>
      <c r="G770" s="117" t="s">
        <v>1163</v>
      </c>
      <c r="H770" s="117" t="s">
        <v>1164</v>
      </c>
      <c r="I770" s="117" t="s">
        <v>1240</v>
      </c>
      <c r="J770" s="118">
        <v>-13.148300900000001</v>
      </c>
      <c r="K770" s="118">
        <v>-74.228787999999994</v>
      </c>
      <c r="L770" s="117">
        <v>50101</v>
      </c>
      <c r="M770" s="117">
        <v>50101</v>
      </c>
    </row>
    <row r="771" spans="1:13" x14ac:dyDescent="0.25">
      <c r="A771" s="120">
        <v>770</v>
      </c>
      <c r="B771" s="120">
        <v>135</v>
      </c>
      <c r="C771" s="117" t="str">
        <f>_xlfn.XLOOKUP(B771,dimUniversidades!$A:$A,dimUniversidades!$B:$B,"(sin universidad)")</f>
        <v>Universidad Privada Telesup S.A.C.</v>
      </c>
      <c r="D771" s="117" t="s">
        <v>324</v>
      </c>
      <c r="E771" s="119" t="b">
        <v>1</v>
      </c>
      <c r="F771" s="117" t="s">
        <v>385</v>
      </c>
      <c r="G771" s="117" t="s">
        <v>385</v>
      </c>
      <c r="H771" s="117" t="s">
        <v>385</v>
      </c>
      <c r="I771" s="117" t="s">
        <v>1239</v>
      </c>
      <c r="J771" s="118">
        <v>-12.064008899999999</v>
      </c>
      <c r="K771" s="118">
        <v>-77.034574899999996</v>
      </c>
      <c r="L771" s="117">
        <v>140101</v>
      </c>
      <c r="M771" s="117">
        <v>150101</v>
      </c>
    </row>
    <row r="772" spans="1:13" x14ac:dyDescent="0.25">
      <c r="A772" s="120">
        <v>771</v>
      </c>
      <c r="B772" s="120">
        <v>135</v>
      </c>
      <c r="C772" s="117" t="str">
        <f>_xlfn.XLOOKUP(B772,dimUniversidades!$A:$A,dimUniversidades!$B:$B,"(sin universidad)")</f>
        <v>Universidad Privada Telesup S.A.C.</v>
      </c>
      <c r="D772" s="117" t="s">
        <v>399</v>
      </c>
      <c r="E772" s="119" t="b">
        <v>0</v>
      </c>
      <c r="F772" s="117" t="s">
        <v>385</v>
      </c>
      <c r="G772" s="117" t="s">
        <v>385</v>
      </c>
      <c r="H772" s="117" t="s">
        <v>1238</v>
      </c>
      <c r="I772" s="117" t="s">
        <v>1237</v>
      </c>
      <c r="J772" s="118">
        <v>-11.709974300000001</v>
      </c>
      <c r="K772" s="118">
        <v>-77.125505500000003</v>
      </c>
      <c r="L772" s="117">
        <v>140102</v>
      </c>
      <c r="M772" s="117">
        <v>150102</v>
      </c>
    </row>
    <row r="773" spans="1:13" x14ac:dyDescent="0.25">
      <c r="A773" s="120">
        <v>772</v>
      </c>
      <c r="B773" s="120">
        <v>135</v>
      </c>
      <c r="C773" s="117" t="str">
        <f>_xlfn.XLOOKUP(B773,dimUniversidades!$A:$A,dimUniversidades!$B:$B,"(sin universidad)")</f>
        <v>Universidad Privada Telesup S.A.C.</v>
      </c>
      <c r="D773" s="117" t="s">
        <v>735</v>
      </c>
      <c r="E773" s="119" t="b">
        <v>0</v>
      </c>
      <c r="F773" s="117" t="s">
        <v>385</v>
      </c>
      <c r="G773" s="117" t="s">
        <v>385</v>
      </c>
      <c r="H773" s="117" t="s">
        <v>1236</v>
      </c>
      <c r="I773" s="117" t="s">
        <v>1235</v>
      </c>
      <c r="J773" s="118">
        <v>-12.082583899999999</v>
      </c>
      <c r="K773" s="118">
        <v>-77.034565000000001</v>
      </c>
      <c r="L773" s="117">
        <v>140111</v>
      </c>
      <c r="M773" s="117">
        <v>150116</v>
      </c>
    </row>
    <row r="774" spans="1:13" x14ac:dyDescent="0.25">
      <c r="A774" s="120">
        <v>773</v>
      </c>
      <c r="B774" s="120">
        <v>135</v>
      </c>
      <c r="C774" s="117" t="str">
        <f>_xlfn.XLOOKUP(B774,dimUniversidades!$A:$A,dimUniversidades!$B:$B,"(sin universidad)")</f>
        <v>Universidad Privada Telesup S.A.C.</v>
      </c>
      <c r="D774" s="117" t="s">
        <v>500</v>
      </c>
      <c r="E774" s="119" t="b">
        <v>0</v>
      </c>
      <c r="F774" s="117" t="s">
        <v>385</v>
      </c>
      <c r="G774" s="117" t="s">
        <v>385</v>
      </c>
      <c r="H774" s="117" t="s">
        <v>695</v>
      </c>
      <c r="I774" s="117" t="s">
        <v>1234</v>
      </c>
      <c r="J774" s="118">
        <v>-12.0110187316647</v>
      </c>
      <c r="K774" s="118">
        <v>-76.921841023417599</v>
      </c>
      <c r="L774" s="117">
        <v>140112</v>
      </c>
      <c r="M774" s="117">
        <v>150118</v>
      </c>
    </row>
    <row r="775" spans="1:13" x14ac:dyDescent="0.25">
      <c r="A775" s="120">
        <v>774</v>
      </c>
      <c r="B775" s="120">
        <v>135</v>
      </c>
      <c r="C775" s="117" t="str">
        <f>_xlfn.XLOOKUP(B775,dimUniversidades!$A:$A,dimUniversidades!$B:$B,"(sin universidad)")</f>
        <v>Universidad Privada Telesup S.A.C.</v>
      </c>
      <c r="D775" s="117" t="s">
        <v>1117</v>
      </c>
      <c r="E775" s="119" t="b">
        <v>0</v>
      </c>
      <c r="F775" s="117" t="s">
        <v>385</v>
      </c>
      <c r="G775" s="117" t="s">
        <v>385</v>
      </c>
      <c r="H775" s="117" t="s">
        <v>695</v>
      </c>
      <c r="I775" s="117" t="s">
        <v>1233</v>
      </c>
      <c r="J775" s="118">
        <v>-12.014094699999999</v>
      </c>
      <c r="K775" s="118">
        <v>-76.916338100000004</v>
      </c>
      <c r="L775" s="117">
        <v>140112</v>
      </c>
      <c r="M775" s="117">
        <v>150118</v>
      </c>
    </row>
    <row r="776" spans="1:13" x14ac:dyDescent="0.25">
      <c r="A776" s="120">
        <v>775</v>
      </c>
      <c r="B776" s="120">
        <v>135</v>
      </c>
      <c r="C776" s="117" t="str">
        <f>_xlfn.XLOOKUP(B776,dimUniversidades!$A:$A,dimUniversidades!$B:$B,"(sin universidad)")</f>
        <v>Universidad Privada Telesup S.A.C.</v>
      </c>
      <c r="D776" s="117" t="s">
        <v>1232</v>
      </c>
      <c r="E776" s="119" t="b">
        <v>0</v>
      </c>
      <c r="F776" s="117" t="s">
        <v>385</v>
      </c>
      <c r="G776" s="117" t="s">
        <v>385</v>
      </c>
      <c r="H776" s="117" t="s">
        <v>514</v>
      </c>
      <c r="I776" s="117" t="s">
        <v>1231</v>
      </c>
      <c r="J776" s="118">
        <v>-11.9848864961968</v>
      </c>
      <c r="K776" s="118">
        <v>-77.006602767042494</v>
      </c>
      <c r="L776" s="117">
        <v>140137</v>
      </c>
      <c r="M776" s="117">
        <v>150132</v>
      </c>
    </row>
    <row r="777" spans="1:13" x14ac:dyDescent="0.25">
      <c r="A777" s="120">
        <v>776</v>
      </c>
      <c r="B777" s="120">
        <v>135</v>
      </c>
      <c r="C777" s="117" t="str">
        <f>_xlfn.XLOOKUP(B777,dimUniversidades!$A:$A,dimUniversidades!$B:$B,"(sin universidad)")</f>
        <v>Universidad Privada Telesup S.A.C.</v>
      </c>
      <c r="D777" s="117" t="s">
        <v>1230</v>
      </c>
      <c r="E777" s="119" t="b">
        <v>0</v>
      </c>
      <c r="F777" s="117" t="s">
        <v>385</v>
      </c>
      <c r="G777" s="117" t="s">
        <v>385</v>
      </c>
      <c r="H777" s="117" t="s">
        <v>1229</v>
      </c>
      <c r="I777" s="117" t="s">
        <v>1228</v>
      </c>
      <c r="J777" s="118">
        <v>-12.069787</v>
      </c>
      <c r="K777" s="118">
        <v>-77.030336000000005</v>
      </c>
      <c r="L777" s="117">
        <v>140109</v>
      </c>
      <c r="M777" s="117">
        <v>150115</v>
      </c>
    </row>
    <row r="778" spans="1:13" x14ac:dyDescent="0.25">
      <c r="A778" s="120">
        <v>777</v>
      </c>
      <c r="B778" s="120">
        <v>135</v>
      </c>
      <c r="C778" s="117" t="str">
        <f>_xlfn.XLOOKUP(B778,dimUniversidades!$A:$A,dimUniversidades!$B:$B,"(sin universidad)")</f>
        <v>Universidad Privada Telesup S.A.C.</v>
      </c>
      <c r="D778" s="117" t="s">
        <v>1227</v>
      </c>
      <c r="E778" s="119" t="b">
        <v>0</v>
      </c>
      <c r="F778" s="117" t="s">
        <v>385</v>
      </c>
      <c r="G778" s="117" t="s">
        <v>385</v>
      </c>
      <c r="H778" s="117" t="s">
        <v>1226</v>
      </c>
      <c r="I778" s="117" t="s">
        <v>1225</v>
      </c>
      <c r="J778" s="118">
        <v>-12.101112000000001</v>
      </c>
      <c r="K778" s="118">
        <v>-77.031806000000003</v>
      </c>
      <c r="L778" s="117">
        <v>140124</v>
      </c>
      <c r="M778" s="117">
        <v>150131</v>
      </c>
    </row>
    <row r="779" spans="1:13" x14ac:dyDescent="0.25">
      <c r="A779" s="120">
        <v>778</v>
      </c>
      <c r="B779" s="120">
        <v>135</v>
      </c>
      <c r="C779" s="117" t="str">
        <f>_xlfn.XLOOKUP(B779,dimUniversidades!$A:$A,dimUniversidades!$B:$B,"(sin universidad)")</f>
        <v>Universidad Privada Telesup S.A.C.</v>
      </c>
      <c r="D779" s="117" t="s">
        <v>643</v>
      </c>
      <c r="E779" s="119" t="b">
        <v>0</v>
      </c>
      <c r="F779" s="117" t="s">
        <v>385</v>
      </c>
      <c r="G779" s="117" t="s">
        <v>385</v>
      </c>
      <c r="H779" s="117" t="s">
        <v>385</v>
      </c>
      <c r="I779" s="117" t="s">
        <v>1224</v>
      </c>
      <c r="J779" s="118">
        <v>-12.0559724</v>
      </c>
      <c r="K779" s="118">
        <v>-77.039246300000002</v>
      </c>
      <c r="L779" s="117">
        <v>140101</v>
      </c>
      <c r="M779" s="117">
        <v>150101</v>
      </c>
    </row>
    <row r="780" spans="1:13" x14ac:dyDescent="0.25">
      <c r="A780" s="120">
        <v>779</v>
      </c>
      <c r="B780" s="120">
        <v>135</v>
      </c>
      <c r="C780" s="117" t="str">
        <f>_xlfn.XLOOKUP(B780,dimUniversidades!$A:$A,dimUniversidades!$B:$B,"(sin universidad)")</f>
        <v>Universidad Privada Telesup S.A.C.</v>
      </c>
      <c r="D780" s="117" t="s">
        <v>579</v>
      </c>
      <c r="E780" s="119" t="b">
        <v>0</v>
      </c>
      <c r="F780" s="117" t="s">
        <v>530</v>
      </c>
      <c r="G780" s="117" t="s">
        <v>530</v>
      </c>
      <c r="H780" s="117" t="s">
        <v>530</v>
      </c>
      <c r="I780" s="117" t="s">
        <v>1223</v>
      </c>
      <c r="J780" s="118">
        <v>-16.420128200000001</v>
      </c>
      <c r="K780" s="118">
        <v>-71.542903800000005</v>
      </c>
      <c r="L780" s="117">
        <v>40101</v>
      </c>
      <c r="M780" s="117">
        <v>40101</v>
      </c>
    </row>
    <row r="781" spans="1:13" x14ac:dyDescent="0.25">
      <c r="A781" s="120">
        <v>780</v>
      </c>
      <c r="B781" s="120">
        <v>135</v>
      </c>
      <c r="C781" s="117" t="str">
        <f>_xlfn.XLOOKUP(B781,dimUniversidades!$A:$A,dimUniversidades!$B:$B,"(sin universidad)")</f>
        <v>Universidad Privada Telesup S.A.C.</v>
      </c>
      <c r="D781" s="117" t="s">
        <v>1160</v>
      </c>
      <c r="E781" s="119" t="b">
        <v>0</v>
      </c>
      <c r="F781" s="117" t="s">
        <v>589</v>
      </c>
      <c r="G781" s="117" t="s">
        <v>1222</v>
      </c>
      <c r="H781" s="117" t="s">
        <v>1222</v>
      </c>
      <c r="I781" s="117" t="s">
        <v>1221</v>
      </c>
      <c r="J781" s="118">
        <v>-6.7748480000000004</v>
      </c>
      <c r="K781" s="118">
        <v>-79.837722499999998</v>
      </c>
      <c r="L781" s="117">
        <v>130101</v>
      </c>
      <c r="M781" s="117">
        <v>140101</v>
      </c>
    </row>
    <row r="782" spans="1:13" x14ac:dyDescent="0.25">
      <c r="A782" s="120">
        <v>781</v>
      </c>
      <c r="B782" s="120">
        <v>135</v>
      </c>
      <c r="C782" s="117" t="str">
        <f>_xlfn.XLOOKUP(B782,dimUniversidades!$A:$A,dimUniversidades!$B:$B,"(sin universidad)")</f>
        <v>Universidad Privada Telesup S.A.C.</v>
      </c>
      <c r="D782" s="117" t="s">
        <v>599</v>
      </c>
      <c r="E782" s="119" t="b">
        <v>0</v>
      </c>
      <c r="F782" s="117" t="s">
        <v>597</v>
      </c>
      <c r="G782" s="117" t="s">
        <v>596</v>
      </c>
      <c r="H782" s="117" t="s">
        <v>596</v>
      </c>
      <c r="I782" s="117" t="s">
        <v>1220</v>
      </c>
      <c r="J782" s="118">
        <v>-12.5825295</v>
      </c>
      <c r="K782" s="118">
        <v>-69.1932762</v>
      </c>
      <c r="L782" s="117">
        <v>160101</v>
      </c>
      <c r="M782" s="117">
        <v>170101</v>
      </c>
    </row>
    <row r="783" spans="1:13" x14ac:dyDescent="0.25">
      <c r="A783" s="120">
        <v>782</v>
      </c>
      <c r="B783" s="120">
        <v>135</v>
      </c>
      <c r="C783" s="117" t="str">
        <f>_xlfn.XLOOKUP(B783,dimUniversidades!$A:$A,dimUniversidades!$B:$B,"(sin universidad)")</f>
        <v>Universidad Privada Telesup S.A.C.</v>
      </c>
      <c r="D783" s="117" t="s">
        <v>678</v>
      </c>
      <c r="E783" s="119" t="b">
        <v>0</v>
      </c>
      <c r="F783" s="117" t="s">
        <v>622</v>
      </c>
      <c r="G783" s="117" t="s">
        <v>622</v>
      </c>
      <c r="H783" s="117" t="s">
        <v>622</v>
      </c>
      <c r="I783" s="117" t="s">
        <v>1219</v>
      </c>
      <c r="J783" s="118">
        <v>-5.1868495938942596</v>
      </c>
      <c r="K783" s="118">
        <v>-80.643715838297993</v>
      </c>
      <c r="L783" s="117">
        <v>190101</v>
      </c>
      <c r="M783" s="117">
        <v>200101</v>
      </c>
    </row>
    <row r="784" spans="1:13" x14ac:dyDescent="0.25">
      <c r="A784" s="120">
        <v>783</v>
      </c>
      <c r="B784" s="120">
        <v>135</v>
      </c>
      <c r="C784" s="117" t="str">
        <f>_xlfn.XLOOKUP(B784,dimUniversidades!$A:$A,dimUniversidades!$B:$B,"(sin universidad)")</f>
        <v>Universidad Privada Telesup S.A.C.</v>
      </c>
      <c r="D784" s="117" t="s">
        <v>392</v>
      </c>
      <c r="E784" s="119" t="b">
        <v>0</v>
      </c>
      <c r="F784" s="117" t="s">
        <v>420</v>
      </c>
      <c r="G784" s="117" t="s">
        <v>420</v>
      </c>
      <c r="H784" s="117" t="s">
        <v>420</v>
      </c>
      <c r="I784" s="117" t="s">
        <v>1218</v>
      </c>
      <c r="J784" s="118">
        <v>-7.16379036064495</v>
      </c>
      <c r="K784" s="118">
        <v>-78.497593468139698</v>
      </c>
      <c r="L784" s="117">
        <v>60101</v>
      </c>
      <c r="M784" s="117">
        <v>60101</v>
      </c>
    </row>
    <row r="785" spans="1:13" x14ac:dyDescent="0.25">
      <c r="A785" s="120">
        <v>784</v>
      </c>
      <c r="B785" s="120">
        <v>136</v>
      </c>
      <c r="C785" s="117" t="str">
        <f>_xlfn.XLOOKUP(B785,dimUniversidades!$A:$A,dimUniversidades!$B:$B,"(sin universidad)")</f>
        <v>Universidad del Pacífico</v>
      </c>
      <c r="D785" s="117" t="s">
        <v>324</v>
      </c>
      <c r="E785" s="119" t="b">
        <v>1</v>
      </c>
      <c r="F785" s="117" t="s">
        <v>385</v>
      </c>
      <c r="G785" s="117" t="s">
        <v>385</v>
      </c>
      <c r="H785" s="117" t="s">
        <v>1182</v>
      </c>
      <c r="I785" s="117" t="s">
        <v>1217</v>
      </c>
      <c r="J785" s="118">
        <v>-12.084323046176101</v>
      </c>
      <c r="K785" s="118">
        <v>-77.048140240475504</v>
      </c>
      <c r="L785" s="117">
        <v>140133</v>
      </c>
      <c r="M785" s="117">
        <v>150113</v>
      </c>
    </row>
    <row r="786" spans="1:13" x14ac:dyDescent="0.25">
      <c r="A786" s="120">
        <v>785</v>
      </c>
      <c r="B786" s="120">
        <v>136</v>
      </c>
      <c r="C786" s="117" t="str">
        <f>_xlfn.XLOOKUP(B786,dimUniversidades!$A:$A,dimUniversidades!$B:$B,"(sin universidad)")</f>
        <v>Universidad del Pacífico</v>
      </c>
      <c r="D786" s="117" t="s">
        <v>399</v>
      </c>
      <c r="E786" s="119" t="b">
        <v>0</v>
      </c>
      <c r="F786" s="117" t="s">
        <v>385</v>
      </c>
      <c r="G786" s="117" t="s">
        <v>385</v>
      </c>
      <c r="H786" s="117" t="s">
        <v>1182</v>
      </c>
      <c r="I786" s="117" t="s">
        <v>1216</v>
      </c>
      <c r="J786" s="118">
        <v>-12.083112</v>
      </c>
      <c r="K786" s="118">
        <v>-77.048620799999995</v>
      </c>
      <c r="L786" s="117">
        <v>140133</v>
      </c>
      <c r="M786" s="117">
        <v>150113</v>
      </c>
    </row>
    <row r="787" spans="1:13" x14ac:dyDescent="0.25">
      <c r="A787" s="120">
        <v>786</v>
      </c>
      <c r="B787" s="120">
        <v>136</v>
      </c>
      <c r="C787" s="117" t="str">
        <f>_xlfn.XLOOKUP(B787,dimUniversidades!$A:$A,dimUniversidades!$B:$B,"(sin universidad)")</f>
        <v>Universidad del Pacífico</v>
      </c>
      <c r="D787" s="117" t="s">
        <v>735</v>
      </c>
      <c r="E787" s="119" t="b">
        <v>0</v>
      </c>
      <c r="F787" s="117" t="s">
        <v>385</v>
      </c>
      <c r="G787" s="117" t="s">
        <v>385</v>
      </c>
      <c r="H787" s="117" t="s">
        <v>1182</v>
      </c>
      <c r="I787" s="117" t="s">
        <v>1215</v>
      </c>
      <c r="J787" s="118">
        <v>-12.083486596154501</v>
      </c>
      <c r="K787" s="118">
        <v>-77.049667093254101</v>
      </c>
      <c r="L787" s="117">
        <v>140133</v>
      </c>
      <c r="M787" s="117">
        <v>150113</v>
      </c>
    </row>
    <row r="788" spans="1:13" x14ac:dyDescent="0.25">
      <c r="A788" s="120">
        <v>787</v>
      </c>
      <c r="B788" s="120">
        <v>136</v>
      </c>
      <c r="C788" s="117" t="str">
        <f>_xlfn.XLOOKUP(B788,dimUniversidades!$A:$A,dimUniversidades!$B:$B,"(sin universidad)")</f>
        <v>Universidad del Pacífico</v>
      </c>
      <c r="D788" s="117" t="s">
        <v>500</v>
      </c>
      <c r="E788" s="119" t="b">
        <v>0</v>
      </c>
      <c r="F788" s="117" t="s">
        <v>385</v>
      </c>
      <c r="G788" s="117" t="s">
        <v>385</v>
      </c>
      <c r="H788" s="117" t="s">
        <v>1182</v>
      </c>
      <c r="I788" s="117" t="s">
        <v>1214</v>
      </c>
      <c r="J788" s="118">
        <v>-12.0828465683618</v>
      </c>
      <c r="K788" s="118">
        <v>-77.049095839881105</v>
      </c>
      <c r="L788" s="117">
        <v>140133</v>
      </c>
      <c r="M788" s="117">
        <v>150113</v>
      </c>
    </row>
    <row r="789" spans="1:13" x14ac:dyDescent="0.25">
      <c r="A789" s="120">
        <v>788</v>
      </c>
      <c r="B789" s="120">
        <v>137</v>
      </c>
      <c r="C789" s="117" t="str">
        <f>_xlfn.XLOOKUP(B789,dimUniversidades!$A:$A,dimUniversidades!$B:$B,"(sin universidad)")</f>
        <v>Universidad Nacional Autónoma de Chota</v>
      </c>
      <c r="D789" s="117" t="s">
        <v>324</v>
      </c>
      <c r="E789" s="119" t="b">
        <v>1</v>
      </c>
      <c r="F789" s="117" t="s">
        <v>420</v>
      </c>
      <c r="G789" s="117" t="s">
        <v>676</v>
      </c>
      <c r="H789" s="117" t="s">
        <v>676</v>
      </c>
      <c r="I789" s="117" t="s">
        <v>1213</v>
      </c>
      <c r="J789" s="118">
        <v>-6.5617482171093604</v>
      </c>
      <c r="K789" s="118">
        <v>-78.649885835581998</v>
      </c>
      <c r="L789" s="117">
        <v>60601</v>
      </c>
      <c r="M789" s="117">
        <v>60401</v>
      </c>
    </row>
    <row r="790" spans="1:13" x14ac:dyDescent="0.25">
      <c r="A790" s="120">
        <v>789</v>
      </c>
      <c r="B790" s="120">
        <v>137</v>
      </c>
      <c r="C790" s="117" t="str">
        <f>_xlfn.XLOOKUP(B790,dimUniversidades!$A:$A,dimUniversidades!$B:$B,"(sin universidad)")</f>
        <v>Universidad Nacional Autónoma de Chota</v>
      </c>
      <c r="D790" s="117" t="s">
        <v>399</v>
      </c>
      <c r="E790" s="119" t="b">
        <v>0</v>
      </c>
      <c r="F790" s="117" t="s">
        <v>420</v>
      </c>
      <c r="G790" s="117" t="s">
        <v>676</v>
      </c>
      <c r="H790" s="117" t="s">
        <v>676</v>
      </c>
      <c r="I790" s="117" t="s">
        <v>1212</v>
      </c>
      <c r="J790" s="118">
        <v>-6.5620510000000003</v>
      </c>
      <c r="K790" s="118">
        <v>-78.651380500000002</v>
      </c>
      <c r="L790" s="117">
        <v>60601</v>
      </c>
      <c r="M790" s="117">
        <v>60401</v>
      </c>
    </row>
    <row r="791" spans="1:13" x14ac:dyDescent="0.25">
      <c r="A791" s="120">
        <v>790</v>
      </c>
      <c r="B791" s="120">
        <v>138</v>
      </c>
      <c r="C791" s="117" t="str">
        <f>_xlfn.XLOOKUP(B791,dimUniversidades!$A:$A,dimUniversidades!$B:$B,"(sin universidad)")</f>
        <v>Universidad Nacional de Cañete</v>
      </c>
      <c r="D791" s="117" t="s">
        <v>324</v>
      </c>
      <c r="E791" s="119" t="b">
        <v>1</v>
      </c>
      <c r="F791" s="117" t="s">
        <v>385</v>
      </c>
      <c r="G791" s="117" t="s">
        <v>1159</v>
      </c>
      <c r="H791" s="117" t="s">
        <v>1158</v>
      </c>
      <c r="I791" s="117" t="s">
        <v>1211</v>
      </c>
      <c r="J791" s="118">
        <v>-13.0730626</v>
      </c>
      <c r="K791" s="118">
        <v>-76.367819499999996</v>
      </c>
      <c r="L791" s="117">
        <v>140401</v>
      </c>
      <c r="M791" s="117">
        <v>150501</v>
      </c>
    </row>
    <row r="792" spans="1:13" x14ac:dyDescent="0.25">
      <c r="A792" s="120">
        <v>791</v>
      </c>
      <c r="B792" s="120">
        <v>138</v>
      </c>
      <c r="C792" s="117" t="str">
        <f>_xlfn.XLOOKUP(B792,dimUniversidades!$A:$A,dimUniversidades!$B:$B,"(sin universidad)")</f>
        <v>Universidad Nacional de Cañete</v>
      </c>
      <c r="D792" s="117" t="s">
        <v>399</v>
      </c>
      <c r="E792" s="119" t="b">
        <v>0</v>
      </c>
      <c r="F792" s="117" t="s">
        <v>385</v>
      </c>
      <c r="G792" s="117" t="s">
        <v>1159</v>
      </c>
      <c r="H792" s="117" t="s">
        <v>1158</v>
      </c>
      <c r="I792" s="117" t="s">
        <v>1210</v>
      </c>
      <c r="J792" s="118">
        <v>-13.073082522355699</v>
      </c>
      <c r="K792" s="118">
        <v>-76.367812222003906</v>
      </c>
      <c r="L792" s="117">
        <v>140401</v>
      </c>
      <c r="M792" s="117">
        <v>150501</v>
      </c>
    </row>
    <row r="793" spans="1:13" x14ac:dyDescent="0.25">
      <c r="A793" s="120">
        <v>792</v>
      </c>
      <c r="B793" s="120">
        <v>138</v>
      </c>
      <c r="C793" s="117" t="str">
        <f>_xlfn.XLOOKUP(B793,dimUniversidades!$A:$A,dimUniversidades!$B:$B,"(sin universidad)")</f>
        <v>Universidad Nacional de Cañete</v>
      </c>
      <c r="D793" s="117" t="s">
        <v>735</v>
      </c>
      <c r="E793" s="119" t="b">
        <v>0</v>
      </c>
      <c r="F793" s="117" t="s">
        <v>385</v>
      </c>
      <c r="G793" s="117" t="s">
        <v>1159</v>
      </c>
      <c r="H793" s="117" t="s">
        <v>1209</v>
      </c>
      <c r="I793" s="117" t="s">
        <v>1208</v>
      </c>
      <c r="J793" s="118">
        <v>-12.960380427783299</v>
      </c>
      <c r="K793" s="118">
        <v>-76.140441431877093</v>
      </c>
      <c r="L793" s="117">
        <v>140407</v>
      </c>
      <c r="M793" s="117">
        <v>150508</v>
      </c>
    </row>
    <row r="794" spans="1:13" x14ac:dyDescent="0.25">
      <c r="A794" s="120">
        <v>793</v>
      </c>
      <c r="B794" s="120">
        <v>138</v>
      </c>
      <c r="C794" s="117" t="str">
        <f>_xlfn.XLOOKUP(B794,dimUniversidades!$A:$A,dimUniversidades!$B:$B,"(sin universidad)")</f>
        <v>Universidad Nacional de Cañete</v>
      </c>
      <c r="D794" s="117" t="s">
        <v>500</v>
      </c>
      <c r="E794" s="119" t="b">
        <v>0</v>
      </c>
      <c r="F794" s="117" t="s">
        <v>385</v>
      </c>
      <c r="G794" s="117" t="s">
        <v>1159</v>
      </c>
      <c r="H794" s="117" t="s">
        <v>1158</v>
      </c>
      <c r="I794" s="117" t="s">
        <v>1207</v>
      </c>
      <c r="J794" s="118">
        <v>-13.077156644749399</v>
      </c>
      <c r="K794" s="118">
        <v>-76.386146429762206</v>
      </c>
      <c r="L794" s="117">
        <v>140401</v>
      </c>
      <c r="M794" s="117">
        <v>150501</v>
      </c>
    </row>
    <row r="795" spans="1:13" x14ac:dyDescent="0.25">
      <c r="A795" s="120">
        <v>794</v>
      </c>
      <c r="B795" s="120">
        <v>138</v>
      </c>
      <c r="C795" s="117" t="str">
        <f>_xlfn.XLOOKUP(B795,dimUniversidades!$A:$A,dimUniversidades!$B:$B,"(sin universidad)")</f>
        <v>Universidad Nacional de Cañete</v>
      </c>
      <c r="D795" s="117" t="s">
        <v>1117</v>
      </c>
      <c r="E795" s="119" t="b">
        <v>0</v>
      </c>
      <c r="F795" s="117" t="s">
        <v>385</v>
      </c>
      <c r="G795" s="117" t="s">
        <v>1159</v>
      </c>
      <c r="H795" s="117" t="s">
        <v>1206</v>
      </c>
      <c r="I795" s="117" t="s">
        <v>1205</v>
      </c>
      <c r="J795" s="118">
        <v>-13.0581785938134</v>
      </c>
      <c r="K795" s="118">
        <v>-76.424875725625597</v>
      </c>
      <c r="L795" s="117">
        <v>140413</v>
      </c>
      <c r="M795" s="117">
        <v>150514</v>
      </c>
    </row>
    <row r="796" spans="1:13" x14ac:dyDescent="0.25">
      <c r="A796" s="120">
        <v>795</v>
      </c>
      <c r="B796" s="120">
        <v>139</v>
      </c>
      <c r="C796" s="117" t="str">
        <f>_xlfn.XLOOKUP(B796,dimUniversidades!$A:$A,dimUniversidades!$B:$B,"(sin universidad)")</f>
        <v>Universidad Nacional del Santa</v>
      </c>
      <c r="D796" s="117" t="s">
        <v>324</v>
      </c>
      <c r="E796" s="119" t="b">
        <v>1</v>
      </c>
      <c r="F796" s="117" t="s">
        <v>1134</v>
      </c>
      <c r="G796" s="117" t="s">
        <v>362</v>
      </c>
      <c r="H796" s="117" t="s">
        <v>361</v>
      </c>
      <c r="I796" s="117" t="s">
        <v>1202</v>
      </c>
      <c r="J796" s="118">
        <v>-9.1208959882557892</v>
      </c>
      <c r="K796" s="118">
        <v>-78.513340895700793</v>
      </c>
      <c r="L796" s="117">
        <v>21309</v>
      </c>
      <c r="M796" s="117">
        <v>21809</v>
      </c>
    </row>
    <row r="797" spans="1:13" x14ac:dyDescent="0.25">
      <c r="A797" s="120">
        <v>796</v>
      </c>
      <c r="B797" s="120">
        <v>139</v>
      </c>
      <c r="C797" s="117" t="str">
        <f>_xlfn.XLOOKUP(B797,dimUniversidades!$A:$A,dimUniversidades!$B:$B,"(sin universidad)")</f>
        <v>Universidad Nacional del Santa</v>
      </c>
      <c r="D797" s="117" t="s">
        <v>399</v>
      </c>
      <c r="E797" s="119" t="b">
        <v>0</v>
      </c>
      <c r="F797" s="117" t="s">
        <v>1134</v>
      </c>
      <c r="G797" s="117" t="s">
        <v>362</v>
      </c>
      <c r="H797" s="117" t="s">
        <v>361</v>
      </c>
      <c r="I797" s="117" t="s">
        <v>1204</v>
      </c>
      <c r="J797" s="118">
        <v>-9.1208774501880292</v>
      </c>
      <c r="K797" s="118">
        <v>-78.513316755819702</v>
      </c>
      <c r="L797" s="117">
        <v>21309</v>
      </c>
      <c r="M797" s="117">
        <v>21809</v>
      </c>
    </row>
    <row r="798" spans="1:13" x14ac:dyDescent="0.25">
      <c r="A798" s="120">
        <v>797</v>
      </c>
      <c r="B798" s="120">
        <v>139</v>
      </c>
      <c r="C798" s="117" t="str">
        <f>_xlfn.XLOOKUP(B798,dimUniversidades!$A:$A,dimUniversidades!$B:$B,"(sin universidad)")</f>
        <v>Universidad Nacional del Santa</v>
      </c>
      <c r="D798" s="117" t="s">
        <v>735</v>
      </c>
      <c r="E798" s="119" t="b">
        <v>0</v>
      </c>
      <c r="F798" s="117" t="s">
        <v>1134</v>
      </c>
      <c r="G798" s="117" t="s">
        <v>362</v>
      </c>
      <c r="H798" s="117" t="s">
        <v>361</v>
      </c>
      <c r="I798" s="117" t="s">
        <v>1203</v>
      </c>
      <c r="J798" s="118">
        <v>-9.1209198229129296</v>
      </c>
      <c r="K798" s="118">
        <v>-78.513348942327895</v>
      </c>
      <c r="L798" s="117">
        <v>21309</v>
      </c>
      <c r="M798" s="117">
        <v>21809</v>
      </c>
    </row>
    <row r="799" spans="1:13" x14ac:dyDescent="0.25">
      <c r="A799" s="120">
        <v>798</v>
      </c>
      <c r="B799" s="120">
        <v>140</v>
      </c>
      <c r="C799" s="117" t="str">
        <f>_xlfn.XLOOKUP(B799,dimUniversidades!$A:$A,dimUniversidades!$B:$B,"(sin universidad)")</f>
        <v>Universidad Nacional Santiago Antúnez de Mayolo</v>
      </c>
      <c r="D799" s="117" t="s">
        <v>324</v>
      </c>
      <c r="E799" s="119" t="b">
        <v>1</v>
      </c>
      <c r="F799" s="117" t="s">
        <v>1134</v>
      </c>
      <c r="G799" s="117" t="s">
        <v>1133</v>
      </c>
      <c r="H799" s="117" t="s">
        <v>1121</v>
      </c>
      <c r="I799" s="117" t="s">
        <v>1202</v>
      </c>
      <c r="J799" s="118">
        <v>-9.5176405656000007</v>
      </c>
      <c r="K799" s="118">
        <v>-77.524566680999996</v>
      </c>
      <c r="L799" s="117">
        <v>20102</v>
      </c>
      <c r="M799" s="117">
        <v>20105</v>
      </c>
    </row>
    <row r="800" spans="1:13" x14ac:dyDescent="0.25">
      <c r="A800" s="120">
        <v>799</v>
      </c>
      <c r="B800" s="120">
        <v>140</v>
      </c>
      <c r="C800" s="117" t="str">
        <f>_xlfn.XLOOKUP(B800,dimUniversidades!$A:$A,dimUniversidades!$B:$B,"(sin universidad)")</f>
        <v>Universidad Nacional Santiago Antúnez de Mayolo</v>
      </c>
      <c r="D800" s="117" t="s">
        <v>399</v>
      </c>
      <c r="E800" s="119" t="b">
        <v>0</v>
      </c>
      <c r="F800" s="117" t="s">
        <v>1134</v>
      </c>
      <c r="G800" s="117" t="s">
        <v>1133</v>
      </c>
      <c r="H800" s="117" t="s">
        <v>1133</v>
      </c>
      <c r="I800" s="117" t="s">
        <v>1201</v>
      </c>
      <c r="J800" s="118">
        <v>-9.5345279252270405</v>
      </c>
      <c r="K800" s="118">
        <v>-77.527726494999996</v>
      </c>
      <c r="L800" s="117">
        <v>20101</v>
      </c>
      <c r="M800" s="117">
        <v>20101</v>
      </c>
    </row>
    <row r="801" spans="1:13" x14ac:dyDescent="0.25">
      <c r="A801" s="120">
        <v>800</v>
      </c>
      <c r="B801" s="120">
        <v>140</v>
      </c>
      <c r="C801" s="117" t="str">
        <f>_xlfn.XLOOKUP(B801,dimUniversidades!$A:$A,dimUniversidades!$B:$B,"(sin universidad)")</f>
        <v>Universidad Nacional Santiago Antúnez de Mayolo</v>
      </c>
      <c r="D801" s="117" t="s">
        <v>735</v>
      </c>
      <c r="E801" s="119" t="b">
        <v>0</v>
      </c>
      <c r="F801" s="117" t="s">
        <v>1134</v>
      </c>
      <c r="G801" s="117" t="s">
        <v>1133</v>
      </c>
      <c r="H801" s="117" t="s">
        <v>1133</v>
      </c>
      <c r="I801" s="117" t="s">
        <v>1200</v>
      </c>
      <c r="J801" s="118">
        <v>-9.5363862500104695</v>
      </c>
      <c r="K801" s="118">
        <v>-77.523454763209003</v>
      </c>
      <c r="L801" s="117">
        <v>20101</v>
      </c>
      <c r="M801" s="117">
        <v>20101</v>
      </c>
    </row>
    <row r="802" spans="1:13" x14ac:dyDescent="0.25">
      <c r="A802" s="120">
        <v>801</v>
      </c>
      <c r="B802" s="120">
        <v>140</v>
      </c>
      <c r="C802" s="117" t="str">
        <f>_xlfn.XLOOKUP(B802,dimUniversidades!$A:$A,dimUniversidades!$B:$B,"(sin universidad)")</f>
        <v>Universidad Nacional Santiago Antúnez de Mayolo</v>
      </c>
      <c r="D802" s="117" t="s">
        <v>500</v>
      </c>
      <c r="E802" s="119" t="b">
        <v>0</v>
      </c>
      <c r="F802" s="117" t="s">
        <v>1134</v>
      </c>
      <c r="G802" s="117" t="s">
        <v>1133</v>
      </c>
      <c r="H802" s="117" t="s">
        <v>1133</v>
      </c>
      <c r="I802" s="117" t="s">
        <v>1199</v>
      </c>
      <c r="J802" s="118">
        <v>-9.5370225949008791</v>
      </c>
      <c r="K802" s="118">
        <v>-77.528411500581996</v>
      </c>
      <c r="L802" s="117">
        <v>20101</v>
      </c>
      <c r="M802" s="117">
        <v>20101</v>
      </c>
    </row>
    <row r="803" spans="1:13" x14ac:dyDescent="0.25">
      <c r="A803" s="120">
        <v>802</v>
      </c>
      <c r="B803" s="120">
        <v>140</v>
      </c>
      <c r="C803" s="117" t="str">
        <f>_xlfn.XLOOKUP(B803,dimUniversidades!$A:$A,dimUniversidades!$B:$B,"(sin universidad)")</f>
        <v>Universidad Nacional Santiago Antúnez de Mayolo</v>
      </c>
      <c r="D803" s="117" t="s">
        <v>1117</v>
      </c>
      <c r="E803" s="119" t="b">
        <v>0</v>
      </c>
      <c r="F803" s="117" t="s">
        <v>1134</v>
      </c>
      <c r="G803" s="117" t="s">
        <v>1133</v>
      </c>
      <c r="H803" s="117" t="s">
        <v>1198</v>
      </c>
      <c r="I803" s="117" t="s">
        <v>1197</v>
      </c>
      <c r="J803" s="118">
        <v>-9.5614635000000003</v>
      </c>
      <c r="K803" s="118">
        <v>-77.892460799999995</v>
      </c>
      <c r="L803" s="117">
        <v>20110</v>
      </c>
      <c r="M803" s="117">
        <v>20110</v>
      </c>
    </row>
    <row r="804" spans="1:13" x14ac:dyDescent="0.25">
      <c r="A804" s="120">
        <v>803</v>
      </c>
      <c r="B804" s="120">
        <v>140</v>
      </c>
      <c r="C804" s="117" t="str">
        <f>_xlfn.XLOOKUP(B804,dimUniversidades!$A:$A,dimUniversidades!$B:$B,"(sin universidad)")</f>
        <v>Universidad Nacional Santiago Antúnez de Mayolo</v>
      </c>
      <c r="D804" s="117" t="s">
        <v>579</v>
      </c>
      <c r="E804" s="119" t="b">
        <v>0</v>
      </c>
      <c r="F804" s="117" t="s">
        <v>1134</v>
      </c>
      <c r="G804" s="117" t="s">
        <v>1195</v>
      </c>
      <c r="H804" s="117" t="s">
        <v>1195</v>
      </c>
      <c r="I804" s="117" t="s">
        <v>1196</v>
      </c>
      <c r="J804" s="118">
        <v>-10.091696799999999</v>
      </c>
      <c r="K804" s="118">
        <v>-77.295997700000001</v>
      </c>
      <c r="L804" s="117">
        <v>21501</v>
      </c>
      <c r="M804" s="117">
        <v>22001</v>
      </c>
    </row>
    <row r="805" spans="1:13" x14ac:dyDescent="0.25">
      <c r="A805" s="120">
        <v>804</v>
      </c>
      <c r="B805" s="120">
        <v>140</v>
      </c>
      <c r="C805" s="117" t="str">
        <f>_xlfn.XLOOKUP(B805,dimUniversidades!$A:$A,dimUniversidades!$B:$B,"(sin universidad)")</f>
        <v>Universidad Nacional Santiago Antúnez de Mayolo</v>
      </c>
      <c r="D805" s="117" t="s">
        <v>1165</v>
      </c>
      <c r="E805" s="119" t="b">
        <v>0</v>
      </c>
      <c r="F805" s="117" t="s">
        <v>1134</v>
      </c>
      <c r="G805" s="117" t="s">
        <v>1195</v>
      </c>
      <c r="H805" s="117" t="s">
        <v>1194</v>
      </c>
      <c r="I805" s="117" t="s">
        <v>1193</v>
      </c>
      <c r="J805" s="118">
        <v>-9.1896778000000001</v>
      </c>
      <c r="K805" s="118">
        <v>-77.713015100000007</v>
      </c>
      <c r="L805" s="117">
        <v>21503</v>
      </c>
      <c r="M805" s="117">
        <v>22003</v>
      </c>
    </row>
    <row r="806" spans="1:13" x14ac:dyDescent="0.25">
      <c r="A806" s="120">
        <v>805</v>
      </c>
      <c r="B806" s="120">
        <v>140</v>
      </c>
      <c r="C806" s="117" t="str">
        <f>_xlfn.XLOOKUP(B806,dimUniversidades!$A:$A,dimUniversidades!$B:$B,"(sin universidad)")</f>
        <v>Universidad Nacional Santiago Antúnez de Mayolo</v>
      </c>
      <c r="D806" s="117" t="s">
        <v>1160</v>
      </c>
      <c r="E806" s="119" t="b">
        <v>0</v>
      </c>
      <c r="F806" s="117" t="s">
        <v>1134</v>
      </c>
      <c r="G806" s="117" t="s">
        <v>1192</v>
      </c>
      <c r="H806" s="117" t="s">
        <v>1191</v>
      </c>
      <c r="I806" s="117" t="s">
        <v>1190</v>
      </c>
      <c r="J806" s="118">
        <v>-9.3194824999999994</v>
      </c>
      <c r="K806" s="118">
        <v>-77.5749189</v>
      </c>
      <c r="L806" s="117">
        <v>20406</v>
      </c>
      <c r="M806" s="117">
        <v>20606</v>
      </c>
    </row>
    <row r="807" spans="1:13" x14ac:dyDescent="0.25">
      <c r="A807" s="120">
        <v>806</v>
      </c>
      <c r="B807" s="120">
        <v>141</v>
      </c>
      <c r="C807" s="117" t="str">
        <f>_xlfn.XLOOKUP(B807,dimUniversidades!$A:$A,dimUniversidades!$B:$B,"(sin universidad)")</f>
        <v>Universidad María Auxiliadora S.A.C.</v>
      </c>
      <c r="D807" s="117" t="s">
        <v>324</v>
      </c>
      <c r="E807" s="119" t="b">
        <v>1</v>
      </c>
      <c r="F807" s="117" t="s">
        <v>385</v>
      </c>
      <c r="G807" s="117" t="s">
        <v>385</v>
      </c>
      <c r="H807" s="117" t="s">
        <v>514</v>
      </c>
      <c r="I807" s="117" t="s">
        <v>515</v>
      </c>
      <c r="J807" s="118">
        <v>-11.978324465495801</v>
      </c>
      <c r="K807" s="118">
        <v>-77.016799948462094</v>
      </c>
      <c r="L807" s="117">
        <v>140137</v>
      </c>
      <c r="M807" s="117">
        <v>150132</v>
      </c>
    </row>
    <row r="808" spans="1:13" x14ac:dyDescent="0.25">
      <c r="A808" s="120">
        <v>807</v>
      </c>
      <c r="B808" s="120">
        <v>142</v>
      </c>
      <c r="C808" s="117" t="str">
        <f>_xlfn.XLOOKUP(B808,dimUniversidades!$A:$A,dimUniversidades!$B:$B,"(sin universidad)")</f>
        <v>Universidad Marítima del Perú S.A.C.</v>
      </c>
      <c r="D808" s="117" t="s">
        <v>324</v>
      </c>
      <c r="E808" s="119" t="b">
        <v>1</v>
      </c>
      <c r="F808" s="117" t="s">
        <v>1188</v>
      </c>
      <c r="G808" s="117" t="s">
        <v>1187</v>
      </c>
      <c r="H808" s="117" t="s">
        <v>1188</v>
      </c>
      <c r="I808" s="117" t="s">
        <v>1189</v>
      </c>
      <c r="J808" s="118">
        <v>-12.0614969</v>
      </c>
      <c r="K808" s="118">
        <v>-77.147176900000005</v>
      </c>
      <c r="L808" s="117">
        <v>240101</v>
      </c>
      <c r="M808" s="117">
        <v>70101</v>
      </c>
    </row>
    <row r="809" spans="1:13" x14ac:dyDescent="0.25">
      <c r="A809" s="120">
        <v>808</v>
      </c>
      <c r="B809" s="120">
        <v>142</v>
      </c>
      <c r="C809" s="117" t="str">
        <f>_xlfn.XLOOKUP(B809,dimUniversidades!$A:$A,dimUniversidades!$B:$B,"(sin universidad)")</f>
        <v>Universidad Marítima del Perú S.A.C.</v>
      </c>
      <c r="D809" s="117" t="s">
        <v>399</v>
      </c>
      <c r="E809" s="119" t="b">
        <v>0</v>
      </c>
      <c r="F809" s="117" t="s">
        <v>1188</v>
      </c>
      <c r="G809" s="117" t="s">
        <v>1187</v>
      </c>
      <c r="H809" s="117" t="s">
        <v>1186</v>
      </c>
      <c r="I809" s="117" t="s">
        <v>1185</v>
      </c>
      <c r="J809" s="118">
        <v>-12.0553694</v>
      </c>
      <c r="K809" s="118">
        <v>-77.107628700000006</v>
      </c>
      <c r="L809" s="117">
        <v>240102</v>
      </c>
      <c r="M809" s="117">
        <v>70102</v>
      </c>
    </row>
    <row r="810" spans="1:13" x14ac:dyDescent="0.25">
      <c r="A810" s="120">
        <v>809</v>
      </c>
      <c r="B810" s="120">
        <v>143</v>
      </c>
      <c r="C810" s="117" t="str">
        <f>_xlfn.XLOOKUP(B810,dimUniversidades!$A:$A,dimUniversidades!$B:$B,"(sin universidad)")</f>
        <v>Asociación Civil Universidad de Ciencias y Humanidades</v>
      </c>
      <c r="D810" s="117" t="s">
        <v>324</v>
      </c>
      <c r="E810" s="119" t="b">
        <v>1</v>
      </c>
      <c r="F810" s="117" t="s">
        <v>385</v>
      </c>
      <c r="G810" s="117" t="s">
        <v>385</v>
      </c>
      <c r="H810" s="117" t="s">
        <v>384</v>
      </c>
      <c r="I810" s="117" t="s">
        <v>1184</v>
      </c>
      <c r="J810" s="118">
        <v>-11.961509700000001</v>
      </c>
      <c r="K810" s="118">
        <v>-77.065592100000003</v>
      </c>
      <c r="L810" s="117">
        <v>140142</v>
      </c>
      <c r="M810" s="117">
        <v>150117</v>
      </c>
    </row>
    <row r="811" spans="1:13" x14ac:dyDescent="0.25">
      <c r="A811" s="120">
        <v>810</v>
      </c>
      <c r="B811" s="120">
        <v>144</v>
      </c>
      <c r="C811" s="117" t="str">
        <f>_xlfn.XLOOKUP(B811,dimUniversidades!$A:$A,dimUniversidades!$B:$B,"(sin universidad)")</f>
        <v>Universidad Jaime Bausate y Meza</v>
      </c>
      <c r="D811" s="117" t="s">
        <v>324</v>
      </c>
      <c r="E811" s="119" t="b">
        <v>1</v>
      </c>
      <c r="F811" s="117" t="s">
        <v>385</v>
      </c>
      <c r="G811" s="117" t="s">
        <v>385</v>
      </c>
      <c r="H811" s="117" t="s">
        <v>1182</v>
      </c>
      <c r="I811" s="117" t="s">
        <v>1183</v>
      </c>
      <c r="J811" s="118">
        <v>-12.084955600000001</v>
      </c>
      <c r="K811" s="118">
        <v>-77.054740600000002</v>
      </c>
      <c r="L811" s="117">
        <v>140133</v>
      </c>
      <c r="M811" s="117">
        <v>150113</v>
      </c>
    </row>
    <row r="812" spans="1:13" x14ac:dyDescent="0.25">
      <c r="A812" s="120">
        <v>811</v>
      </c>
      <c r="B812" s="120">
        <v>144</v>
      </c>
      <c r="C812" s="117" t="str">
        <f>_xlfn.XLOOKUP(B812,dimUniversidades!$A:$A,dimUniversidades!$B:$B,"(sin universidad)")</f>
        <v>Universidad Jaime Bausate y Meza</v>
      </c>
      <c r="D812" s="117" t="s">
        <v>500</v>
      </c>
      <c r="E812" s="119" t="b">
        <v>0</v>
      </c>
      <c r="F812" s="117" t="s">
        <v>385</v>
      </c>
      <c r="G812" s="117" t="s">
        <v>385</v>
      </c>
      <c r="H812" s="117" t="s">
        <v>1182</v>
      </c>
      <c r="I812" s="117" t="s">
        <v>1181</v>
      </c>
      <c r="J812" s="118">
        <v>-12.084220200000001</v>
      </c>
      <c r="K812" s="118">
        <v>-77.0560665</v>
      </c>
      <c r="L812" s="117">
        <v>140133</v>
      </c>
      <c r="M812" s="117">
        <v>150113</v>
      </c>
    </row>
    <row r="813" spans="1:13" x14ac:dyDescent="0.25">
      <c r="A813" s="120">
        <v>812</v>
      </c>
      <c r="B813" s="120">
        <v>144</v>
      </c>
      <c r="C813" s="117" t="str">
        <f>_xlfn.XLOOKUP(B813,dimUniversidades!$A:$A,dimUniversidades!$B:$B,"(sin universidad)")</f>
        <v>Universidad Jaime Bausate y Meza</v>
      </c>
      <c r="D813" s="117" t="s">
        <v>1117</v>
      </c>
      <c r="E813" s="119" t="b">
        <v>0</v>
      </c>
      <c r="F813" s="117" t="s">
        <v>385</v>
      </c>
      <c r="G813" s="117" t="s">
        <v>385</v>
      </c>
      <c r="H813" s="117" t="s">
        <v>542</v>
      </c>
      <c r="I813" s="117" t="s">
        <v>1180</v>
      </c>
      <c r="J813" s="118">
        <v>-12.138529</v>
      </c>
      <c r="K813" s="118">
        <v>-76.947593999999995</v>
      </c>
      <c r="L813" s="117">
        <v>140130</v>
      </c>
      <c r="M813" s="117">
        <v>150140</v>
      </c>
    </row>
    <row r="814" spans="1:13" x14ac:dyDescent="0.25">
      <c r="A814" s="120">
        <v>813</v>
      </c>
      <c r="B814" s="120">
        <v>145</v>
      </c>
      <c r="C814" s="117" t="str">
        <f>_xlfn.XLOOKUP(B814,dimUniversidades!$A:$A,dimUniversidades!$B:$B,"(sin universidad)")</f>
        <v>Universidad Politécnica del Perú S.A.</v>
      </c>
      <c r="D814" s="117" t="s">
        <v>324</v>
      </c>
      <c r="E814" s="119" t="b">
        <v>1</v>
      </c>
      <c r="F814" s="117" t="s">
        <v>385</v>
      </c>
      <c r="G814" s="117" t="s">
        <v>385</v>
      </c>
      <c r="H814" s="117" t="s">
        <v>1179</v>
      </c>
      <c r="I814" s="117" t="s">
        <v>1178</v>
      </c>
      <c r="J814" s="118">
        <v>-12.069728400000001</v>
      </c>
      <c r="K814" s="118">
        <v>-77.051358500000006</v>
      </c>
      <c r="L814" s="117">
        <v>140117</v>
      </c>
      <c r="M814" s="117">
        <v>150121</v>
      </c>
    </row>
    <row r="815" spans="1:13" x14ac:dyDescent="0.25">
      <c r="A815" s="120">
        <v>814</v>
      </c>
      <c r="B815" s="120">
        <v>146</v>
      </c>
      <c r="C815" s="117" t="str">
        <f>_xlfn.XLOOKUP(B815,dimUniversidades!$A:$A,dimUniversidades!$B:$B,"(sin universidad)")</f>
        <v>Universidad Católica Los Ángeles de Chimbote</v>
      </c>
      <c r="D815" s="117" t="s">
        <v>324</v>
      </c>
      <c r="E815" s="119" t="b">
        <v>1</v>
      </c>
      <c r="F815" s="117" t="s">
        <v>1134</v>
      </c>
      <c r="G815" s="117" t="s">
        <v>362</v>
      </c>
      <c r="H815" s="117" t="s">
        <v>361</v>
      </c>
      <c r="I815" s="117" t="s">
        <v>1177</v>
      </c>
      <c r="J815" s="118">
        <v>-9.1052648000000005</v>
      </c>
      <c r="K815" s="118">
        <v>-78.445126000000002</v>
      </c>
      <c r="L815" s="117">
        <v>21309</v>
      </c>
      <c r="M815" s="117">
        <v>21809</v>
      </c>
    </row>
    <row r="816" spans="1:13" x14ac:dyDescent="0.25">
      <c r="A816" s="120">
        <v>815</v>
      </c>
      <c r="B816" s="120">
        <v>146</v>
      </c>
      <c r="C816" s="117" t="str">
        <f>_xlfn.XLOOKUP(B816,dimUniversidades!$A:$A,dimUniversidades!$B:$B,"(sin universidad)")</f>
        <v>Universidad Católica Los Ángeles de Chimbote</v>
      </c>
      <c r="D816" s="117" t="s">
        <v>1176</v>
      </c>
      <c r="E816" s="119" t="b">
        <v>0</v>
      </c>
      <c r="F816" s="117" t="s">
        <v>1134</v>
      </c>
      <c r="G816" s="117" t="s">
        <v>362</v>
      </c>
      <c r="H816" s="117" t="s">
        <v>1168</v>
      </c>
      <c r="I816" s="117" t="s">
        <v>1175</v>
      </c>
      <c r="J816" s="118">
        <v>-9.0738478814000008</v>
      </c>
      <c r="K816" s="118">
        <v>-78.593556152000005</v>
      </c>
      <c r="L816" s="117">
        <v>21301</v>
      </c>
      <c r="M816" s="117">
        <v>21801</v>
      </c>
    </row>
    <row r="817" spans="1:13" x14ac:dyDescent="0.25">
      <c r="A817" s="120">
        <v>816</v>
      </c>
      <c r="B817" s="120">
        <v>146</v>
      </c>
      <c r="C817" s="117" t="str">
        <f>_xlfn.XLOOKUP(B817,dimUniversidades!$A:$A,dimUniversidades!$B:$B,"(sin universidad)")</f>
        <v>Universidad Católica Los Ángeles de Chimbote</v>
      </c>
      <c r="D817" s="117" t="s">
        <v>399</v>
      </c>
      <c r="E817" s="119" t="b">
        <v>0</v>
      </c>
      <c r="F817" s="117" t="s">
        <v>1134</v>
      </c>
      <c r="G817" s="117" t="s">
        <v>362</v>
      </c>
      <c r="H817" s="117" t="s">
        <v>1168</v>
      </c>
      <c r="I817" s="117" t="s">
        <v>1174</v>
      </c>
      <c r="J817" s="118">
        <v>-9.0633364000000007</v>
      </c>
      <c r="K817" s="118">
        <v>-78.589010999999999</v>
      </c>
      <c r="L817" s="117">
        <v>21301</v>
      </c>
      <c r="M817" s="117">
        <v>21801</v>
      </c>
    </row>
    <row r="818" spans="1:13" x14ac:dyDescent="0.25">
      <c r="A818" s="120">
        <v>817</v>
      </c>
      <c r="B818" s="120">
        <v>146</v>
      </c>
      <c r="C818" s="117" t="str">
        <f>_xlfn.XLOOKUP(B818,dimUniversidades!$A:$A,dimUniversidades!$B:$B,"(sin universidad)")</f>
        <v>Universidad Católica Los Ángeles de Chimbote</v>
      </c>
      <c r="D818" s="117" t="s">
        <v>1173</v>
      </c>
      <c r="E818" s="119" t="b">
        <v>0</v>
      </c>
      <c r="F818" s="117" t="s">
        <v>1134</v>
      </c>
      <c r="G818" s="117" t="s">
        <v>362</v>
      </c>
      <c r="H818" s="117" t="s">
        <v>1168</v>
      </c>
      <c r="I818" s="117" t="s">
        <v>1172</v>
      </c>
      <c r="J818" s="118">
        <v>-9.0913996000000008</v>
      </c>
      <c r="K818" s="118">
        <v>-78.568113999999994</v>
      </c>
      <c r="L818" s="117">
        <v>21301</v>
      </c>
      <c r="M818" s="117">
        <v>21801</v>
      </c>
    </row>
    <row r="819" spans="1:13" x14ac:dyDescent="0.25">
      <c r="A819" s="120">
        <v>818</v>
      </c>
      <c r="B819" s="120">
        <v>146</v>
      </c>
      <c r="C819" s="117" t="str">
        <f>_xlfn.XLOOKUP(B819,dimUniversidades!$A:$A,dimUniversidades!$B:$B,"(sin universidad)")</f>
        <v>Universidad Católica Los Ángeles de Chimbote</v>
      </c>
      <c r="D819" s="117" t="s">
        <v>735</v>
      </c>
      <c r="E819" s="119" t="b">
        <v>0</v>
      </c>
      <c r="F819" s="117" t="s">
        <v>1134</v>
      </c>
      <c r="G819" s="117" t="s">
        <v>362</v>
      </c>
      <c r="H819" s="117" t="s">
        <v>1168</v>
      </c>
      <c r="I819" s="117" t="s">
        <v>1171</v>
      </c>
      <c r="J819" s="118">
        <v>-9.0978998999999998</v>
      </c>
      <c r="K819" s="118">
        <v>-78.561121200000002</v>
      </c>
      <c r="L819" s="117">
        <v>21301</v>
      </c>
      <c r="M819" s="117">
        <v>21801</v>
      </c>
    </row>
    <row r="820" spans="1:13" x14ac:dyDescent="0.25">
      <c r="A820" s="120">
        <v>819</v>
      </c>
      <c r="B820" s="120">
        <v>146</v>
      </c>
      <c r="C820" s="117" t="str">
        <f>_xlfn.XLOOKUP(B820,dimUniversidades!$A:$A,dimUniversidades!$B:$B,"(sin universidad)")</f>
        <v>Universidad Católica Los Ángeles de Chimbote</v>
      </c>
      <c r="D820" s="117" t="s">
        <v>1170</v>
      </c>
      <c r="E820" s="119" t="b">
        <v>0</v>
      </c>
      <c r="F820" s="117" t="s">
        <v>1134</v>
      </c>
      <c r="G820" s="117" t="s">
        <v>362</v>
      </c>
      <c r="H820" s="117" t="s">
        <v>361</v>
      </c>
      <c r="I820" s="117" t="s">
        <v>1169</v>
      </c>
      <c r="J820" s="118">
        <v>-9.1052648000000005</v>
      </c>
      <c r="K820" s="118">
        <v>-78.445126000000002</v>
      </c>
      <c r="L820" s="117">
        <v>21309</v>
      </c>
      <c r="M820" s="117">
        <v>21809</v>
      </c>
    </row>
    <row r="821" spans="1:13" x14ac:dyDescent="0.25">
      <c r="A821" s="120">
        <v>820</v>
      </c>
      <c r="B821" s="120">
        <v>146</v>
      </c>
      <c r="C821" s="117" t="str">
        <f>_xlfn.XLOOKUP(B821,dimUniversidades!$A:$A,dimUniversidades!$B:$B,"(sin universidad)")</f>
        <v>Universidad Católica Los Ángeles de Chimbote</v>
      </c>
      <c r="D821" s="117" t="s">
        <v>500</v>
      </c>
      <c r="E821" s="119" t="b">
        <v>0</v>
      </c>
      <c r="F821" s="117" t="s">
        <v>1134</v>
      </c>
      <c r="G821" s="117" t="s">
        <v>362</v>
      </c>
      <c r="H821" s="117" t="s">
        <v>1168</v>
      </c>
      <c r="I821" s="117" t="s">
        <v>1167</v>
      </c>
      <c r="J821" s="118">
        <v>-9.0976234999999992</v>
      </c>
      <c r="K821" s="118">
        <v>-78.560933800000001</v>
      </c>
      <c r="L821" s="117">
        <v>21301</v>
      </c>
      <c r="M821" s="117">
        <v>21801</v>
      </c>
    </row>
    <row r="822" spans="1:13" x14ac:dyDescent="0.25">
      <c r="A822" s="120">
        <v>821</v>
      </c>
      <c r="B822" s="120">
        <v>146</v>
      </c>
      <c r="C822" s="117" t="str">
        <f>_xlfn.XLOOKUP(B822,dimUniversidades!$A:$A,dimUniversidades!$B:$B,"(sin universidad)")</f>
        <v>Universidad Católica Los Ángeles de Chimbote</v>
      </c>
      <c r="D822" s="117" t="s">
        <v>579</v>
      </c>
      <c r="E822" s="119" t="b">
        <v>0</v>
      </c>
      <c r="F822" s="117" t="s">
        <v>1164</v>
      </c>
      <c r="G822" s="117" t="s">
        <v>1163</v>
      </c>
      <c r="H822" s="117" t="s">
        <v>1164</v>
      </c>
      <c r="I822" s="117" t="s">
        <v>1166</v>
      </c>
      <c r="J822" s="118">
        <v>-13.1573911</v>
      </c>
      <c r="K822" s="118">
        <v>-74.225362399999995</v>
      </c>
      <c r="L822" s="117">
        <v>50101</v>
      </c>
      <c r="M822" s="117">
        <v>50101</v>
      </c>
    </row>
    <row r="823" spans="1:13" x14ac:dyDescent="0.25">
      <c r="A823" s="120">
        <v>822</v>
      </c>
      <c r="B823" s="120">
        <v>146</v>
      </c>
      <c r="C823" s="117" t="str">
        <f>_xlfn.XLOOKUP(B823,dimUniversidades!$A:$A,dimUniversidades!$B:$B,"(sin universidad)")</f>
        <v>Universidad Católica Los Ángeles de Chimbote</v>
      </c>
      <c r="D823" s="117" t="s">
        <v>1165</v>
      </c>
      <c r="E823" s="119" t="b">
        <v>0</v>
      </c>
      <c r="F823" s="117" t="s">
        <v>1164</v>
      </c>
      <c r="G823" s="117" t="s">
        <v>1163</v>
      </c>
      <c r="H823" s="117" t="s">
        <v>1162</v>
      </c>
      <c r="I823" s="117" t="s">
        <v>1161</v>
      </c>
      <c r="J823" s="118">
        <v>-13.162984399999999</v>
      </c>
      <c r="K823" s="118">
        <v>-74.214614999999995</v>
      </c>
      <c r="L823" s="117">
        <v>50116</v>
      </c>
      <c r="M823" s="117">
        <v>50116</v>
      </c>
    </row>
    <row r="824" spans="1:13" x14ac:dyDescent="0.25">
      <c r="A824" s="120">
        <v>823</v>
      </c>
      <c r="B824" s="120">
        <v>146</v>
      </c>
      <c r="C824" s="117" t="str">
        <f>_xlfn.XLOOKUP(B824,dimUniversidades!$A:$A,dimUniversidades!$B:$B,"(sin universidad)")</f>
        <v>Universidad Católica Los Ángeles de Chimbote</v>
      </c>
      <c r="D824" s="117" t="s">
        <v>1160</v>
      </c>
      <c r="E824" s="119" t="b">
        <v>0</v>
      </c>
      <c r="F824" s="117" t="s">
        <v>385</v>
      </c>
      <c r="G824" s="117" t="s">
        <v>1159</v>
      </c>
      <c r="H824" s="117" t="s">
        <v>1158</v>
      </c>
      <c r="I824" s="117" t="s">
        <v>1157</v>
      </c>
      <c r="J824" s="118">
        <v>-13.077125000000001</v>
      </c>
      <c r="K824" s="118">
        <v>-76.389342600000006</v>
      </c>
      <c r="L824" s="117">
        <v>140401</v>
      </c>
      <c r="M824" s="117">
        <v>150501</v>
      </c>
    </row>
    <row r="825" spans="1:13" x14ac:dyDescent="0.25">
      <c r="A825" s="120">
        <v>824</v>
      </c>
      <c r="B825" s="120">
        <v>146</v>
      </c>
      <c r="C825" s="117" t="str">
        <f>_xlfn.XLOOKUP(B825,dimUniversidades!$A:$A,dimUniversidades!$B:$B,"(sin universidad)")</f>
        <v>Universidad Católica Los Ángeles de Chimbote</v>
      </c>
      <c r="D825" s="117" t="s">
        <v>599</v>
      </c>
      <c r="E825" s="119" t="b">
        <v>0</v>
      </c>
      <c r="F825" s="117" t="s">
        <v>1134</v>
      </c>
      <c r="G825" s="117" t="s">
        <v>1133</v>
      </c>
      <c r="H825" s="117" t="s">
        <v>1121</v>
      </c>
      <c r="I825" s="117" t="s">
        <v>1156</v>
      </c>
      <c r="J825" s="118">
        <v>-9.5080998000000001</v>
      </c>
      <c r="K825" s="118">
        <v>-77.504610099999994</v>
      </c>
      <c r="L825" s="117">
        <v>20102</v>
      </c>
      <c r="M825" s="117">
        <v>20105</v>
      </c>
    </row>
    <row r="826" spans="1:13" x14ac:dyDescent="0.25">
      <c r="A826" s="120">
        <v>825</v>
      </c>
      <c r="B826" s="120">
        <v>146</v>
      </c>
      <c r="C826" s="117" t="str">
        <f>_xlfn.XLOOKUP(B826,dimUniversidades!$A:$A,dimUniversidades!$B:$B,"(sin universidad)")</f>
        <v>Universidad Católica Los Ángeles de Chimbote</v>
      </c>
      <c r="D826" s="117" t="s">
        <v>678</v>
      </c>
      <c r="E826" s="119" t="b">
        <v>0</v>
      </c>
      <c r="F826" s="117" t="s">
        <v>385</v>
      </c>
      <c r="G826" s="117" t="s">
        <v>385</v>
      </c>
      <c r="H826" s="117" t="s">
        <v>514</v>
      </c>
      <c r="I826" s="117" t="s">
        <v>1155</v>
      </c>
      <c r="J826" s="118">
        <v>-11.9886707</v>
      </c>
      <c r="K826" s="118">
        <v>-76.996336600000006</v>
      </c>
      <c r="L826" s="117">
        <v>140137</v>
      </c>
      <c r="M826" s="117">
        <v>150132</v>
      </c>
    </row>
    <row r="827" spans="1:13" x14ac:dyDescent="0.25">
      <c r="A827" s="120">
        <v>826</v>
      </c>
      <c r="B827" s="120">
        <v>146</v>
      </c>
      <c r="C827" s="117" t="str">
        <f>_xlfn.XLOOKUP(B827,dimUniversidades!$A:$A,dimUniversidades!$B:$B,"(sin universidad)")</f>
        <v>Universidad Católica Los Ángeles de Chimbote</v>
      </c>
      <c r="D827" s="117" t="s">
        <v>392</v>
      </c>
      <c r="E827" s="119" t="b">
        <v>0</v>
      </c>
      <c r="F827" s="117" t="s">
        <v>622</v>
      </c>
      <c r="G827" s="117" t="s">
        <v>622</v>
      </c>
      <c r="H827" s="117" t="s">
        <v>622</v>
      </c>
      <c r="I827" s="117" t="s">
        <v>1154</v>
      </c>
      <c r="J827" s="118">
        <v>-5.1972268000000001</v>
      </c>
      <c r="K827" s="118">
        <v>-80.628529</v>
      </c>
      <c r="L827" s="117">
        <v>190101</v>
      </c>
      <c r="M827" s="117">
        <v>200101</v>
      </c>
    </row>
    <row r="828" spans="1:13" x14ac:dyDescent="0.25">
      <c r="A828" s="120">
        <v>827</v>
      </c>
      <c r="B828" s="120">
        <v>146</v>
      </c>
      <c r="C828" s="117" t="str">
        <f>_xlfn.XLOOKUP(B828,dimUniversidades!$A:$A,dimUniversidades!$B:$B,"(sin universidad)")</f>
        <v>Universidad Católica Los Ángeles de Chimbote</v>
      </c>
      <c r="D828" s="117" t="s">
        <v>1153</v>
      </c>
      <c r="E828" s="119" t="b">
        <v>0</v>
      </c>
      <c r="F828" s="117" t="s">
        <v>1152</v>
      </c>
      <c r="G828" s="117" t="s">
        <v>1151</v>
      </c>
      <c r="H828" s="117" t="s">
        <v>1150</v>
      </c>
      <c r="I828" s="117" t="s">
        <v>1149</v>
      </c>
      <c r="J828" s="118">
        <v>-8.3822185000000005</v>
      </c>
      <c r="K828" s="118">
        <v>-74.547609800000004</v>
      </c>
      <c r="L828" s="117">
        <v>250101</v>
      </c>
      <c r="M828" s="117">
        <v>250101</v>
      </c>
    </row>
    <row r="829" spans="1:13" x14ac:dyDescent="0.25">
      <c r="A829" s="120">
        <v>828</v>
      </c>
      <c r="B829" s="120">
        <v>146</v>
      </c>
      <c r="C829" s="117" t="str">
        <f>_xlfn.XLOOKUP(B829,dimUniversidades!$A:$A,dimUniversidades!$B:$B,"(sin universidad)")</f>
        <v>Universidad Católica Los Ángeles de Chimbote</v>
      </c>
      <c r="D829" s="117" t="s">
        <v>1148</v>
      </c>
      <c r="E829" s="119" t="b">
        <v>0</v>
      </c>
      <c r="F829" s="117" t="s">
        <v>467</v>
      </c>
      <c r="G829" s="117" t="s">
        <v>1147</v>
      </c>
      <c r="H829" s="117" t="s">
        <v>1147</v>
      </c>
      <c r="I829" s="117" t="s">
        <v>1146</v>
      </c>
      <c r="J829" s="118">
        <v>-11.252678</v>
      </c>
      <c r="K829" s="118">
        <v>-74.637115399999999</v>
      </c>
      <c r="L829" s="117">
        <v>110701</v>
      </c>
      <c r="M829" s="117">
        <v>120601</v>
      </c>
    </row>
    <row r="830" spans="1:13" x14ac:dyDescent="0.25">
      <c r="A830" s="120">
        <v>829</v>
      </c>
      <c r="B830" s="120">
        <v>146</v>
      </c>
      <c r="C830" s="117" t="str">
        <f>_xlfn.XLOOKUP(B830,dimUniversidades!$A:$A,dimUniversidades!$B:$B,"(sin universidad)")</f>
        <v>Universidad Católica Los Ángeles de Chimbote</v>
      </c>
      <c r="D830" s="117" t="s">
        <v>1145</v>
      </c>
      <c r="E830" s="119" t="b">
        <v>0</v>
      </c>
      <c r="F830" s="117" t="s">
        <v>622</v>
      </c>
      <c r="G830" s="117" t="s">
        <v>621</v>
      </c>
      <c r="H830" s="117" t="s">
        <v>621</v>
      </c>
      <c r="I830" s="117" t="s">
        <v>1144</v>
      </c>
      <c r="J830" s="118">
        <v>-4.8894532000000002</v>
      </c>
      <c r="K830" s="118">
        <v>-80.683405399999998</v>
      </c>
      <c r="L830" s="117">
        <v>190601</v>
      </c>
      <c r="M830" s="117">
        <v>200601</v>
      </c>
    </row>
    <row r="831" spans="1:13" x14ac:dyDescent="0.25">
      <c r="A831" s="120">
        <v>830</v>
      </c>
      <c r="B831" s="120">
        <v>146</v>
      </c>
      <c r="C831" s="117" t="str">
        <f>_xlfn.XLOOKUP(B831,dimUniversidades!$A:$A,dimUniversidades!$B:$B,"(sin universidad)")</f>
        <v>Universidad Católica Los Ángeles de Chimbote</v>
      </c>
      <c r="D831" s="117" t="s">
        <v>1143</v>
      </c>
      <c r="E831" s="119" t="b">
        <v>0</v>
      </c>
      <c r="F831" s="117" t="s">
        <v>397</v>
      </c>
      <c r="G831" s="117" t="s">
        <v>396</v>
      </c>
      <c r="H831" s="117" t="s">
        <v>396</v>
      </c>
      <c r="I831" s="117" t="s">
        <v>1142</v>
      </c>
      <c r="J831" s="118">
        <v>-8.1014408000000007</v>
      </c>
      <c r="K831" s="118">
        <v>-79.042102099999994</v>
      </c>
      <c r="L831" s="117">
        <v>120101</v>
      </c>
      <c r="M831" s="117">
        <v>130101</v>
      </c>
    </row>
    <row r="832" spans="1:13" x14ac:dyDescent="0.25">
      <c r="A832" s="120">
        <v>831</v>
      </c>
      <c r="B832" s="120">
        <v>146</v>
      </c>
      <c r="C832" s="117" t="str">
        <f>_xlfn.XLOOKUP(B832,dimUniversidades!$A:$A,dimUniversidades!$B:$B,"(sin universidad)")</f>
        <v>Universidad Católica Los Ángeles de Chimbote</v>
      </c>
      <c r="D832" s="117" t="s">
        <v>1141</v>
      </c>
      <c r="E832" s="119" t="b">
        <v>0</v>
      </c>
      <c r="F832" s="117" t="s">
        <v>397</v>
      </c>
      <c r="G832" s="117" t="s">
        <v>396</v>
      </c>
      <c r="H832" s="117" t="s">
        <v>396</v>
      </c>
      <c r="I832" s="117" t="s">
        <v>1140</v>
      </c>
      <c r="J832" s="118">
        <v>-8.0890190000000004</v>
      </c>
      <c r="K832" s="118">
        <v>-79.024998699999998</v>
      </c>
      <c r="L832" s="117">
        <v>120101</v>
      </c>
      <c r="M832" s="117">
        <v>130101</v>
      </c>
    </row>
    <row r="833" spans="1:13" x14ac:dyDescent="0.25">
      <c r="A833" s="120">
        <v>832</v>
      </c>
      <c r="B833" s="120">
        <v>146</v>
      </c>
      <c r="C833" s="117" t="str">
        <f>_xlfn.XLOOKUP(B833,dimUniversidades!$A:$A,dimUniversidades!$B:$B,"(sin universidad)")</f>
        <v>Universidad Católica Los Ángeles de Chimbote</v>
      </c>
      <c r="D833" s="117" t="s">
        <v>1139</v>
      </c>
      <c r="E833" s="119" t="b">
        <v>0</v>
      </c>
      <c r="F833" s="117" t="s">
        <v>606</v>
      </c>
      <c r="G833" s="117" t="s">
        <v>606</v>
      </c>
      <c r="H833" s="117" t="s">
        <v>606</v>
      </c>
      <c r="I833" s="117" t="s">
        <v>1138</v>
      </c>
      <c r="J833" s="118">
        <v>-3.5692501999999999</v>
      </c>
      <c r="K833" s="118">
        <v>-80.459472199999993</v>
      </c>
      <c r="L833" s="117">
        <v>230101</v>
      </c>
      <c r="M833" s="117">
        <v>240101</v>
      </c>
    </row>
    <row r="834" spans="1:13" x14ac:dyDescent="0.25">
      <c r="A834" s="120">
        <v>833</v>
      </c>
      <c r="B834" s="120">
        <v>146</v>
      </c>
      <c r="C834" s="117" t="str">
        <f>_xlfn.XLOOKUP(B834,dimUniversidades!$A:$A,dimUniversidades!$B:$B,"(sin universidad)")</f>
        <v>Universidad Católica Los Ángeles de Chimbote</v>
      </c>
      <c r="D834" s="117" t="s">
        <v>1137</v>
      </c>
      <c r="E834" s="119" t="b">
        <v>0</v>
      </c>
      <c r="F834" s="117" t="s">
        <v>606</v>
      </c>
      <c r="G834" s="117" t="s">
        <v>606</v>
      </c>
      <c r="H834" s="117" t="s">
        <v>606</v>
      </c>
      <c r="I834" s="117" t="s">
        <v>1136</v>
      </c>
      <c r="J834" s="118">
        <v>-3.5564920999999998</v>
      </c>
      <c r="K834" s="118">
        <v>-80.427088499999996</v>
      </c>
      <c r="L834" s="117">
        <v>230101</v>
      </c>
      <c r="M834" s="117">
        <v>240101</v>
      </c>
    </row>
    <row r="835" spans="1:13" x14ac:dyDescent="0.25">
      <c r="A835" s="120">
        <v>834</v>
      </c>
      <c r="B835" s="120">
        <v>146</v>
      </c>
      <c r="C835" s="117" t="str">
        <f>_xlfn.XLOOKUP(B835,dimUniversidades!$A:$A,dimUniversidades!$B:$B,"(sin universidad)")</f>
        <v>Universidad Católica Los Ángeles de Chimbote</v>
      </c>
      <c r="D835" s="117" t="s">
        <v>1135</v>
      </c>
      <c r="E835" s="119" t="b">
        <v>0</v>
      </c>
      <c r="F835" s="117" t="s">
        <v>1134</v>
      </c>
      <c r="G835" s="117" t="s">
        <v>1133</v>
      </c>
      <c r="H835" s="117" t="s">
        <v>1121</v>
      </c>
      <c r="I835" s="117" t="s">
        <v>1132</v>
      </c>
      <c r="J835" s="118">
        <v>-9.5246276000000005</v>
      </c>
      <c r="K835" s="118">
        <v>-77.537603099999998</v>
      </c>
      <c r="L835" s="117">
        <v>20102</v>
      </c>
      <c r="M835" s="117">
        <v>20105</v>
      </c>
    </row>
    <row r="836" spans="1:13" x14ac:dyDescent="0.25">
      <c r="A836" s="120">
        <v>835</v>
      </c>
      <c r="B836" s="120">
        <v>147</v>
      </c>
      <c r="C836" s="117" t="str">
        <f>_xlfn.XLOOKUP(B836,dimUniversidades!$A:$A,dimUniversidades!$B:$B,"(sin universidad)")</f>
        <v>Universidad Nacional de Música</v>
      </c>
      <c r="D836" s="117" t="s">
        <v>324</v>
      </c>
      <c r="E836" s="119" t="b">
        <v>1</v>
      </c>
      <c r="F836" s="117" t="s">
        <v>385</v>
      </c>
      <c r="G836" s="117" t="s">
        <v>385</v>
      </c>
      <c r="H836" s="117" t="s">
        <v>385</v>
      </c>
      <c r="I836" s="117" t="s">
        <v>1131</v>
      </c>
      <c r="J836" s="118">
        <v>-12.0479877</v>
      </c>
      <c r="K836" s="118">
        <v>-77.031203199999993</v>
      </c>
      <c r="L836" s="117">
        <v>140101</v>
      </c>
      <c r="M836" s="117">
        <v>150101</v>
      </c>
    </row>
    <row r="837" spans="1:13" x14ac:dyDescent="0.25">
      <c r="A837" s="120">
        <v>836</v>
      </c>
      <c r="B837" s="120">
        <v>147</v>
      </c>
      <c r="C837" s="117" t="str">
        <f>_xlfn.XLOOKUP(B837,dimUniversidades!$A:$A,dimUniversidades!$B:$B,"(sin universidad)")</f>
        <v>Universidad Nacional de Música</v>
      </c>
      <c r="D837" s="117" t="s">
        <v>399</v>
      </c>
      <c r="E837" s="119" t="b">
        <v>0</v>
      </c>
      <c r="F837" s="117" t="s">
        <v>385</v>
      </c>
      <c r="G837" s="117" t="s">
        <v>385</v>
      </c>
      <c r="H837" s="117" t="s">
        <v>385</v>
      </c>
      <c r="I837" s="117" t="s">
        <v>1130</v>
      </c>
      <c r="J837" s="118">
        <v>-12.0484201</v>
      </c>
      <c r="K837" s="118">
        <v>-77.033878900000005</v>
      </c>
      <c r="L837" s="117">
        <v>140101</v>
      </c>
      <c r="M837" s="117">
        <v>150101</v>
      </c>
    </row>
    <row r="838" spans="1:13" x14ac:dyDescent="0.25">
      <c r="A838" s="120">
        <v>837</v>
      </c>
      <c r="B838" s="120">
        <v>147</v>
      </c>
      <c r="C838" s="117" t="str">
        <f>_xlfn.XLOOKUP(B838,dimUniversidades!$A:$A,dimUniversidades!$B:$B,"(sin universidad)")</f>
        <v>Universidad Nacional de Música</v>
      </c>
      <c r="D838" s="117" t="s">
        <v>500</v>
      </c>
      <c r="E838" s="119" t="b">
        <v>0</v>
      </c>
      <c r="F838" s="117" t="s">
        <v>385</v>
      </c>
      <c r="G838" s="117" t="s">
        <v>385</v>
      </c>
      <c r="H838" s="117" t="s">
        <v>385</v>
      </c>
      <c r="I838" s="117" t="s">
        <v>1129</v>
      </c>
      <c r="J838" s="118">
        <v>-12.047872</v>
      </c>
      <c r="K838" s="118">
        <v>-77.034308199999998</v>
      </c>
      <c r="L838" s="117">
        <v>140101</v>
      </c>
      <c r="M838" s="117">
        <v>150101</v>
      </c>
    </row>
    <row r="839" spans="1:13" x14ac:dyDescent="0.25">
      <c r="A839" s="120">
        <v>838</v>
      </c>
      <c r="B839" s="120">
        <v>148</v>
      </c>
      <c r="C839" s="117" t="str">
        <f>_xlfn.XLOOKUP(B839,dimUniversidades!$A:$A,dimUniversidades!$B:$B,"(sin universidad)")</f>
        <v>Universidad Nacional Daniel Alomía Robles</v>
      </c>
      <c r="D839" s="117" t="s">
        <v>324</v>
      </c>
      <c r="E839" s="119" t="b">
        <v>1</v>
      </c>
      <c r="F839" s="117" t="s">
        <v>1128</v>
      </c>
      <c r="G839" s="117" t="s">
        <v>1128</v>
      </c>
      <c r="H839" s="117" t="s">
        <v>1127</v>
      </c>
      <c r="I839" s="117" t="s">
        <v>1126</v>
      </c>
      <c r="J839" s="118">
        <v>-9.9207648000000006</v>
      </c>
      <c r="K839" s="118">
        <v>-76.241084299999997</v>
      </c>
      <c r="L839" s="117">
        <v>90101</v>
      </c>
      <c r="M839" s="117">
        <v>100101</v>
      </c>
    </row>
    <row r="840" spans="1:13" x14ac:dyDescent="0.25">
      <c r="A840" s="120">
        <v>839</v>
      </c>
      <c r="B840" s="120">
        <v>149</v>
      </c>
      <c r="C840" s="117" t="str">
        <f>_xlfn.XLOOKUP(B840,dimUniversidades!$A:$A,dimUniversidades!$B:$B,"(sin universidad)")</f>
        <v>Universidad Nacional Tecnológica de Frontera San Ignacio de Loyola</v>
      </c>
      <c r="D840" s="117" t="s">
        <v>324</v>
      </c>
      <c r="E840" s="119" t="b">
        <v>1</v>
      </c>
      <c r="F840" s="117" t="s">
        <v>420</v>
      </c>
      <c r="G840" s="117" t="s">
        <v>1125</v>
      </c>
      <c r="H840" s="117" t="s">
        <v>1125</v>
      </c>
      <c r="I840" s="117" t="s">
        <v>1124</v>
      </c>
      <c r="J840" s="118">
        <v>-5.1516055999999999</v>
      </c>
      <c r="K840" s="118">
        <v>-78.996688800000001</v>
      </c>
      <c r="L840" s="117">
        <v>61101</v>
      </c>
      <c r="M840" s="117">
        <v>60901</v>
      </c>
    </row>
    <row r="841" spans="1:13" x14ac:dyDescent="0.25">
      <c r="A841" s="120">
        <v>840</v>
      </c>
      <c r="B841" s="120">
        <v>150</v>
      </c>
      <c r="C841" s="117" t="str">
        <f>_xlfn.XLOOKUP(B841,dimUniversidades!$A:$A,dimUniversidades!$B:$B,"(sin universidad)")</f>
        <v>Universidad San Ignacio de Loyola S.r.l.</v>
      </c>
      <c r="D841" s="117" t="s">
        <v>324</v>
      </c>
      <c r="E841" s="119" t="b">
        <v>1</v>
      </c>
      <c r="F841" s="117" t="s">
        <v>385</v>
      </c>
      <c r="G841" s="117" t="s">
        <v>385</v>
      </c>
      <c r="H841" s="117" t="s">
        <v>428</v>
      </c>
      <c r="I841" s="117" t="s">
        <v>1123</v>
      </c>
      <c r="J841" s="118">
        <v>-12.073291923949601</v>
      </c>
      <c r="K841" s="118">
        <v>-76.953844218138101</v>
      </c>
      <c r="L841" s="117">
        <v>140110</v>
      </c>
      <c r="M841" s="117">
        <v>150114</v>
      </c>
    </row>
    <row r="842" spans="1:13" x14ac:dyDescent="0.25">
      <c r="A842" s="120">
        <v>841</v>
      </c>
      <c r="B842" s="120">
        <v>150</v>
      </c>
      <c r="C842" s="117" t="str">
        <f>_xlfn.XLOOKUP(B842,dimUniversidades!$A:$A,dimUniversidades!$B:$B,"(sin universidad)")</f>
        <v>Universidad San Ignacio de Loyola S.r.l.</v>
      </c>
      <c r="D842" s="117" t="s">
        <v>399</v>
      </c>
      <c r="E842" s="119" t="b">
        <v>0</v>
      </c>
      <c r="F842" s="117" t="s">
        <v>385</v>
      </c>
      <c r="G842" s="117" t="s">
        <v>385</v>
      </c>
      <c r="H842" s="117" t="s">
        <v>428</v>
      </c>
      <c r="I842" s="117" t="s">
        <v>1122</v>
      </c>
      <c r="J842" s="118">
        <v>-12.0734234169646</v>
      </c>
      <c r="K842" s="118">
        <v>-76.954737464834594</v>
      </c>
      <c r="L842" s="117">
        <v>140110</v>
      </c>
      <c r="M842" s="117">
        <v>150114</v>
      </c>
    </row>
    <row r="843" spans="1:13" x14ac:dyDescent="0.25">
      <c r="A843" s="120">
        <v>842</v>
      </c>
      <c r="B843" s="120">
        <v>150</v>
      </c>
      <c r="C843" s="117" t="str">
        <f>_xlfn.XLOOKUP(B843,dimUniversidades!$A:$A,dimUniversidades!$B:$B,"(sin universidad)")</f>
        <v>Universidad San Ignacio de Loyola S.r.l.</v>
      </c>
      <c r="D843" s="117" t="s">
        <v>735</v>
      </c>
      <c r="E843" s="119" t="b">
        <v>0</v>
      </c>
      <c r="F843" s="117" t="s">
        <v>385</v>
      </c>
      <c r="G843" s="117" t="s">
        <v>385</v>
      </c>
      <c r="H843" s="117" t="s">
        <v>1121</v>
      </c>
      <c r="I843" s="117" t="s">
        <v>1120</v>
      </c>
      <c r="J843" s="118">
        <v>-11.9952879920989</v>
      </c>
      <c r="K843" s="118">
        <v>-77.058406897483806</v>
      </c>
      <c r="L843" s="117">
        <v>140134</v>
      </c>
      <c r="M843" s="117">
        <v>150112</v>
      </c>
    </row>
    <row r="844" spans="1:13" x14ac:dyDescent="0.25">
      <c r="A844" s="120">
        <v>843</v>
      </c>
      <c r="B844" s="120">
        <v>150</v>
      </c>
      <c r="C844" s="117" t="str">
        <f>_xlfn.XLOOKUP(B844,dimUniversidades!$A:$A,dimUniversidades!$B:$B,"(sin universidad)")</f>
        <v>Universidad San Ignacio de Loyola S.r.l.</v>
      </c>
      <c r="D844" s="117" t="s">
        <v>500</v>
      </c>
      <c r="E844" s="119" t="b">
        <v>0</v>
      </c>
      <c r="F844" s="117" t="s">
        <v>385</v>
      </c>
      <c r="G844" s="117" t="s">
        <v>385</v>
      </c>
      <c r="H844" s="117" t="s">
        <v>1119</v>
      </c>
      <c r="I844" s="117" t="s">
        <v>1118</v>
      </c>
      <c r="J844" s="118">
        <v>-12.090920199999999</v>
      </c>
      <c r="K844" s="118">
        <v>-77.070994299999995</v>
      </c>
      <c r="L844" s="117">
        <v>140114</v>
      </c>
      <c r="M844" s="117">
        <v>150120</v>
      </c>
    </row>
    <row r="845" spans="1:13" x14ac:dyDescent="0.25">
      <c r="A845" s="120">
        <v>844</v>
      </c>
      <c r="B845" s="120">
        <v>150</v>
      </c>
      <c r="C845" s="117" t="str">
        <f>_xlfn.XLOOKUP(B845,dimUniversidades!$A:$A,dimUniversidades!$B:$B,"(sin universidad)")</f>
        <v>Universidad San Ignacio de Loyola S.r.l.</v>
      </c>
      <c r="D845" s="117" t="s">
        <v>1117</v>
      </c>
      <c r="E845" s="119" t="b">
        <v>0</v>
      </c>
      <c r="F845" s="117" t="s">
        <v>385</v>
      </c>
      <c r="G845" s="117" t="s">
        <v>385</v>
      </c>
      <c r="H845" s="117" t="s">
        <v>1116</v>
      </c>
      <c r="I845" s="117" t="s">
        <v>1115</v>
      </c>
      <c r="J845" s="118">
        <v>-12.237500691764399</v>
      </c>
      <c r="K845" s="118">
        <v>-76.8666799023773</v>
      </c>
      <c r="L845" s="117">
        <v>140116</v>
      </c>
      <c r="M845" s="117">
        <v>150123</v>
      </c>
    </row>
    <row r="846" spans="1:13" x14ac:dyDescent="0.25">
      <c r="A846" s="120">
        <v>845</v>
      </c>
      <c r="B846" s="120">
        <v>151</v>
      </c>
      <c r="C846" s="117" t="str">
        <f>_xlfn.XLOOKUP(B846,dimUniversidades!$A:$A,dimUniversidades!$B:$B,"(sin universidad)")</f>
        <v>Escuela de Posgrado Newman S.A.C.</v>
      </c>
      <c r="D846" s="117" t="s">
        <v>324</v>
      </c>
      <c r="E846" s="119" t="b">
        <v>1</v>
      </c>
      <c r="F846" s="117" t="s">
        <v>1114</v>
      </c>
      <c r="G846" s="117" t="s">
        <v>1114</v>
      </c>
      <c r="H846" s="117" t="s">
        <v>1114</v>
      </c>
      <c r="I846" s="117" t="s">
        <v>1113</v>
      </c>
      <c r="J846" s="118">
        <v>-18.010345000000001</v>
      </c>
      <c r="K846" s="118">
        <v>-70.244167000000004</v>
      </c>
      <c r="L846" s="117">
        <v>220101</v>
      </c>
      <c r="M846" s="117">
        <v>230101</v>
      </c>
    </row>
    <row r="847" spans="1:13" x14ac:dyDescent="0.25">
      <c r="A847" s="120">
        <v>846</v>
      </c>
      <c r="B847" s="120">
        <v>152</v>
      </c>
      <c r="C847" s="117" t="str">
        <f>_xlfn.XLOOKUP(B847,dimUniversidades!$A:$A,dimUniversidades!$B:$B,"(sin universidad)")</f>
        <v>Escuela de Postgrado Gerens S.A.</v>
      </c>
      <c r="D847" s="117" t="s">
        <v>324</v>
      </c>
      <c r="E847" s="119" t="b">
        <v>1</v>
      </c>
      <c r="F847" s="117" t="s">
        <v>385</v>
      </c>
      <c r="G847" s="117" t="s">
        <v>385</v>
      </c>
      <c r="H847" s="117" t="s">
        <v>542</v>
      </c>
      <c r="I847" s="117" t="s">
        <v>1112</v>
      </c>
      <c r="J847" s="118">
        <v>-12.110641016557</v>
      </c>
      <c r="K847" s="118">
        <v>-76.980609999999999</v>
      </c>
      <c r="L847" s="117">
        <v>140130</v>
      </c>
      <c r="M847" s="117">
        <v>150140</v>
      </c>
    </row>
    <row r="848" spans="1:13" x14ac:dyDescent="0.25">
      <c r="A848" s="120">
        <v>847</v>
      </c>
      <c r="B848" s="120">
        <v>153</v>
      </c>
      <c r="C848" s="117" t="str">
        <f>_xlfn.XLOOKUP(B848,dimUniversidades!$A:$A,dimUniversidades!$B:$B,"(sin universidad)")</f>
        <v>Escuela de Postgrado San Francisco Xavier Escuela de Negocios SFX S.A.C.</v>
      </c>
      <c r="D848" s="117" t="s">
        <v>324</v>
      </c>
      <c r="E848" s="119" t="b">
        <v>1</v>
      </c>
      <c r="F848" s="117" t="s">
        <v>530</v>
      </c>
      <c r="G848" s="117" t="s">
        <v>530</v>
      </c>
      <c r="H848" s="117" t="s">
        <v>1111</v>
      </c>
      <c r="I848" s="117" t="s">
        <v>1110</v>
      </c>
      <c r="J848" s="118">
        <v>-16.3864719</v>
      </c>
      <c r="K848" s="118">
        <v>-71.539537800000005</v>
      </c>
      <c r="L848" s="117">
        <v>40123</v>
      </c>
      <c r="M848" s="117">
        <v>40126</v>
      </c>
    </row>
    <row r="849" spans="1:13" x14ac:dyDescent="0.25">
      <c r="A849" s="120">
        <v>848</v>
      </c>
      <c r="B849" s="120">
        <v>154</v>
      </c>
      <c r="C849" s="117" t="str">
        <f>_xlfn.XLOOKUP(B849,dimUniversidades!$A:$A,dimUniversidades!$B:$B,"(sin universidad)")</f>
        <v>Escuela Internacional de Posgrado S.A.C.</v>
      </c>
      <c r="D849" s="117" t="s">
        <v>324</v>
      </c>
      <c r="E849" s="119" t="b">
        <v>1</v>
      </c>
      <c r="F849" s="117" t="s">
        <v>385</v>
      </c>
      <c r="G849" s="117" t="s">
        <v>385</v>
      </c>
      <c r="H849" s="117" t="s">
        <v>385</v>
      </c>
      <c r="I849" s="117" t="s">
        <v>1109</v>
      </c>
      <c r="J849" s="118">
        <v>-12.047264999999999</v>
      </c>
      <c r="K849" s="118">
        <v>-77.027326000000002</v>
      </c>
      <c r="L849" s="117">
        <v>140101</v>
      </c>
      <c r="M849" s="117">
        <v>150101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4247-E6F5-4368-A83F-CA09D7717C48}">
  <sheetPr>
    <tabColor rgb="FF7030A0"/>
  </sheetPr>
  <dimension ref="A1:N248"/>
  <sheetViews>
    <sheetView workbookViewId="0">
      <selection activeCell="L12" sqref="L12"/>
    </sheetView>
  </sheetViews>
  <sheetFormatPr baseColWidth="10" defaultRowHeight="15" x14ac:dyDescent="0.25"/>
  <cols>
    <col min="1" max="1" width="13.28515625" style="114" customWidth="1"/>
    <col min="2" max="2" width="18.28515625" style="114" customWidth="1"/>
    <col min="3" max="3" width="7.42578125" style="114" customWidth="1"/>
    <col min="4" max="4" width="7.85546875" style="114" customWidth="1"/>
    <col min="5" max="6" width="16.7109375" style="115" customWidth="1"/>
    <col min="7" max="7" width="22.42578125" style="115" customWidth="1"/>
    <col min="8" max="8" width="16.140625" style="125" customWidth="1"/>
    <col min="9" max="9" width="20.5703125" style="115" customWidth="1"/>
    <col min="10" max="10" width="23" style="115" customWidth="1"/>
    <col min="11" max="11" width="6.42578125" style="114" customWidth="1"/>
    <col min="12" max="12" width="66.5703125" style="115" customWidth="1"/>
    <col min="13" max="14" width="80" style="115" customWidth="1"/>
    <col min="15" max="16384" width="11.42578125" style="114"/>
  </cols>
  <sheetData>
    <row r="1" spans="1:14" x14ac:dyDescent="0.25">
      <c r="A1" s="114" t="s">
        <v>3053</v>
      </c>
      <c r="B1" s="114" t="s">
        <v>3052</v>
      </c>
      <c r="C1" s="114" t="s">
        <v>3051</v>
      </c>
      <c r="D1" s="114" t="s">
        <v>752</v>
      </c>
      <c r="E1" s="114" t="s">
        <v>3050</v>
      </c>
      <c r="F1" s="114" t="s">
        <v>3049</v>
      </c>
      <c r="G1" s="114" t="s">
        <v>3048</v>
      </c>
      <c r="H1" s="125" t="s">
        <v>3047</v>
      </c>
      <c r="I1" s="114" t="s">
        <v>3046</v>
      </c>
      <c r="J1" s="114" t="s">
        <v>3045</v>
      </c>
      <c r="K1" s="114" t="s">
        <v>3044</v>
      </c>
      <c r="L1" s="114" t="s">
        <v>3043</v>
      </c>
      <c r="M1" s="114" t="s">
        <v>3042</v>
      </c>
      <c r="N1" s="114" t="s">
        <v>3041</v>
      </c>
    </row>
    <row r="2" spans="1:14" x14ac:dyDescent="0.25">
      <c r="A2" s="114">
        <v>1</v>
      </c>
      <c r="B2" s="114" t="s">
        <v>798</v>
      </c>
      <c r="C2" s="114" t="s">
        <v>2639</v>
      </c>
      <c r="D2" s="114" t="s">
        <v>813</v>
      </c>
      <c r="E2" s="115" t="s">
        <v>3007</v>
      </c>
      <c r="F2" s="115" t="s">
        <v>3006</v>
      </c>
      <c r="G2" s="115" t="s">
        <v>3040</v>
      </c>
      <c r="H2" s="125">
        <v>1</v>
      </c>
      <c r="I2" s="115" t="s">
        <v>3039</v>
      </c>
      <c r="J2" s="115" t="s">
        <v>3039</v>
      </c>
      <c r="K2" s="114" t="s">
        <v>2288</v>
      </c>
      <c r="L2" s="115" t="s">
        <v>3038</v>
      </c>
    </row>
    <row r="3" spans="1:14" x14ac:dyDescent="0.25">
      <c r="A3" s="114">
        <v>2</v>
      </c>
      <c r="B3" s="114" t="s">
        <v>798</v>
      </c>
      <c r="C3" s="114" t="s">
        <v>2630</v>
      </c>
      <c r="D3" s="114" t="s">
        <v>813</v>
      </c>
      <c r="E3" s="115" t="s">
        <v>3007</v>
      </c>
      <c r="F3" s="115" t="s">
        <v>3006</v>
      </c>
      <c r="G3" s="115" t="s">
        <v>3036</v>
      </c>
      <c r="H3" s="125">
        <v>2</v>
      </c>
      <c r="I3" s="115" t="s">
        <v>3035</v>
      </c>
      <c r="J3" s="115" t="s">
        <v>3035</v>
      </c>
      <c r="K3" s="114" t="s">
        <v>2288</v>
      </c>
      <c r="L3" s="115" t="s">
        <v>3037</v>
      </c>
    </row>
    <row r="4" spans="1:14" x14ac:dyDescent="0.25">
      <c r="A4" s="114">
        <v>3</v>
      </c>
      <c r="B4" s="114" t="s">
        <v>798</v>
      </c>
      <c r="C4" s="114" t="s">
        <v>2763</v>
      </c>
      <c r="D4" s="114" t="s">
        <v>813</v>
      </c>
      <c r="E4" s="115" t="s">
        <v>3007</v>
      </c>
      <c r="F4" s="115" t="s">
        <v>3006</v>
      </c>
      <c r="G4" s="115" t="s">
        <v>3036</v>
      </c>
      <c r="H4" s="125">
        <v>2</v>
      </c>
      <c r="I4" s="115" t="s">
        <v>3035</v>
      </c>
      <c r="J4" s="115" t="s">
        <v>3035</v>
      </c>
      <c r="K4" s="114" t="s">
        <v>2285</v>
      </c>
      <c r="L4" s="115" t="s">
        <v>3034</v>
      </c>
    </row>
    <row r="5" spans="1:14" x14ac:dyDescent="0.25">
      <c r="A5" s="114">
        <v>4</v>
      </c>
      <c r="B5" s="114" t="s">
        <v>798</v>
      </c>
      <c r="C5" s="114" t="s">
        <v>2625</v>
      </c>
      <c r="D5" s="114" t="s">
        <v>813</v>
      </c>
      <c r="E5" s="115" t="s">
        <v>3007</v>
      </c>
      <c r="F5" s="115" t="s">
        <v>3006</v>
      </c>
      <c r="G5" s="115" t="s">
        <v>3033</v>
      </c>
      <c r="H5" s="125">
        <v>3</v>
      </c>
      <c r="I5" s="115" t="s">
        <v>3032</v>
      </c>
      <c r="J5" s="115" t="s">
        <v>3032</v>
      </c>
      <c r="K5" s="114" t="s">
        <v>2288</v>
      </c>
      <c r="L5" s="115" t="s">
        <v>3031</v>
      </c>
    </row>
    <row r="6" spans="1:14" x14ac:dyDescent="0.25">
      <c r="A6" s="114">
        <v>5</v>
      </c>
      <c r="B6" s="114" t="s">
        <v>798</v>
      </c>
      <c r="C6" s="114" t="s">
        <v>2584</v>
      </c>
      <c r="D6" s="114" t="s">
        <v>813</v>
      </c>
      <c r="E6" s="115" t="s">
        <v>3007</v>
      </c>
      <c r="F6" s="115" t="s">
        <v>3006</v>
      </c>
      <c r="G6" s="115" t="s">
        <v>3018</v>
      </c>
      <c r="H6" s="125">
        <v>4</v>
      </c>
      <c r="I6" s="115" t="s">
        <v>3017</v>
      </c>
      <c r="J6" s="115" t="s">
        <v>3017</v>
      </c>
      <c r="K6" s="114" t="s">
        <v>2288</v>
      </c>
      <c r="L6" s="115" t="s">
        <v>3030</v>
      </c>
    </row>
    <row r="7" spans="1:14" x14ac:dyDescent="0.25">
      <c r="A7" s="114">
        <v>6</v>
      </c>
      <c r="B7" s="114" t="s">
        <v>798</v>
      </c>
      <c r="C7" s="114" t="s">
        <v>2749</v>
      </c>
      <c r="D7" s="114" t="s">
        <v>813</v>
      </c>
      <c r="E7" s="115" t="s">
        <v>3007</v>
      </c>
      <c r="F7" s="115" t="s">
        <v>3006</v>
      </c>
      <c r="G7" s="115" t="s">
        <v>3018</v>
      </c>
      <c r="H7" s="125">
        <v>4</v>
      </c>
      <c r="I7" s="115" t="s">
        <v>3017</v>
      </c>
      <c r="J7" s="115" t="s">
        <v>3017</v>
      </c>
      <c r="K7" s="114" t="s">
        <v>2285</v>
      </c>
      <c r="L7" s="115" t="s">
        <v>3029</v>
      </c>
    </row>
    <row r="8" spans="1:14" x14ac:dyDescent="0.25">
      <c r="A8" s="114">
        <v>7</v>
      </c>
      <c r="B8" s="114" t="s">
        <v>798</v>
      </c>
      <c r="C8" s="114" t="s">
        <v>2747</v>
      </c>
      <c r="D8" s="114" t="s">
        <v>813</v>
      </c>
      <c r="E8" s="115" t="s">
        <v>3007</v>
      </c>
      <c r="F8" s="115" t="s">
        <v>3006</v>
      </c>
      <c r="G8" s="115" t="s">
        <v>3018</v>
      </c>
      <c r="H8" s="125">
        <v>4</v>
      </c>
      <c r="I8" s="115" t="s">
        <v>3017</v>
      </c>
      <c r="J8" s="115" t="s">
        <v>3017</v>
      </c>
      <c r="K8" s="114" t="s">
        <v>2276</v>
      </c>
      <c r="L8" s="115" t="s">
        <v>3028</v>
      </c>
    </row>
    <row r="9" spans="1:14" x14ac:dyDescent="0.25">
      <c r="A9" s="114">
        <v>8</v>
      </c>
      <c r="B9" s="114" t="s">
        <v>798</v>
      </c>
      <c r="C9" s="114" t="s">
        <v>3027</v>
      </c>
      <c r="D9" s="114" t="s">
        <v>813</v>
      </c>
      <c r="E9" s="115" t="s">
        <v>3007</v>
      </c>
      <c r="F9" s="115" t="s">
        <v>3006</v>
      </c>
      <c r="G9" s="115" t="s">
        <v>3018</v>
      </c>
      <c r="H9" s="125">
        <v>4</v>
      </c>
      <c r="I9" s="115" t="s">
        <v>3017</v>
      </c>
      <c r="J9" s="115" t="s">
        <v>3017</v>
      </c>
      <c r="K9" s="114" t="s">
        <v>2313</v>
      </c>
      <c r="L9" s="115" t="s">
        <v>3026</v>
      </c>
    </row>
    <row r="10" spans="1:14" x14ac:dyDescent="0.25">
      <c r="A10" s="114">
        <v>9</v>
      </c>
      <c r="B10" s="114" t="s">
        <v>798</v>
      </c>
      <c r="C10" s="114" t="s">
        <v>3025</v>
      </c>
      <c r="D10" s="114" t="s">
        <v>813</v>
      </c>
      <c r="E10" s="115" t="s">
        <v>3007</v>
      </c>
      <c r="F10" s="115" t="s">
        <v>3006</v>
      </c>
      <c r="G10" s="115" t="s">
        <v>3018</v>
      </c>
      <c r="H10" s="125">
        <v>4</v>
      </c>
      <c r="I10" s="115" t="s">
        <v>3017</v>
      </c>
      <c r="J10" s="115" t="s">
        <v>3017</v>
      </c>
      <c r="K10" s="114" t="s">
        <v>2306</v>
      </c>
      <c r="L10" s="115" t="s">
        <v>3024</v>
      </c>
    </row>
    <row r="11" spans="1:14" x14ac:dyDescent="0.25">
      <c r="A11" s="114">
        <v>10</v>
      </c>
      <c r="B11" s="114" t="s">
        <v>798</v>
      </c>
      <c r="C11" s="114" t="s">
        <v>3023</v>
      </c>
      <c r="D11" s="114" t="s">
        <v>813</v>
      </c>
      <c r="E11" s="115" t="s">
        <v>3007</v>
      </c>
      <c r="F11" s="115" t="s">
        <v>3006</v>
      </c>
      <c r="G11" s="115" t="s">
        <v>3018</v>
      </c>
      <c r="H11" s="125">
        <v>4</v>
      </c>
      <c r="I11" s="115" t="s">
        <v>3017</v>
      </c>
      <c r="J11" s="115" t="s">
        <v>3017</v>
      </c>
      <c r="K11" s="114" t="s">
        <v>2422</v>
      </c>
      <c r="L11" s="115" t="s">
        <v>3022</v>
      </c>
    </row>
    <row r="12" spans="1:14" x14ac:dyDescent="0.25">
      <c r="A12" s="114">
        <v>11</v>
      </c>
      <c r="B12" s="114" t="s">
        <v>798</v>
      </c>
      <c r="C12" s="114" t="s">
        <v>3021</v>
      </c>
      <c r="D12" s="114" t="s">
        <v>813</v>
      </c>
      <c r="E12" s="115" t="s">
        <v>3007</v>
      </c>
      <c r="F12" s="115" t="s">
        <v>3006</v>
      </c>
      <c r="G12" s="115" t="s">
        <v>3018</v>
      </c>
      <c r="H12" s="125">
        <v>4</v>
      </c>
      <c r="I12" s="115" t="s">
        <v>3017</v>
      </c>
      <c r="J12" s="115" t="s">
        <v>3017</v>
      </c>
      <c r="K12" s="114" t="s">
        <v>2462</v>
      </c>
      <c r="L12" s="115" t="s">
        <v>3020</v>
      </c>
    </row>
    <row r="13" spans="1:14" x14ac:dyDescent="0.25">
      <c r="A13" s="114">
        <v>12</v>
      </c>
      <c r="B13" s="114" t="s">
        <v>798</v>
      </c>
      <c r="C13" s="114" t="s">
        <v>3019</v>
      </c>
      <c r="D13" s="114" t="s">
        <v>813</v>
      </c>
      <c r="E13" s="115" t="s">
        <v>3007</v>
      </c>
      <c r="F13" s="115" t="s">
        <v>3006</v>
      </c>
      <c r="G13" s="115" t="s">
        <v>3018</v>
      </c>
      <c r="H13" s="125">
        <v>4</v>
      </c>
      <c r="I13" s="115" t="s">
        <v>3017</v>
      </c>
      <c r="J13" s="115" t="s">
        <v>3017</v>
      </c>
      <c r="K13" s="114" t="s">
        <v>2455</v>
      </c>
      <c r="L13" s="115" t="s">
        <v>3016</v>
      </c>
    </row>
    <row r="14" spans="1:14" x14ac:dyDescent="0.25">
      <c r="A14" s="114">
        <v>13</v>
      </c>
      <c r="B14" s="114" t="s">
        <v>798</v>
      </c>
      <c r="C14" s="114" t="s">
        <v>2579</v>
      </c>
      <c r="D14" s="114" t="s">
        <v>813</v>
      </c>
      <c r="E14" s="115" t="s">
        <v>3007</v>
      </c>
      <c r="F14" s="115" t="s">
        <v>3006</v>
      </c>
      <c r="G14" s="115" t="s">
        <v>3013</v>
      </c>
      <c r="H14" s="125">
        <v>5</v>
      </c>
      <c r="I14" s="115" t="s">
        <v>3015</v>
      </c>
      <c r="J14" s="115" t="s">
        <v>3015</v>
      </c>
      <c r="K14" s="114" t="s">
        <v>2288</v>
      </c>
      <c r="L14" s="115" t="s">
        <v>3014</v>
      </c>
    </row>
    <row r="15" spans="1:14" x14ac:dyDescent="0.25">
      <c r="A15" s="114">
        <v>14</v>
      </c>
      <c r="B15" s="114" t="s">
        <v>798</v>
      </c>
      <c r="C15" s="114" t="s">
        <v>2568</v>
      </c>
      <c r="D15" s="114" t="s">
        <v>813</v>
      </c>
      <c r="E15" s="115" t="s">
        <v>3007</v>
      </c>
      <c r="F15" s="115" t="s">
        <v>3006</v>
      </c>
      <c r="G15" s="115" t="s">
        <v>3013</v>
      </c>
      <c r="H15" s="125">
        <v>6</v>
      </c>
      <c r="I15" s="115" t="s">
        <v>3012</v>
      </c>
      <c r="J15" s="115" t="s">
        <v>3012</v>
      </c>
      <c r="K15" s="114" t="s">
        <v>2288</v>
      </c>
      <c r="L15" s="115" t="s">
        <v>3011</v>
      </c>
    </row>
    <row r="16" spans="1:14" x14ac:dyDescent="0.25">
      <c r="A16" s="114">
        <v>15</v>
      </c>
      <c r="B16" s="114" t="s">
        <v>798</v>
      </c>
      <c r="C16" s="114" t="s">
        <v>2554</v>
      </c>
      <c r="D16" s="114" t="s">
        <v>813</v>
      </c>
      <c r="E16" s="115" t="s">
        <v>3007</v>
      </c>
      <c r="F16" s="115" t="s">
        <v>3006</v>
      </c>
      <c r="G16" s="115" t="s">
        <v>3005</v>
      </c>
      <c r="H16" s="125">
        <v>7</v>
      </c>
      <c r="I16" s="115" t="s">
        <v>3010</v>
      </c>
      <c r="J16" s="115" t="s">
        <v>3010</v>
      </c>
      <c r="K16" s="114" t="s">
        <v>2288</v>
      </c>
      <c r="L16" s="115" t="s">
        <v>3009</v>
      </c>
    </row>
    <row r="17" spans="1:12" x14ac:dyDescent="0.25">
      <c r="A17" s="114">
        <v>16</v>
      </c>
      <c r="B17" s="114" t="s">
        <v>798</v>
      </c>
      <c r="C17" s="114" t="s">
        <v>2542</v>
      </c>
      <c r="D17" s="114" t="s">
        <v>813</v>
      </c>
      <c r="E17" s="115" t="s">
        <v>3007</v>
      </c>
      <c r="F17" s="115" t="s">
        <v>3006</v>
      </c>
      <c r="G17" s="115" t="s">
        <v>3005</v>
      </c>
      <c r="H17" s="125">
        <v>8</v>
      </c>
      <c r="I17" s="115" t="s">
        <v>3004</v>
      </c>
      <c r="J17" s="115" t="s">
        <v>3004</v>
      </c>
      <c r="K17" s="114" t="s">
        <v>2288</v>
      </c>
      <c r="L17" s="115" t="s">
        <v>3008</v>
      </c>
    </row>
    <row r="18" spans="1:12" x14ac:dyDescent="0.25">
      <c r="A18" s="114">
        <v>17</v>
      </c>
      <c r="B18" s="114" t="s">
        <v>798</v>
      </c>
      <c r="C18" s="114" t="s">
        <v>2539</v>
      </c>
      <c r="D18" s="114" t="s">
        <v>813</v>
      </c>
      <c r="E18" s="115" t="s">
        <v>3007</v>
      </c>
      <c r="F18" s="115" t="s">
        <v>3006</v>
      </c>
      <c r="G18" s="115" t="s">
        <v>3005</v>
      </c>
      <c r="H18" s="125">
        <v>8</v>
      </c>
      <c r="I18" s="115" t="s">
        <v>3004</v>
      </c>
      <c r="J18" s="115" t="s">
        <v>3004</v>
      </c>
      <c r="K18" s="114" t="s">
        <v>2285</v>
      </c>
      <c r="L18" s="115" t="s">
        <v>3003</v>
      </c>
    </row>
    <row r="19" spans="1:12" x14ac:dyDescent="0.25">
      <c r="A19" s="114">
        <v>18</v>
      </c>
      <c r="B19" s="114" t="s">
        <v>798</v>
      </c>
      <c r="C19" s="114" t="s">
        <v>2534</v>
      </c>
      <c r="D19" s="114" t="s">
        <v>2528</v>
      </c>
      <c r="E19" s="115" t="s">
        <v>2989</v>
      </c>
      <c r="F19" s="115" t="s">
        <v>2988</v>
      </c>
      <c r="G19" s="115" t="s">
        <v>2994</v>
      </c>
      <c r="H19" s="125">
        <v>9</v>
      </c>
      <c r="I19" s="115" t="s">
        <v>3002</v>
      </c>
      <c r="J19" s="115" t="s">
        <v>3002</v>
      </c>
      <c r="K19" s="114" t="s">
        <v>2288</v>
      </c>
      <c r="L19" s="115" t="s">
        <v>3001</v>
      </c>
    </row>
    <row r="20" spans="1:12" x14ac:dyDescent="0.25">
      <c r="A20" s="114">
        <v>19</v>
      </c>
      <c r="B20" s="114" t="s">
        <v>798</v>
      </c>
      <c r="C20" s="114" t="s">
        <v>2529</v>
      </c>
      <c r="D20" s="114" t="s">
        <v>2528</v>
      </c>
      <c r="E20" s="115" t="s">
        <v>2989</v>
      </c>
      <c r="F20" s="115" t="s">
        <v>2988</v>
      </c>
      <c r="G20" s="115" t="s">
        <v>2994</v>
      </c>
      <c r="H20" s="125">
        <v>10</v>
      </c>
      <c r="I20" s="115" t="s">
        <v>3000</v>
      </c>
      <c r="J20" s="115" t="s">
        <v>3000</v>
      </c>
      <c r="K20" s="114" t="s">
        <v>2288</v>
      </c>
      <c r="L20" s="115" t="s">
        <v>2999</v>
      </c>
    </row>
    <row r="21" spans="1:12" x14ac:dyDescent="0.25">
      <c r="A21" s="114">
        <v>20</v>
      </c>
      <c r="B21" s="114" t="s">
        <v>798</v>
      </c>
      <c r="C21" s="114" t="s">
        <v>2519</v>
      </c>
      <c r="D21" s="114" t="s">
        <v>2528</v>
      </c>
      <c r="E21" s="115" t="s">
        <v>2989</v>
      </c>
      <c r="F21" s="115" t="s">
        <v>2988</v>
      </c>
      <c r="G21" s="115" t="s">
        <v>2994</v>
      </c>
      <c r="H21" s="125">
        <v>11</v>
      </c>
      <c r="I21" s="115" t="s">
        <v>2998</v>
      </c>
      <c r="J21" s="115" t="s">
        <v>2998</v>
      </c>
      <c r="K21" s="114" t="s">
        <v>2288</v>
      </c>
      <c r="L21" s="115" t="s">
        <v>2997</v>
      </c>
    </row>
    <row r="22" spans="1:12" x14ac:dyDescent="0.25">
      <c r="A22" s="114">
        <v>21</v>
      </c>
      <c r="B22" s="114" t="s">
        <v>798</v>
      </c>
      <c r="C22" s="114" t="s">
        <v>2512</v>
      </c>
      <c r="D22" s="114" t="s">
        <v>2528</v>
      </c>
      <c r="E22" s="115" t="s">
        <v>2989</v>
      </c>
      <c r="F22" s="115" t="s">
        <v>2988</v>
      </c>
      <c r="G22" s="115" t="s">
        <v>2994</v>
      </c>
      <c r="H22" s="125">
        <v>12</v>
      </c>
      <c r="I22" s="115" t="s">
        <v>2996</v>
      </c>
      <c r="J22" s="115" t="s">
        <v>2996</v>
      </c>
      <c r="K22" s="114" t="s">
        <v>2288</v>
      </c>
      <c r="L22" s="115" t="s">
        <v>2995</v>
      </c>
    </row>
    <row r="23" spans="1:12" x14ac:dyDescent="0.25">
      <c r="A23" s="114">
        <v>22</v>
      </c>
      <c r="B23" s="114" t="s">
        <v>798</v>
      </c>
      <c r="C23" s="114" t="s">
        <v>2507</v>
      </c>
      <c r="D23" s="114" t="s">
        <v>2528</v>
      </c>
      <c r="E23" s="115" t="s">
        <v>2989</v>
      </c>
      <c r="F23" s="115" t="s">
        <v>2988</v>
      </c>
      <c r="G23" s="115" t="s">
        <v>2994</v>
      </c>
      <c r="H23" s="125">
        <v>13</v>
      </c>
      <c r="I23" s="115" t="s">
        <v>2993</v>
      </c>
      <c r="J23" s="115" t="s">
        <v>2993</v>
      </c>
      <c r="K23" s="114" t="s">
        <v>2288</v>
      </c>
      <c r="L23" s="115" t="s">
        <v>2992</v>
      </c>
    </row>
    <row r="24" spans="1:12" x14ac:dyDescent="0.25">
      <c r="A24" s="114">
        <v>23</v>
      </c>
      <c r="B24" s="114" t="s">
        <v>798</v>
      </c>
      <c r="C24" s="114" t="s">
        <v>2489</v>
      </c>
      <c r="D24" s="114" t="s">
        <v>2528</v>
      </c>
      <c r="E24" s="115" t="s">
        <v>2989</v>
      </c>
      <c r="F24" s="115" t="s">
        <v>2988</v>
      </c>
      <c r="G24" s="115" t="s">
        <v>2987</v>
      </c>
      <c r="H24" s="125">
        <v>14</v>
      </c>
      <c r="I24" s="115" t="s">
        <v>2991</v>
      </c>
      <c r="J24" s="115" t="s">
        <v>2991</v>
      </c>
      <c r="K24" s="114" t="s">
        <v>2288</v>
      </c>
      <c r="L24" s="115" t="s">
        <v>2990</v>
      </c>
    </row>
    <row r="25" spans="1:12" x14ac:dyDescent="0.25">
      <c r="A25" s="114">
        <v>24</v>
      </c>
      <c r="B25" s="114" t="s">
        <v>798</v>
      </c>
      <c r="C25" s="114" t="s">
        <v>2481</v>
      </c>
      <c r="D25" s="114" t="s">
        <v>2528</v>
      </c>
      <c r="E25" s="115" t="s">
        <v>2989</v>
      </c>
      <c r="F25" s="115" t="s">
        <v>2988</v>
      </c>
      <c r="G25" s="115" t="s">
        <v>2987</v>
      </c>
      <c r="H25" s="125">
        <v>15</v>
      </c>
      <c r="I25" s="115" t="s">
        <v>2986</v>
      </c>
      <c r="J25" s="115" t="s">
        <v>2986</v>
      </c>
      <c r="K25" s="114" t="s">
        <v>2288</v>
      </c>
      <c r="L25" s="115" t="s">
        <v>2985</v>
      </c>
    </row>
    <row r="26" spans="1:12" x14ac:dyDescent="0.25">
      <c r="A26" s="114">
        <v>25</v>
      </c>
      <c r="B26" s="114" t="s">
        <v>798</v>
      </c>
      <c r="C26" s="114" t="s">
        <v>2451</v>
      </c>
      <c r="D26" s="114" t="s">
        <v>360</v>
      </c>
      <c r="E26" s="115" t="s">
        <v>2930</v>
      </c>
      <c r="F26" s="115" t="s">
        <v>2929</v>
      </c>
      <c r="G26" s="115" t="s">
        <v>2984</v>
      </c>
      <c r="H26" s="125">
        <v>16</v>
      </c>
      <c r="I26" s="115" t="s">
        <v>2983</v>
      </c>
      <c r="J26" s="115" t="s">
        <v>2983</v>
      </c>
      <c r="K26" s="114" t="s">
        <v>2288</v>
      </c>
      <c r="L26" s="115" t="s">
        <v>2982</v>
      </c>
    </row>
    <row r="27" spans="1:12" x14ac:dyDescent="0.25">
      <c r="A27" s="114">
        <v>26</v>
      </c>
      <c r="B27" s="114" t="s">
        <v>798</v>
      </c>
      <c r="C27" s="114" t="s">
        <v>2446</v>
      </c>
      <c r="D27" s="114" t="s">
        <v>360</v>
      </c>
      <c r="E27" s="115" t="s">
        <v>2930</v>
      </c>
      <c r="F27" s="115" t="s">
        <v>2929</v>
      </c>
      <c r="G27" s="115" t="s">
        <v>2975</v>
      </c>
      <c r="H27" s="125">
        <v>17</v>
      </c>
      <c r="I27" s="115" t="s">
        <v>2974</v>
      </c>
      <c r="J27" s="115" t="s">
        <v>2974</v>
      </c>
      <c r="K27" s="114" t="s">
        <v>2288</v>
      </c>
      <c r="L27" s="115" t="s">
        <v>2981</v>
      </c>
    </row>
    <row r="28" spans="1:12" x14ac:dyDescent="0.25">
      <c r="A28" s="114">
        <v>27</v>
      </c>
      <c r="B28" s="114" t="s">
        <v>798</v>
      </c>
      <c r="C28" s="114" t="s">
        <v>2980</v>
      </c>
      <c r="D28" s="114" t="s">
        <v>360</v>
      </c>
      <c r="E28" s="115" t="s">
        <v>2930</v>
      </c>
      <c r="F28" s="115" t="s">
        <v>2929</v>
      </c>
      <c r="G28" s="115" t="s">
        <v>2975</v>
      </c>
      <c r="H28" s="125">
        <v>17</v>
      </c>
      <c r="I28" s="115" t="s">
        <v>2974</v>
      </c>
      <c r="J28" s="115" t="s">
        <v>2974</v>
      </c>
      <c r="K28" s="114" t="s">
        <v>2285</v>
      </c>
      <c r="L28" s="115" t="s">
        <v>2979</v>
      </c>
    </row>
    <row r="29" spans="1:12" x14ac:dyDescent="0.25">
      <c r="A29" s="114">
        <v>28</v>
      </c>
      <c r="B29" s="114" t="s">
        <v>798</v>
      </c>
      <c r="C29" s="114" t="s">
        <v>2978</v>
      </c>
      <c r="D29" s="114" t="s">
        <v>360</v>
      </c>
      <c r="E29" s="115" t="s">
        <v>2930</v>
      </c>
      <c r="F29" s="115" t="s">
        <v>2929</v>
      </c>
      <c r="G29" s="115" t="s">
        <v>2975</v>
      </c>
      <c r="H29" s="125">
        <v>17</v>
      </c>
      <c r="I29" s="115" t="s">
        <v>2974</v>
      </c>
      <c r="J29" s="115" t="s">
        <v>2974</v>
      </c>
      <c r="K29" s="114" t="s">
        <v>2276</v>
      </c>
      <c r="L29" s="115" t="s">
        <v>2977</v>
      </c>
    </row>
    <row r="30" spans="1:12" x14ac:dyDescent="0.25">
      <c r="A30" s="114">
        <v>29</v>
      </c>
      <c r="B30" s="114" t="s">
        <v>798</v>
      </c>
      <c r="C30" s="114" t="s">
        <v>2976</v>
      </c>
      <c r="D30" s="114" t="s">
        <v>360</v>
      </c>
      <c r="E30" s="115" t="s">
        <v>2930</v>
      </c>
      <c r="F30" s="115" t="s">
        <v>2929</v>
      </c>
      <c r="G30" s="115" t="s">
        <v>2975</v>
      </c>
      <c r="H30" s="125">
        <v>17</v>
      </c>
      <c r="I30" s="115" t="s">
        <v>2974</v>
      </c>
      <c r="J30" s="115" t="s">
        <v>2974</v>
      </c>
      <c r="K30" s="114" t="s">
        <v>2313</v>
      </c>
      <c r="L30" s="115" t="s">
        <v>2973</v>
      </c>
    </row>
    <row r="31" spans="1:12" x14ac:dyDescent="0.25">
      <c r="A31" s="114">
        <v>30</v>
      </c>
      <c r="B31" s="114" t="s">
        <v>798</v>
      </c>
      <c r="C31" s="114" t="s">
        <v>2441</v>
      </c>
      <c r="D31" s="114" t="s">
        <v>360</v>
      </c>
      <c r="E31" s="115" t="s">
        <v>2930</v>
      </c>
      <c r="F31" s="115" t="s">
        <v>2929</v>
      </c>
      <c r="G31" s="115" t="s">
        <v>2972</v>
      </c>
      <c r="H31" s="125">
        <v>18</v>
      </c>
      <c r="I31" s="115" t="s">
        <v>2971</v>
      </c>
      <c r="J31" s="115" t="s">
        <v>2971</v>
      </c>
      <c r="K31" s="114" t="s">
        <v>2288</v>
      </c>
      <c r="L31" s="115" t="s">
        <v>2970</v>
      </c>
    </row>
    <row r="32" spans="1:12" x14ac:dyDescent="0.25">
      <c r="A32" s="114">
        <v>31</v>
      </c>
      <c r="B32" s="114" t="s">
        <v>798</v>
      </c>
      <c r="C32" s="114" t="s">
        <v>2418</v>
      </c>
      <c r="D32" s="114" t="s">
        <v>360</v>
      </c>
      <c r="E32" s="115" t="s">
        <v>2930</v>
      </c>
      <c r="F32" s="115" t="s">
        <v>2929</v>
      </c>
      <c r="G32" s="115" t="s">
        <v>2964</v>
      </c>
      <c r="H32" s="125">
        <v>19</v>
      </c>
      <c r="I32" s="115" t="s">
        <v>2966</v>
      </c>
      <c r="J32" s="115" t="s">
        <v>2966</v>
      </c>
      <c r="K32" s="114" t="s">
        <v>2288</v>
      </c>
      <c r="L32" s="115" t="s">
        <v>2969</v>
      </c>
    </row>
    <row r="33" spans="1:12" x14ac:dyDescent="0.25">
      <c r="A33" s="114">
        <v>32</v>
      </c>
      <c r="B33" s="114" t="s">
        <v>798</v>
      </c>
      <c r="C33" s="114" t="s">
        <v>2416</v>
      </c>
      <c r="D33" s="114" t="s">
        <v>360</v>
      </c>
      <c r="E33" s="115" t="s">
        <v>2930</v>
      </c>
      <c r="F33" s="115" t="s">
        <v>2929</v>
      </c>
      <c r="G33" s="115" t="s">
        <v>2964</v>
      </c>
      <c r="H33" s="125">
        <v>19</v>
      </c>
      <c r="I33" s="115" t="s">
        <v>2966</v>
      </c>
      <c r="J33" s="115" t="s">
        <v>2966</v>
      </c>
      <c r="K33" s="114" t="s">
        <v>2285</v>
      </c>
      <c r="L33" s="115" t="s">
        <v>2968</v>
      </c>
    </row>
    <row r="34" spans="1:12" x14ac:dyDescent="0.25">
      <c r="A34" s="114">
        <v>33</v>
      </c>
      <c r="B34" s="114" t="s">
        <v>798</v>
      </c>
      <c r="C34" s="114" t="s">
        <v>2967</v>
      </c>
      <c r="D34" s="114" t="s">
        <v>360</v>
      </c>
      <c r="E34" s="115" t="s">
        <v>2930</v>
      </c>
      <c r="F34" s="115" t="s">
        <v>2929</v>
      </c>
      <c r="G34" s="115" t="s">
        <v>2964</v>
      </c>
      <c r="H34" s="125">
        <v>19</v>
      </c>
      <c r="I34" s="115" t="s">
        <v>2966</v>
      </c>
      <c r="J34" s="115" t="s">
        <v>2966</v>
      </c>
      <c r="K34" s="114" t="s">
        <v>2276</v>
      </c>
      <c r="L34" s="115" t="s">
        <v>2965</v>
      </c>
    </row>
    <row r="35" spans="1:12" x14ac:dyDescent="0.25">
      <c r="A35" s="114">
        <v>34</v>
      </c>
      <c r="B35" s="114" t="s">
        <v>798</v>
      </c>
      <c r="C35" s="114" t="s">
        <v>2411</v>
      </c>
      <c r="D35" s="114" t="s">
        <v>360</v>
      </c>
      <c r="E35" s="115" t="s">
        <v>2930</v>
      </c>
      <c r="F35" s="115" t="s">
        <v>2929</v>
      </c>
      <c r="G35" s="115" t="s">
        <v>2964</v>
      </c>
      <c r="H35" s="125">
        <v>20</v>
      </c>
      <c r="I35" s="115" t="s">
        <v>2963</v>
      </c>
      <c r="J35" s="115" t="s">
        <v>2963</v>
      </c>
      <c r="K35" s="114" t="s">
        <v>2288</v>
      </c>
      <c r="L35" s="115" t="s">
        <v>2962</v>
      </c>
    </row>
    <row r="36" spans="1:12" x14ac:dyDescent="0.25">
      <c r="A36" s="114">
        <v>35</v>
      </c>
      <c r="B36" s="114" t="s">
        <v>798</v>
      </c>
      <c r="C36" s="114" t="s">
        <v>2396</v>
      </c>
      <c r="D36" s="114" t="s">
        <v>360</v>
      </c>
      <c r="E36" s="115" t="s">
        <v>2930</v>
      </c>
      <c r="F36" s="115" t="s">
        <v>2929</v>
      </c>
      <c r="G36" s="115" t="s">
        <v>2952</v>
      </c>
      <c r="H36" s="125">
        <v>21</v>
      </c>
      <c r="I36" s="115" t="s">
        <v>2961</v>
      </c>
      <c r="J36" s="115" t="s">
        <v>2961</v>
      </c>
      <c r="K36" s="114" t="s">
        <v>2288</v>
      </c>
      <c r="L36" s="115" t="s">
        <v>2959</v>
      </c>
    </row>
    <row r="37" spans="1:12" x14ac:dyDescent="0.25">
      <c r="A37" s="114">
        <v>36</v>
      </c>
      <c r="B37" s="114" t="s">
        <v>798</v>
      </c>
      <c r="C37" s="114" t="s">
        <v>2394</v>
      </c>
      <c r="D37" s="114" t="s">
        <v>360</v>
      </c>
      <c r="E37" s="115" t="s">
        <v>2930</v>
      </c>
      <c r="F37" s="115" t="s">
        <v>2929</v>
      </c>
      <c r="G37" s="115" t="s">
        <v>2952</v>
      </c>
      <c r="H37" s="125">
        <v>21</v>
      </c>
      <c r="I37" s="115" t="s">
        <v>2961</v>
      </c>
      <c r="J37" s="115" t="s">
        <v>2961</v>
      </c>
      <c r="K37" s="114" t="s">
        <v>2285</v>
      </c>
      <c r="L37" s="115" t="s">
        <v>2957</v>
      </c>
    </row>
    <row r="38" spans="1:12" x14ac:dyDescent="0.25">
      <c r="A38" s="114">
        <v>37</v>
      </c>
      <c r="B38" s="114" t="s">
        <v>798</v>
      </c>
      <c r="C38" s="114" t="s">
        <v>2391</v>
      </c>
      <c r="D38" s="114" t="s">
        <v>360</v>
      </c>
      <c r="E38" s="115" t="s">
        <v>2930</v>
      </c>
      <c r="F38" s="115" t="s">
        <v>2929</v>
      </c>
      <c r="G38" s="115" t="s">
        <v>2952</v>
      </c>
      <c r="H38" s="125">
        <v>21</v>
      </c>
      <c r="I38" s="115" t="s">
        <v>2961</v>
      </c>
      <c r="J38" s="115" t="s">
        <v>2961</v>
      </c>
      <c r="K38" s="114" t="s">
        <v>2276</v>
      </c>
      <c r="L38" s="115" t="s">
        <v>2950</v>
      </c>
    </row>
    <row r="39" spans="1:12" x14ac:dyDescent="0.25">
      <c r="A39" s="114">
        <v>38</v>
      </c>
      <c r="B39" s="114" t="s">
        <v>798</v>
      </c>
      <c r="C39" s="114" t="s">
        <v>2386</v>
      </c>
      <c r="D39" s="114" t="s">
        <v>360</v>
      </c>
      <c r="E39" s="115" t="s">
        <v>2930</v>
      </c>
      <c r="F39" s="115" t="s">
        <v>2929</v>
      </c>
      <c r="G39" s="115" t="s">
        <v>2952</v>
      </c>
      <c r="H39" s="125">
        <v>22</v>
      </c>
      <c r="I39" s="115" t="s">
        <v>2960</v>
      </c>
      <c r="J39" s="115" t="s">
        <v>2960</v>
      </c>
      <c r="K39" s="114" t="s">
        <v>2288</v>
      </c>
      <c r="L39" s="115" t="s">
        <v>2959</v>
      </c>
    </row>
    <row r="40" spans="1:12" x14ac:dyDescent="0.25">
      <c r="A40" s="114">
        <v>39</v>
      </c>
      <c r="B40" s="114" t="s">
        <v>798</v>
      </c>
      <c r="C40" s="114" t="s">
        <v>2383</v>
      </c>
      <c r="D40" s="114" t="s">
        <v>360</v>
      </c>
      <c r="E40" s="115" t="s">
        <v>2930</v>
      </c>
      <c r="F40" s="115" t="s">
        <v>2929</v>
      </c>
      <c r="G40" s="115" t="s">
        <v>2952</v>
      </c>
      <c r="H40" s="125">
        <v>22</v>
      </c>
      <c r="I40" s="115" t="s">
        <v>2960</v>
      </c>
      <c r="J40" s="115" t="s">
        <v>2960</v>
      </c>
      <c r="K40" s="114" t="s">
        <v>2285</v>
      </c>
      <c r="L40" s="115" t="s">
        <v>2957</v>
      </c>
    </row>
    <row r="41" spans="1:12" x14ac:dyDescent="0.25">
      <c r="A41" s="114">
        <v>40</v>
      </c>
      <c r="B41" s="114" t="s">
        <v>798</v>
      </c>
      <c r="C41" s="114" t="s">
        <v>2380</v>
      </c>
      <c r="D41" s="114" t="s">
        <v>360</v>
      </c>
      <c r="E41" s="115" t="s">
        <v>2930</v>
      </c>
      <c r="F41" s="115" t="s">
        <v>2929</v>
      </c>
      <c r="G41" s="115" t="s">
        <v>2952</v>
      </c>
      <c r="H41" s="125">
        <v>22</v>
      </c>
      <c r="I41" s="115" t="s">
        <v>2960</v>
      </c>
      <c r="J41" s="115" t="s">
        <v>2960</v>
      </c>
      <c r="K41" s="114" t="s">
        <v>2276</v>
      </c>
      <c r="L41" s="115" t="s">
        <v>2950</v>
      </c>
    </row>
    <row r="42" spans="1:12" x14ac:dyDescent="0.25">
      <c r="A42" s="114">
        <v>41</v>
      </c>
      <c r="B42" s="114" t="s">
        <v>798</v>
      </c>
      <c r="C42" s="114" t="s">
        <v>2371</v>
      </c>
      <c r="D42" s="114" t="s">
        <v>360</v>
      </c>
      <c r="E42" s="115" t="s">
        <v>2930</v>
      </c>
      <c r="F42" s="115" t="s">
        <v>2929</v>
      </c>
      <c r="G42" s="115" t="s">
        <v>2952</v>
      </c>
      <c r="H42" s="125">
        <v>23</v>
      </c>
      <c r="I42" s="115" t="s">
        <v>2955</v>
      </c>
      <c r="J42" s="115" t="s">
        <v>2955</v>
      </c>
      <c r="K42" s="114" t="s">
        <v>2288</v>
      </c>
      <c r="L42" s="115" t="s">
        <v>2959</v>
      </c>
    </row>
    <row r="43" spans="1:12" x14ac:dyDescent="0.25">
      <c r="A43" s="114">
        <v>42</v>
      </c>
      <c r="B43" s="114" t="s">
        <v>798</v>
      </c>
      <c r="C43" s="114" t="s">
        <v>2958</v>
      </c>
      <c r="D43" s="114" t="s">
        <v>360</v>
      </c>
      <c r="E43" s="115" t="s">
        <v>2930</v>
      </c>
      <c r="F43" s="115" t="s">
        <v>2929</v>
      </c>
      <c r="G43" s="115" t="s">
        <v>2952</v>
      </c>
      <c r="H43" s="125">
        <v>23</v>
      </c>
      <c r="I43" s="115" t="s">
        <v>2955</v>
      </c>
      <c r="J43" s="115" t="s">
        <v>2955</v>
      </c>
      <c r="K43" s="114" t="s">
        <v>2285</v>
      </c>
      <c r="L43" s="115" t="s">
        <v>2957</v>
      </c>
    </row>
    <row r="44" spans="1:12" x14ac:dyDescent="0.25">
      <c r="A44" s="114">
        <v>43</v>
      </c>
      <c r="B44" s="114" t="s">
        <v>798</v>
      </c>
      <c r="C44" s="114" t="s">
        <v>2956</v>
      </c>
      <c r="D44" s="114" t="s">
        <v>360</v>
      </c>
      <c r="E44" s="115" t="s">
        <v>2930</v>
      </c>
      <c r="F44" s="115" t="s">
        <v>2929</v>
      </c>
      <c r="G44" s="115" t="s">
        <v>2952</v>
      </c>
      <c r="H44" s="125">
        <v>23</v>
      </c>
      <c r="I44" s="115" t="s">
        <v>2955</v>
      </c>
      <c r="J44" s="115" t="s">
        <v>2955</v>
      </c>
      <c r="K44" s="114" t="s">
        <v>2276</v>
      </c>
      <c r="L44" s="115" t="s">
        <v>2950</v>
      </c>
    </row>
    <row r="45" spans="1:12" x14ac:dyDescent="0.25">
      <c r="A45" s="114">
        <v>44</v>
      </c>
      <c r="B45" s="114" t="s">
        <v>798</v>
      </c>
      <c r="C45" s="114" t="s">
        <v>2364</v>
      </c>
      <c r="D45" s="114" t="s">
        <v>360</v>
      </c>
      <c r="E45" s="115" t="s">
        <v>2930</v>
      </c>
      <c r="F45" s="115" t="s">
        <v>2929</v>
      </c>
      <c r="G45" s="115" t="s">
        <v>2952</v>
      </c>
      <c r="H45" s="125">
        <v>24</v>
      </c>
      <c r="I45" s="115" t="s">
        <v>2951</v>
      </c>
      <c r="J45" s="115" t="s">
        <v>2951</v>
      </c>
      <c r="K45" s="114" t="s">
        <v>2288</v>
      </c>
      <c r="L45" s="115" t="s">
        <v>2954</v>
      </c>
    </row>
    <row r="46" spans="1:12" x14ac:dyDescent="0.25">
      <c r="A46" s="114">
        <v>45</v>
      </c>
      <c r="B46" s="114" t="s">
        <v>798</v>
      </c>
      <c r="C46" s="114" t="s">
        <v>2361</v>
      </c>
      <c r="D46" s="114" t="s">
        <v>360</v>
      </c>
      <c r="E46" s="115" t="s">
        <v>2930</v>
      </c>
      <c r="F46" s="115" t="s">
        <v>2929</v>
      </c>
      <c r="G46" s="115" t="s">
        <v>2952</v>
      </c>
      <c r="H46" s="125">
        <v>24</v>
      </c>
      <c r="I46" s="115" t="s">
        <v>2951</v>
      </c>
      <c r="J46" s="115" t="s">
        <v>2951</v>
      </c>
      <c r="K46" s="114" t="s">
        <v>2285</v>
      </c>
      <c r="L46" s="115" t="s">
        <v>2953</v>
      </c>
    </row>
    <row r="47" spans="1:12" x14ac:dyDescent="0.25">
      <c r="A47" s="114">
        <v>46</v>
      </c>
      <c r="B47" s="114" t="s">
        <v>798</v>
      </c>
      <c r="C47" s="114" t="s">
        <v>2358</v>
      </c>
      <c r="D47" s="114" t="s">
        <v>360</v>
      </c>
      <c r="E47" s="115" t="s">
        <v>2930</v>
      </c>
      <c r="F47" s="115" t="s">
        <v>2929</v>
      </c>
      <c r="G47" s="115" t="s">
        <v>2952</v>
      </c>
      <c r="H47" s="125">
        <v>24</v>
      </c>
      <c r="I47" s="115" t="s">
        <v>2951</v>
      </c>
      <c r="J47" s="115" t="s">
        <v>2951</v>
      </c>
      <c r="K47" s="114" t="s">
        <v>2276</v>
      </c>
      <c r="L47" s="115" t="s">
        <v>2950</v>
      </c>
    </row>
    <row r="48" spans="1:12" x14ac:dyDescent="0.25">
      <c r="A48" s="114">
        <v>47</v>
      </c>
      <c r="B48" s="114" t="s">
        <v>798</v>
      </c>
      <c r="C48" s="114" t="s">
        <v>2348</v>
      </c>
      <c r="D48" s="114" t="s">
        <v>360</v>
      </c>
      <c r="E48" s="115" t="s">
        <v>2930</v>
      </c>
      <c r="F48" s="115" t="s">
        <v>2929</v>
      </c>
      <c r="G48" s="115" t="s">
        <v>2946</v>
      </c>
      <c r="H48" s="125">
        <v>25</v>
      </c>
      <c r="I48" s="115" t="s">
        <v>2949</v>
      </c>
      <c r="J48" s="115" t="s">
        <v>2949</v>
      </c>
      <c r="K48" s="114" t="s">
        <v>2288</v>
      </c>
      <c r="L48" s="115" t="s">
        <v>2948</v>
      </c>
    </row>
    <row r="49" spans="1:12" x14ac:dyDescent="0.25">
      <c r="A49" s="114">
        <v>48</v>
      </c>
      <c r="B49" s="114" t="s">
        <v>798</v>
      </c>
      <c r="C49" s="114" t="s">
        <v>2947</v>
      </c>
      <c r="D49" s="114" t="s">
        <v>360</v>
      </c>
      <c r="E49" s="115" t="s">
        <v>2930</v>
      </c>
      <c r="F49" s="115" t="s">
        <v>2929</v>
      </c>
      <c r="G49" s="115" t="s">
        <v>2946</v>
      </c>
      <c r="H49" s="125">
        <v>26</v>
      </c>
      <c r="I49" s="115" t="s">
        <v>2945</v>
      </c>
      <c r="J49" s="115" t="s">
        <v>2945</v>
      </c>
      <c r="K49" s="114" t="s">
        <v>2944</v>
      </c>
      <c r="L49" s="115" t="s">
        <v>2944</v>
      </c>
    </row>
    <row r="50" spans="1:12" x14ac:dyDescent="0.25">
      <c r="A50" s="114">
        <v>49</v>
      </c>
      <c r="B50" s="114" t="s">
        <v>798</v>
      </c>
      <c r="C50" s="114" t="s">
        <v>2323</v>
      </c>
      <c r="D50" s="114" t="s">
        <v>360</v>
      </c>
      <c r="E50" s="115" t="s">
        <v>2930</v>
      </c>
      <c r="F50" s="115" t="s">
        <v>2929</v>
      </c>
      <c r="G50" s="115" t="s">
        <v>2939</v>
      </c>
      <c r="H50" s="125">
        <v>27</v>
      </c>
      <c r="I50" s="115" t="s">
        <v>2941</v>
      </c>
      <c r="J50" s="115" t="s">
        <v>2941</v>
      </c>
      <c r="K50" s="114" t="s">
        <v>2288</v>
      </c>
      <c r="L50" s="115" t="s">
        <v>2943</v>
      </c>
    </row>
    <row r="51" spans="1:12" x14ac:dyDescent="0.25">
      <c r="A51" s="114">
        <v>50</v>
      </c>
      <c r="B51" s="114" t="s">
        <v>798</v>
      </c>
      <c r="C51" s="114" t="s">
        <v>2320</v>
      </c>
      <c r="D51" s="114" t="s">
        <v>360</v>
      </c>
      <c r="E51" s="115" t="s">
        <v>2930</v>
      </c>
      <c r="F51" s="115" t="s">
        <v>2929</v>
      </c>
      <c r="G51" s="115" t="s">
        <v>2939</v>
      </c>
      <c r="H51" s="125">
        <v>27</v>
      </c>
      <c r="I51" s="115" t="s">
        <v>2941</v>
      </c>
      <c r="J51" s="115" t="s">
        <v>2941</v>
      </c>
      <c r="K51" s="114" t="s">
        <v>2285</v>
      </c>
      <c r="L51" s="115" t="s">
        <v>2942</v>
      </c>
    </row>
    <row r="52" spans="1:12" x14ac:dyDescent="0.25">
      <c r="A52" s="114">
        <v>51</v>
      </c>
      <c r="B52" s="114" t="s">
        <v>798</v>
      </c>
      <c r="C52" s="114" t="s">
        <v>2317</v>
      </c>
      <c r="D52" s="114" t="s">
        <v>360</v>
      </c>
      <c r="E52" s="115" t="s">
        <v>2930</v>
      </c>
      <c r="F52" s="115" t="s">
        <v>2929</v>
      </c>
      <c r="G52" s="115" t="s">
        <v>2939</v>
      </c>
      <c r="H52" s="125">
        <v>27</v>
      </c>
      <c r="I52" s="115" t="s">
        <v>2941</v>
      </c>
      <c r="J52" s="115" t="s">
        <v>2941</v>
      </c>
      <c r="K52" s="114" t="s">
        <v>2276</v>
      </c>
      <c r="L52" s="115" t="s">
        <v>2940</v>
      </c>
    </row>
    <row r="53" spans="1:12" x14ac:dyDescent="0.25">
      <c r="A53" s="114">
        <v>52</v>
      </c>
      <c r="B53" s="114" t="s">
        <v>798</v>
      </c>
      <c r="C53" s="114" t="s">
        <v>2302</v>
      </c>
      <c r="D53" s="114" t="s">
        <v>360</v>
      </c>
      <c r="E53" s="115" t="s">
        <v>2930</v>
      </c>
      <c r="F53" s="115" t="s">
        <v>2929</v>
      </c>
      <c r="G53" s="115" t="s">
        <v>2939</v>
      </c>
      <c r="H53" s="125">
        <v>28</v>
      </c>
      <c r="I53" s="115" t="s">
        <v>2938</v>
      </c>
      <c r="J53" s="115" t="s">
        <v>2938</v>
      </c>
      <c r="K53" s="114" t="s">
        <v>2288</v>
      </c>
      <c r="L53" s="115" t="s">
        <v>2937</v>
      </c>
    </row>
    <row r="54" spans="1:12" x14ac:dyDescent="0.25">
      <c r="A54" s="114">
        <v>53</v>
      </c>
      <c r="B54" s="114" t="s">
        <v>798</v>
      </c>
      <c r="C54" s="114" t="s">
        <v>2289</v>
      </c>
      <c r="D54" s="114" t="s">
        <v>360</v>
      </c>
      <c r="E54" s="115" t="s">
        <v>2930</v>
      </c>
      <c r="F54" s="115" t="s">
        <v>2929</v>
      </c>
      <c r="G54" s="115" t="s">
        <v>2936</v>
      </c>
      <c r="H54" s="125">
        <v>29</v>
      </c>
      <c r="I54" s="115" t="s">
        <v>2935</v>
      </c>
      <c r="J54" s="115" t="s">
        <v>2935</v>
      </c>
      <c r="K54" s="114" t="s">
        <v>2288</v>
      </c>
      <c r="L54" s="115" t="s">
        <v>2934</v>
      </c>
    </row>
    <row r="55" spans="1:12" x14ac:dyDescent="0.25">
      <c r="A55" s="114">
        <v>54</v>
      </c>
      <c r="B55" s="114" t="s">
        <v>798</v>
      </c>
      <c r="C55" s="114" t="s">
        <v>2933</v>
      </c>
      <c r="D55" s="114" t="s">
        <v>360</v>
      </c>
      <c r="E55" s="115" t="s">
        <v>2930</v>
      </c>
      <c r="F55" s="115" t="s">
        <v>2929</v>
      </c>
      <c r="G55" s="115" t="s">
        <v>2928</v>
      </c>
      <c r="H55" s="125">
        <v>30</v>
      </c>
      <c r="I55" s="115" t="s">
        <v>2927</v>
      </c>
      <c r="J55" s="115" t="s">
        <v>2927</v>
      </c>
      <c r="K55" s="114" t="s">
        <v>2288</v>
      </c>
      <c r="L55" s="115" t="s">
        <v>2932</v>
      </c>
    </row>
    <row r="56" spans="1:12" x14ac:dyDescent="0.25">
      <c r="A56" s="114">
        <v>55</v>
      </c>
      <c r="B56" s="114" t="s">
        <v>798</v>
      </c>
      <c r="C56" s="114" t="s">
        <v>2931</v>
      </c>
      <c r="D56" s="114" t="s">
        <v>360</v>
      </c>
      <c r="E56" s="115" t="s">
        <v>2930</v>
      </c>
      <c r="F56" s="115" t="s">
        <v>2929</v>
      </c>
      <c r="G56" s="115" t="s">
        <v>2928</v>
      </c>
      <c r="H56" s="125">
        <v>30</v>
      </c>
      <c r="I56" s="115" t="s">
        <v>2927</v>
      </c>
      <c r="J56" s="115" t="s">
        <v>2927</v>
      </c>
      <c r="K56" s="114" t="s">
        <v>2285</v>
      </c>
      <c r="L56" s="115" t="s">
        <v>2926</v>
      </c>
    </row>
    <row r="57" spans="1:12" x14ac:dyDescent="0.25">
      <c r="A57" s="114">
        <v>56</v>
      </c>
      <c r="B57" s="114" t="s">
        <v>798</v>
      </c>
      <c r="C57" s="114" t="s">
        <v>2925</v>
      </c>
      <c r="D57" s="114" t="s">
        <v>419</v>
      </c>
      <c r="E57" s="115" t="s">
        <v>2894</v>
      </c>
      <c r="F57" s="115" t="s">
        <v>2893</v>
      </c>
      <c r="G57" s="115" t="s">
        <v>2909</v>
      </c>
      <c r="H57" s="125">
        <v>31</v>
      </c>
      <c r="I57" s="115" t="s">
        <v>2924</v>
      </c>
      <c r="J57" s="115" t="s">
        <v>2924</v>
      </c>
      <c r="K57" s="114" t="s">
        <v>2288</v>
      </c>
      <c r="L57" s="115" t="s">
        <v>2923</v>
      </c>
    </row>
    <row r="58" spans="1:12" x14ac:dyDescent="0.25">
      <c r="A58" s="114">
        <v>57</v>
      </c>
      <c r="B58" s="114" t="s">
        <v>798</v>
      </c>
      <c r="C58" s="114" t="s">
        <v>2922</v>
      </c>
      <c r="D58" s="114" t="s">
        <v>419</v>
      </c>
      <c r="E58" s="115" t="s">
        <v>2894</v>
      </c>
      <c r="F58" s="115" t="s">
        <v>2893</v>
      </c>
      <c r="G58" s="115" t="s">
        <v>2909</v>
      </c>
      <c r="H58" s="125">
        <v>32</v>
      </c>
      <c r="I58" s="115" t="s">
        <v>2368</v>
      </c>
      <c r="J58" s="115" t="s">
        <v>2368</v>
      </c>
      <c r="K58" s="114" t="s">
        <v>2288</v>
      </c>
      <c r="L58" s="115" t="s">
        <v>2921</v>
      </c>
    </row>
    <row r="59" spans="1:12" x14ac:dyDescent="0.25">
      <c r="A59" s="114">
        <v>58</v>
      </c>
      <c r="B59" s="114" t="s">
        <v>798</v>
      </c>
      <c r="C59" s="114" t="s">
        <v>2920</v>
      </c>
      <c r="D59" s="114" t="s">
        <v>419</v>
      </c>
      <c r="E59" s="115" t="s">
        <v>2894</v>
      </c>
      <c r="F59" s="115" t="s">
        <v>2893</v>
      </c>
      <c r="G59" s="115" t="s">
        <v>2909</v>
      </c>
      <c r="H59" s="125">
        <v>32</v>
      </c>
      <c r="I59" s="115" t="s">
        <v>2368</v>
      </c>
      <c r="J59" s="115" t="s">
        <v>2368</v>
      </c>
      <c r="K59" s="114" t="s">
        <v>2285</v>
      </c>
      <c r="L59" s="115" t="s">
        <v>2919</v>
      </c>
    </row>
    <row r="60" spans="1:12" x14ac:dyDescent="0.25">
      <c r="A60" s="114">
        <v>59</v>
      </c>
      <c r="B60" s="114" t="s">
        <v>798</v>
      </c>
      <c r="C60" s="114" t="s">
        <v>2918</v>
      </c>
      <c r="D60" s="114" t="s">
        <v>419</v>
      </c>
      <c r="E60" s="115" t="s">
        <v>2894</v>
      </c>
      <c r="F60" s="115" t="s">
        <v>2893</v>
      </c>
      <c r="G60" s="115" t="s">
        <v>2909</v>
      </c>
      <c r="H60" s="125">
        <v>33</v>
      </c>
      <c r="I60" s="115" t="s">
        <v>2915</v>
      </c>
      <c r="J60" s="115" t="s">
        <v>2915</v>
      </c>
      <c r="K60" s="114" t="s">
        <v>2288</v>
      </c>
      <c r="L60" s="115" t="s">
        <v>2917</v>
      </c>
    </row>
    <row r="61" spans="1:12" x14ac:dyDescent="0.25">
      <c r="A61" s="114">
        <v>60</v>
      </c>
      <c r="B61" s="114" t="s">
        <v>798</v>
      </c>
      <c r="C61" s="114" t="s">
        <v>2916</v>
      </c>
      <c r="D61" s="114" t="s">
        <v>419</v>
      </c>
      <c r="E61" s="115" t="s">
        <v>2894</v>
      </c>
      <c r="F61" s="115" t="s">
        <v>2893</v>
      </c>
      <c r="G61" s="115" t="s">
        <v>2909</v>
      </c>
      <c r="H61" s="125">
        <v>33</v>
      </c>
      <c r="I61" s="115" t="s">
        <v>2915</v>
      </c>
      <c r="J61" s="115" t="s">
        <v>2915</v>
      </c>
      <c r="K61" s="114" t="s">
        <v>2285</v>
      </c>
      <c r="L61" s="115" t="s">
        <v>2914</v>
      </c>
    </row>
    <row r="62" spans="1:12" x14ac:dyDescent="0.25">
      <c r="A62" s="114">
        <v>61</v>
      </c>
      <c r="B62" s="114" t="s">
        <v>798</v>
      </c>
      <c r="C62" s="114" t="s">
        <v>2913</v>
      </c>
      <c r="D62" s="114" t="s">
        <v>419</v>
      </c>
      <c r="E62" s="115" t="s">
        <v>2894</v>
      </c>
      <c r="F62" s="115" t="s">
        <v>2893</v>
      </c>
      <c r="G62" s="115" t="s">
        <v>2909</v>
      </c>
      <c r="H62" s="125">
        <v>34</v>
      </c>
      <c r="I62" s="115" t="s">
        <v>2912</v>
      </c>
      <c r="J62" s="115" t="s">
        <v>2912</v>
      </c>
      <c r="K62" s="114" t="s">
        <v>2288</v>
      </c>
      <c r="L62" s="115" t="s">
        <v>2911</v>
      </c>
    </row>
    <row r="63" spans="1:12" x14ac:dyDescent="0.25">
      <c r="A63" s="114">
        <v>62</v>
      </c>
      <c r="B63" s="114" t="s">
        <v>798</v>
      </c>
      <c r="C63" s="114" t="s">
        <v>2910</v>
      </c>
      <c r="D63" s="114" t="s">
        <v>419</v>
      </c>
      <c r="E63" s="115" t="s">
        <v>2894</v>
      </c>
      <c r="F63" s="115" t="s">
        <v>2893</v>
      </c>
      <c r="G63" s="115" t="s">
        <v>2909</v>
      </c>
      <c r="H63" s="125">
        <v>35</v>
      </c>
      <c r="I63" s="115" t="s">
        <v>2908</v>
      </c>
      <c r="J63" s="115" t="s">
        <v>2908</v>
      </c>
      <c r="K63" s="114" t="s">
        <v>2288</v>
      </c>
      <c r="L63" s="115" t="s">
        <v>2907</v>
      </c>
    </row>
    <row r="64" spans="1:12" x14ac:dyDescent="0.25">
      <c r="A64" s="114">
        <v>63</v>
      </c>
      <c r="B64" s="114" t="s">
        <v>798</v>
      </c>
      <c r="C64" s="114" t="s">
        <v>2906</v>
      </c>
      <c r="D64" s="114" t="s">
        <v>419</v>
      </c>
      <c r="E64" s="115" t="s">
        <v>2894</v>
      </c>
      <c r="F64" s="115" t="s">
        <v>2893</v>
      </c>
      <c r="G64" s="115" t="s">
        <v>2905</v>
      </c>
      <c r="H64" s="125">
        <v>36</v>
      </c>
      <c r="I64" s="115" t="s">
        <v>2904</v>
      </c>
      <c r="J64" s="115" t="s">
        <v>2904</v>
      </c>
      <c r="K64" s="114" t="s">
        <v>2288</v>
      </c>
      <c r="L64" s="115" t="s">
        <v>2903</v>
      </c>
    </row>
    <row r="65" spans="1:12" x14ac:dyDescent="0.25">
      <c r="A65" s="114">
        <v>64</v>
      </c>
      <c r="B65" s="114" t="s">
        <v>798</v>
      </c>
      <c r="C65" s="114" t="s">
        <v>2902</v>
      </c>
      <c r="D65" s="114" t="s">
        <v>419</v>
      </c>
      <c r="E65" s="115" t="s">
        <v>2894</v>
      </c>
      <c r="F65" s="115" t="s">
        <v>2893</v>
      </c>
      <c r="G65" s="115" t="s">
        <v>2892</v>
      </c>
      <c r="H65" s="125">
        <v>37</v>
      </c>
      <c r="I65" s="115" t="s">
        <v>2897</v>
      </c>
      <c r="J65" s="115" t="s">
        <v>2897</v>
      </c>
      <c r="K65" s="114" t="s">
        <v>2288</v>
      </c>
      <c r="L65" s="115" t="s">
        <v>2901</v>
      </c>
    </row>
    <row r="66" spans="1:12" x14ac:dyDescent="0.25">
      <c r="A66" s="114">
        <v>65</v>
      </c>
      <c r="B66" s="114" t="s">
        <v>798</v>
      </c>
      <c r="C66" s="114" t="s">
        <v>2900</v>
      </c>
      <c r="D66" s="114" t="s">
        <v>419</v>
      </c>
      <c r="E66" s="115" t="s">
        <v>2894</v>
      </c>
      <c r="F66" s="115" t="s">
        <v>2893</v>
      </c>
      <c r="G66" s="115" t="s">
        <v>2892</v>
      </c>
      <c r="H66" s="125">
        <v>37</v>
      </c>
      <c r="I66" s="115" t="s">
        <v>2897</v>
      </c>
      <c r="J66" s="115" t="s">
        <v>2897</v>
      </c>
      <c r="K66" s="114" t="s">
        <v>2285</v>
      </c>
      <c r="L66" s="115" t="s">
        <v>2899</v>
      </c>
    </row>
    <row r="67" spans="1:12" x14ac:dyDescent="0.25">
      <c r="A67" s="114">
        <v>66</v>
      </c>
      <c r="B67" s="114" t="s">
        <v>798</v>
      </c>
      <c r="C67" s="114" t="s">
        <v>2898</v>
      </c>
      <c r="D67" s="114" t="s">
        <v>419</v>
      </c>
      <c r="E67" s="115" t="s">
        <v>2894</v>
      </c>
      <c r="F67" s="115" t="s">
        <v>2893</v>
      </c>
      <c r="G67" s="115" t="s">
        <v>2892</v>
      </c>
      <c r="H67" s="125">
        <v>37</v>
      </c>
      <c r="I67" s="115" t="s">
        <v>2897</v>
      </c>
      <c r="J67" s="115" t="s">
        <v>2897</v>
      </c>
      <c r="K67" s="114" t="s">
        <v>2276</v>
      </c>
      <c r="L67" s="115" t="s">
        <v>2896</v>
      </c>
    </row>
    <row r="68" spans="1:12" x14ac:dyDescent="0.25">
      <c r="A68" s="114">
        <v>67</v>
      </c>
      <c r="B68" s="114" t="s">
        <v>798</v>
      </c>
      <c r="C68" s="114" t="s">
        <v>2895</v>
      </c>
      <c r="D68" s="114" t="s">
        <v>419</v>
      </c>
      <c r="E68" s="115" t="s">
        <v>2894</v>
      </c>
      <c r="F68" s="115" t="s">
        <v>2893</v>
      </c>
      <c r="G68" s="115" t="s">
        <v>2892</v>
      </c>
      <c r="H68" s="125">
        <v>38</v>
      </c>
      <c r="I68" s="115" t="s">
        <v>2891</v>
      </c>
      <c r="J68" s="115" t="s">
        <v>2891</v>
      </c>
      <c r="K68" s="114" t="s">
        <v>2288</v>
      </c>
      <c r="L68" s="115" t="s">
        <v>2890</v>
      </c>
    </row>
    <row r="69" spans="1:12" x14ac:dyDescent="0.25">
      <c r="A69" s="114">
        <v>68</v>
      </c>
      <c r="B69" s="114" t="s">
        <v>798</v>
      </c>
      <c r="C69" s="114" t="s">
        <v>2889</v>
      </c>
      <c r="D69" s="114" t="s">
        <v>2298</v>
      </c>
      <c r="E69" s="115" t="s">
        <v>2876</v>
      </c>
      <c r="F69" s="115" t="s">
        <v>2728</v>
      </c>
      <c r="G69" s="115" t="s">
        <v>2888</v>
      </c>
      <c r="H69" s="125">
        <v>39</v>
      </c>
      <c r="I69" s="115" t="s">
        <v>2887</v>
      </c>
      <c r="J69" s="115" t="s">
        <v>2887</v>
      </c>
      <c r="K69" s="114" t="s">
        <v>2288</v>
      </c>
      <c r="L69" s="115" t="s">
        <v>2883</v>
      </c>
    </row>
    <row r="70" spans="1:12" x14ac:dyDescent="0.25">
      <c r="A70" s="114">
        <v>69</v>
      </c>
      <c r="B70" s="114" t="s">
        <v>798</v>
      </c>
      <c r="C70" s="114" t="s">
        <v>2886</v>
      </c>
      <c r="D70" s="114" t="s">
        <v>2298</v>
      </c>
      <c r="E70" s="115" t="s">
        <v>2876</v>
      </c>
      <c r="F70" s="115" t="s">
        <v>2728</v>
      </c>
      <c r="G70" s="115" t="s">
        <v>2885</v>
      </c>
      <c r="H70" s="125">
        <v>40</v>
      </c>
      <c r="I70" s="115" t="s">
        <v>2884</v>
      </c>
      <c r="J70" s="115" t="s">
        <v>2884</v>
      </c>
      <c r="K70" s="114" t="s">
        <v>2288</v>
      </c>
      <c r="L70" s="115" t="s">
        <v>2883</v>
      </c>
    </row>
    <row r="71" spans="1:12" x14ac:dyDescent="0.25">
      <c r="A71" s="114">
        <v>70</v>
      </c>
      <c r="B71" s="114" t="s">
        <v>798</v>
      </c>
      <c r="C71" s="114" t="s">
        <v>2882</v>
      </c>
      <c r="D71" s="114" t="s">
        <v>2298</v>
      </c>
      <c r="E71" s="115" t="s">
        <v>2876</v>
      </c>
      <c r="F71" s="115" t="s">
        <v>2728</v>
      </c>
      <c r="G71" s="115" t="s">
        <v>2875</v>
      </c>
      <c r="H71" s="125">
        <v>41</v>
      </c>
      <c r="I71" s="115" t="s">
        <v>2881</v>
      </c>
      <c r="J71" s="115" t="s">
        <v>2881</v>
      </c>
      <c r="K71" s="114" t="s">
        <v>2288</v>
      </c>
      <c r="L71" s="115" t="s">
        <v>2880</v>
      </c>
    </row>
    <row r="72" spans="1:12" x14ac:dyDescent="0.25">
      <c r="A72" s="114">
        <v>71</v>
      </c>
      <c r="B72" s="114" t="s">
        <v>798</v>
      </c>
      <c r="C72" s="114" t="s">
        <v>2879</v>
      </c>
      <c r="D72" s="114" t="s">
        <v>2298</v>
      </c>
      <c r="E72" s="115" t="s">
        <v>2876</v>
      </c>
      <c r="F72" s="115" t="s">
        <v>2728</v>
      </c>
      <c r="G72" s="115" t="s">
        <v>2875</v>
      </c>
      <c r="H72" s="125">
        <v>42</v>
      </c>
      <c r="I72" s="115" t="s">
        <v>2874</v>
      </c>
      <c r="J72" s="115" t="s">
        <v>2874</v>
      </c>
      <c r="K72" s="114" t="s">
        <v>2288</v>
      </c>
      <c r="L72" s="115" t="s">
        <v>2878</v>
      </c>
    </row>
    <row r="73" spans="1:12" x14ac:dyDescent="0.25">
      <c r="A73" s="114">
        <v>72</v>
      </c>
      <c r="B73" s="114" t="s">
        <v>798</v>
      </c>
      <c r="C73" s="114" t="s">
        <v>2877</v>
      </c>
      <c r="D73" s="114" t="s">
        <v>2298</v>
      </c>
      <c r="E73" s="115" t="s">
        <v>2876</v>
      </c>
      <c r="F73" s="115" t="s">
        <v>2728</v>
      </c>
      <c r="G73" s="115" t="s">
        <v>2875</v>
      </c>
      <c r="H73" s="125">
        <v>42</v>
      </c>
      <c r="I73" s="115" t="s">
        <v>2874</v>
      </c>
      <c r="J73" s="115" t="s">
        <v>2874</v>
      </c>
      <c r="K73" s="114" t="s">
        <v>2285</v>
      </c>
      <c r="L73" s="115" t="s">
        <v>2873</v>
      </c>
    </row>
    <row r="74" spans="1:12" x14ac:dyDescent="0.25">
      <c r="A74" s="114">
        <v>73</v>
      </c>
      <c r="B74" s="114" t="s">
        <v>798</v>
      </c>
      <c r="C74" s="114" t="s">
        <v>2872</v>
      </c>
      <c r="D74" s="114" t="s">
        <v>321</v>
      </c>
      <c r="E74" s="115" t="s">
        <v>2832</v>
      </c>
      <c r="F74" s="115" t="s">
        <v>2831</v>
      </c>
      <c r="G74" s="115" t="s">
        <v>2867</v>
      </c>
      <c r="H74" s="125">
        <v>43</v>
      </c>
      <c r="I74" s="115" t="s">
        <v>2866</v>
      </c>
      <c r="J74" s="115" t="s">
        <v>2866</v>
      </c>
      <c r="K74" s="114" t="s">
        <v>2288</v>
      </c>
      <c r="L74" s="115" t="s">
        <v>2871</v>
      </c>
    </row>
    <row r="75" spans="1:12" x14ac:dyDescent="0.25">
      <c r="A75" s="114">
        <v>74</v>
      </c>
      <c r="B75" s="114" t="s">
        <v>798</v>
      </c>
      <c r="C75" s="114" t="s">
        <v>2870</v>
      </c>
      <c r="D75" s="114" t="s">
        <v>321</v>
      </c>
      <c r="E75" s="115" t="s">
        <v>2832</v>
      </c>
      <c r="F75" s="115" t="s">
        <v>2831</v>
      </c>
      <c r="G75" s="115" t="s">
        <v>2867</v>
      </c>
      <c r="H75" s="125">
        <v>43</v>
      </c>
      <c r="I75" s="115" t="s">
        <v>2866</v>
      </c>
      <c r="J75" s="115" t="s">
        <v>2866</v>
      </c>
      <c r="K75" s="114" t="s">
        <v>2285</v>
      </c>
      <c r="L75" s="115" t="s">
        <v>2869</v>
      </c>
    </row>
    <row r="76" spans="1:12" x14ac:dyDescent="0.25">
      <c r="A76" s="114">
        <v>75</v>
      </c>
      <c r="B76" s="114" t="s">
        <v>798</v>
      </c>
      <c r="C76" s="114" t="s">
        <v>2868</v>
      </c>
      <c r="D76" s="114" t="s">
        <v>321</v>
      </c>
      <c r="E76" s="115" t="s">
        <v>2832</v>
      </c>
      <c r="F76" s="115" t="s">
        <v>2831</v>
      </c>
      <c r="G76" s="115" t="s">
        <v>2867</v>
      </c>
      <c r="H76" s="125">
        <v>43</v>
      </c>
      <c r="I76" s="115" t="s">
        <v>2866</v>
      </c>
      <c r="J76" s="115" t="s">
        <v>2866</v>
      </c>
      <c r="K76" s="114" t="s">
        <v>2276</v>
      </c>
      <c r="L76" s="115" t="s">
        <v>2865</v>
      </c>
    </row>
    <row r="77" spans="1:12" x14ac:dyDescent="0.25">
      <c r="A77" s="114">
        <v>76</v>
      </c>
      <c r="B77" s="114" t="s">
        <v>798</v>
      </c>
      <c r="C77" s="114" t="s">
        <v>2864</v>
      </c>
      <c r="D77" s="114" t="s">
        <v>321</v>
      </c>
      <c r="E77" s="115" t="s">
        <v>2832</v>
      </c>
      <c r="F77" s="115" t="s">
        <v>2831</v>
      </c>
      <c r="G77" s="115" t="s">
        <v>2862</v>
      </c>
      <c r="H77" s="125">
        <v>44</v>
      </c>
      <c r="I77" s="115" t="s">
        <v>2861</v>
      </c>
      <c r="J77" s="115" t="s">
        <v>2861</v>
      </c>
      <c r="K77" s="114" t="s">
        <v>2288</v>
      </c>
      <c r="L77" s="115" t="s">
        <v>2844</v>
      </c>
    </row>
    <row r="78" spans="1:12" x14ac:dyDescent="0.25">
      <c r="A78" s="114">
        <v>77</v>
      </c>
      <c r="B78" s="114" t="s">
        <v>798</v>
      </c>
      <c r="C78" s="114" t="s">
        <v>2863</v>
      </c>
      <c r="D78" s="114" t="s">
        <v>321</v>
      </c>
      <c r="E78" s="115" t="s">
        <v>2832</v>
      </c>
      <c r="F78" s="115" t="s">
        <v>2831</v>
      </c>
      <c r="G78" s="115" t="s">
        <v>2862</v>
      </c>
      <c r="H78" s="125">
        <v>44</v>
      </c>
      <c r="I78" s="115" t="s">
        <v>2861</v>
      </c>
      <c r="J78" s="115" t="s">
        <v>2861</v>
      </c>
      <c r="K78" s="114" t="s">
        <v>2285</v>
      </c>
      <c r="L78" s="115" t="s">
        <v>2840</v>
      </c>
    </row>
    <row r="79" spans="1:12" x14ac:dyDescent="0.25">
      <c r="A79" s="114">
        <v>78</v>
      </c>
      <c r="B79" s="114" t="s">
        <v>798</v>
      </c>
      <c r="C79" s="114" t="s">
        <v>2860</v>
      </c>
      <c r="D79" s="114" t="s">
        <v>321</v>
      </c>
      <c r="E79" s="115" t="s">
        <v>2832</v>
      </c>
      <c r="F79" s="115" t="s">
        <v>2831</v>
      </c>
      <c r="G79" s="115" t="s">
        <v>2858</v>
      </c>
      <c r="H79" s="125">
        <v>45</v>
      </c>
      <c r="I79" s="115" t="s">
        <v>2857</v>
      </c>
      <c r="J79" s="115" t="s">
        <v>2857</v>
      </c>
      <c r="K79" s="114" t="s">
        <v>2288</v>
      </c>
      <c r="L79" s="115" t="s">
        <v>2844</v>
      </c>
    </row>
    <row r="80" spans="1:12" x14ac:dyDescent="0.25">
      <c r="A80" s="114">
        <v>79</v>
      </c>
      <c r="B80" s="114" t="s">
        <v>798</v>
      </c>
      <c r="C80" s="114" t="s">
        <v>2859</v>
      </c>
      <c r="D80" s="114" t="s">
        <v>321</v>
      </c>
      <c r="E80" s="115" t="s">
        <v>2832</v>
      </c>
      <c r="F80" s="115" t="s">
        <v>2831</v>
      </c>
      <c r="G80" s="115" t="s">
        <v>2858</v>
      </c>
      <c r="H80" s="125">
        <v>45</v>
      </c>
      <c r="I80" s="115" t="s">
        <v>2857</v>
      </c>
      <c r="J80" s="115" t="s">
        <v>2857</v>
      </c>
      <c r="K80" s="114" t="s">
        <v>2285</v>
      </c>
      <c r="L80" s="115" t="s">
        <v>2840</v>
      </c>
    </row>
    <row r="81" spans="1:12" x14ac:dyDescent="0.25">
      <c r="A81" s="114">
        <v>80</v>
      </c>
      <c r="B81" s="114" t="s">
        <v>798</v>
      </c>
      <c r="C81" s="114" t="s">
        <v>2856</v>
      </c>
      <c r="D81" s="114" t="s">
        <v>321</v>
      </c>
      <c r="E81" s="115" t="s">
        <v>2832</v>
      </c>
      <c r="F81" s="115" t="s">
        <v>2831</v>
      </c>
      <c r="G81" s="115" t="s">
        <v>2853</v>
      </c>
      <c r="H81" s="125">
        <v>46</v>
      </c>
      <c r="I81" s="115" t="s">
        <v>2852</v>
      </c>
      <c r="J81" s="115" t="s">
        <v>2852</v>
      </c>
      <c r="K81" s="114" t="s">
        <v>2288</v>
      </c>
      <c r="L81" s="115" t="s">
        <v>2844</v>
      </c>
    </row>
    <row r="82" spans="1:12" x14ac:dyDescent="0.25">
      <c r="A82" s="114">
        <v>81</v>
      </c>
      <c r="B82" s="114" t="s">
        <v>798</v>
      </c>
      <c r="C82" s="114" t="s">
        <v>2855</v>
      </c>
      <c r="D82" s="114" t="s">
        <v>321</v>
      </c>
      <c r="E82" s="115" t="s">
        <v>2832</v>
      </c>
      <c r="F82" s="115" t="s">
        <v>2831</v>
      </c>
      <c r="G82" s="115" t="s">
        <v>2853</v>
      </c>
      <c r="H82" s="125">
        <v>46</v>
      </c>
      <c r="I82" s="115" t="s">
        <v>2852</v>
      </c>
      <c r="J82" s="115" t="s">
        <v>2852</v>
      </c>
      <c r="K82" s="114" t="s">
        <v>2285</v>
      </c>
      <c r="L82" s="115" t="s">
        <v>2840</v>
      </c>
    </row>
    <row r="83" spans="1:12" x14ac:dyDescent="0.25">
      <c r="A83" s="114">
        <v>82</v>
      </c>
      <c r="B83" s="114" t="s">
        <v>798</v>
      </c>
      <c r="C83" s="114" t="s">
        <v>2854</v>
      </c>
      <c r="D83" s="114" t="s">
        <v>321</v>
      </c>
      <c r="E83" s="115" t="s">
        <v>2832</v>
      </c>
      <c r="F83" s="115" t="s">
        <v>2831</v>
      </c>
      <c r="G83" s="115" t="s">
        <v>2853</v>
      </c>
      <c r="H83" s="125">
        <v>46</v>
      </c>
      <c r="I83" s="115" t="s">
        <v>2852</v>
      </c>
      <c r="J83" s="115" t="s">
        <v>2852</v>
      </c>
      <c r="K83" s="114" t="s">
        <v>2276</v>
      </c>
      <c r="L83" s="115" t="s">
        <v>2851</v>
      </c>
    </row>
    <row r="84" spans="1:12" x14ac:dyDescent="0.25">
      <c r="A84" s="114">
        <v>83</v>
      </c>
      <c r="B84" s="114" t="s">
        <v>798</v>
      </c>
      <c r="C84" s="114" t="s">
        <v>2850</v>
      </c>
      <c r="D84" s="114" t="s">
        <v>321</v>
      </c>
      <c r="E84" s="115" t="s">
        <v>2832</v>
      </c>
      <c r="F84" s="115" t="s">
        <v>2831</v>
      </c>
      <c r="G84" s="115" t="s">
        <v>2847</v>
      </c>
      <c r="H84" s="125">
        <v>47</v>
      </c>
      <c r="I84" s="115" t="s">
        <v>2846</v>
      </c>
      <c r="J84" s="115" t="s">
        <v>2846</v>
      </c>
      <c r="K84" s="114" t="s">
        <v>2288</v>
      </c>
      <c r="L84" s="115" t="s">
        <v>2849</v>
      </c>
    </row>
    <row r="85" spans="1:12" x14ac:dyDescent="0.25">
      <c r="A85" s="114">
        <v>84</v>
      </c>
      <c r="B85" s="114" t="s">
        <v>798</v>
      </c>
      <c r="C85" s="114" t="s">
        <v>2848</v>
      </c>
      <c r="D85" s="114" t="s">
        <v>321</v>
      </c>
      <c r="E85" s="115" t="s">
        <v>2832</v>
      </c>
      <c r="F85" s="115" t="s">
        <v>2831</v>
      </c>
      <c r="G85" s="115" t="s">
        <v>2847</v>
      </c>
      <c r="H85" s="125">
        <v>47</v>
      </c>
      <c r="I85" s="115" t="s">
        <v>2846</v>
      </c>
      <c r="J85" s="115" t="s">
        <v>2846</v>
      </c>
      <c r="K85" s="114" t="s">
        <v>2285</v>
      </c>
      <c r="L85" s="115" t="s">
        <v>2840</v>
      </c>
    </row>
    <row r="86" spans="1:12" x14ac:dyDescent="0.25">
      <c r="A86" s="114">
        <v>85</v>
      </c>
      <c r="B86" s="114" t="s">
        <v>798</v>
      </c>
      <c r="C86" s="114" t="s">
        <v>2845</v>
      </c>
      <c r="D86" s="114" t="s">
        <v>321</v>
      </c>
      <c r="E86" s="115" t="s">
        <v>2832</v>
      </c>
      <c r="F86" s="115" t="s">
        <v>2831</v>
      </c>
      <c r="G86" s="115" t="s">
        <v>2842</v>
      </c>
      <c r="H86" s="125">
        <v>48</v>
      </c>
      <c r="I86" s="115" t="s">
        <v>2841</v>
      </c>
      <c r="J86" s="115" t="s">
        <v>2841</v>
      </c>
      <c r="K86" s="114" t="s">
        <v>2288</v>
      </c>
      <c r="L86" s="115" t="s">
        <v>2844</v>
      </c>
    </row>
    <row r="87" spans="1:12" x14ac:dyDescent="0.25">
      <c r="A87" s="114">
        <v>86</v>
      </c>
      <c r="B87" s="114" t="s">
        <v>798</v>
      </c>
      <c r="C87" s="114" t="s">
        <v>2843</v>
      </c>
      <c r="D87" s="114" t="s">
        <v>321</v>
      </c>
      <c r="E87" s="115" t="s">
        <v>2832</v>
      </c>
      <c r="F87" s="115" t="s">
        <v>2831</v>
      </c>
      <c r="G87" s="115" t="s">
        <v>2842</v>
      </c>
      <c r="H87" s="125">
        <v>48</v>
      </c>
      <c r="I87" s="115" t="s">
        <v>2841</v>
      </c>
      <c r="J87" s="115" t="s">
        <v>2841</v>
      </c>
      <c r="K87" s="114" t="s">
        <v>2285</v>
      </c>
      <c r="L87" s="115" t="s">
        <v>2840</v>
      </c>
    </row>
    <row r="88" spans="1:12" x14ac:dyDescent="0.25">
      <c r="A88" s="114">
        <v>87</v>
      </c>
      <c r="B88" s="114" t="s">
        <v>798</v>
      </c>
      <c r="C88" s="114" t="s">
        <v>2839</v>
      </c>
      <c r="D88" s="114" t="s">
        <v>321</v>
      </c>
      <c r="E88" s="115" t="s">
        <v>2832</v>
      </c>
      <c r="F88" s="115" t="s">
        <v>2831</v>
      </c>
      <c r="G88" s="115" t="s">
        <v>2838</v>
      </c>
      <c r="H88" s="125">
        <v>49</v>
      </c>
      <c r="I88" s="115" t="s">
        <v>2837</v>
      </c>
      <c r="J88" s="115" t="s">
        <v>2837</v>
      </c>
      <c r="K88" s="114" t="s">
        <v>2288</v>
      </c>
      <c r="L88" s="115" t="s">
        <v>2836</v>
      </c>
    </row>
    <row r="89" spans="1:12" x14ac:dyDescent="0.25">
      <c r="A89" s="114">
        <v>88</v>
      </c>
      <c r="B89" s="114" t="s">
        <v>798</v>
      </c>
      <c r="C89" s="114" t="s">
        <v>2835</v>
      </c>
      <c r="D89" s="114" t="s">
        <v>321</v>
      </c>
      <c r="E89" s="115" t="s">
        <v>2832</v>
      </c>
      <c r="F89" s="115" t="s">
        <v>2831</v>
      </c>
      <c r="G89" s="115" t="s">
        <v>2830</v>
      </c>
      <c r="H89" s="125">
        <v>50</v>
      </c>
      <c r="I89" s="115" t="s">
        <v>2829</v>
      </c>
      <c r="J89" s="115" t="s">
        <v>2829</v>
      </c>
      <c r="K89" s="114" t="s">
        <v>2288</v>
      </c>
      <c r="L89" s="115" t="s">
        <v>2834</v>
      </c>
    </row>
    <row r="90" spans="1:12" x14ac:dyDescent="0.25">
      <c r="A90" s="114">
        <v>89</v>
      </c>
      <c r="B90" s="114" t="s">
        <v>798</v>
      </c>
      <c r="C90" s="114" t="s">
        <v>2833</v>
      </c>
      <c r="D90" s="114" t="s">
        <v>321</v>
      </c>
      <c r="E90" s="115" t="s">
        <v>2832</v>
      </c>
      <c r="F90" s="115" t="s">
        <v>2831</v>
      </c>
      <c r="G90" s="115" t="s">
        <v>2830</v>
      </c>
      <c r="H90" s="125">
        <v>50</v>
      </c>
      <c r="I90" s="115" t="s">
        <v>2829</v>
      </c>
      <c r="J90" s="115" t="s">
        <v>2829</v>
      </c>
      <c r="K90" s="114" t="s">
        <v>2285</v>
      </c>
      <c r="L90" s="115" t="s">
        <v>2828</v>
      </c>
    </row>
    <row r="91" spans="1:12" x14ac:dyDescent="0.25">
      <c r="A91" s="114">
        <v>90</v>
      </c>
      <c r="B91" s="114" t="s">
        <v>798</v>
      </c>
      <c r="C91" s="114" t="s">
        <v>2827</v>
      </c>
      <c r="D91" s="114" t="s">
        <v>2808</v>
      </c>
      <c r="E91" s="115" t="s">
        <v>2807</v>
      </c>
      <c r="F91" s="115" t="s">
        <v>2806</v>
      </c>
      <c r="G91" s="115" t="s">
        <v>2812</v>
      </c>
      <c r="H91" s="125">
        <v>51</v>
      </c>
      <c r="I91" s="115" t="s">
        <v>2820</v>
      </c>
      <c r="J91" s="115" t="s">
        <v>2820</v>
      </c>
      <c r="K91" s="114" t="s">
        <v>2288</v>
      </c>
      <c r="L91" s="115" t="s">
        <v>2826</v>
      </c>
    </row>
    <row r="92" spans="1:12" x14ac:dyDescent="0.25">
      <c r="A92" s="114">
        <v>91</v>
      </c>
      <c r="B92" s="114" t="s">
        <v>798</v>
      </c>
      <c r="C92" s="114" t="s">
        <v>2825</v>
      </c>
      <c r="D92" s="114" t="s">
        <v>2808</v>
      </c>
      <c r="E92" s="115" t="s">
        <v>2807</v>
      </c>
      <c r="F92" s="115" t="s">
        <v>2806</v>
      </c>
      <c r="G92" s="115" t="s">
        <v>2812</v>
      </c>
      <c r="H92" s="125">
        <v>51</v>
      </c>
      <c r="I92" s="115" t="s">
        <v>2820</v>
      </c>
      <c r="J92" s="115" t="s">
        <v>2820</v>
      </c>
      <c r="K92" s="114" t="s">
        <v>2285</v>
      </c>
      <c r="L92" s="115" t="s">
        <v>2824</v>
      </c>
    </row>
    <row r="93" spans="1:12" x14ac:dyDescent="0.25">
      <c r="A93" s="114">
        <v>92</v>
      </c>
      <c r="B93" s="114" t="s">
        <v>798</v>
      </c>
      <c r="C93" s="114" t="s">
        <v>2823</v>
      </c>
      <c r="D93" s="114" t="s">
        <v>2808</v>
      </c>
      <c r="E93" s="115" t="s">
        <v>2807</v>
      </c>
      <c r="F93" s="115" t="s">
        <v>2806</v>
      </c>
      <c r="G93" s="115" t="s">
        <v>2812</v>
      </c>
      <c r="H93" s="125">
        <v>51</v>
      </c>
      <c r="I93" s="115" t="s">
        <v>2820</v>
      </c>
      <c r="J93" s="115" t="s">
        <v>2820</v>
      </c>
      <c r="K93" s="114" t="s">
        <v>2276</v>
      </c>
      <c r="L93" s="115" t="s">
        <v>2822</v>
      </c>
    </row>
    <row r="94" spans="1:12" x14ac:dyDescent="0.25">
      <c r="A94" s="114">
        <v>93</v>
      </c>
      <c r="B94" s="114" t="s">
        <v>798</v>
      </c>
      <c r="C94" s="114" t="s">
        <v>2821</v>
      </c>
      <c r="D94" s="114" t="s">
        <v>2808</v>
      </c>
      <c r="E94" s="115" t="s">
        <v>2807</v>
      </c>
      <c r="F94" s="115" t="s">
        <v>2806</v>
      </c>
      <c r="G94" s="115" t="s">
        <v>2812</v>
      </c>
      <c r="H94" s="125">
        <v>51</v>
      </c>
      <c r="I94" s="115" t="s">
        <v>2820</v>
      </c>
      <c r="J94" s="115" t="s">
        <v>2820</v>
      </c>
      <c r="K94" s="114" t="s">
        <v>2313</v>
      </c>
      <c r="L94" s="115" t="s">
        <v>2819</v>
      </c>
    </row>
    <row r="95" spans="1:12" x14ac:dyDescent="0.25">
      <c r="A95" s="114">
        <v>94</v>
      </c>
      <c r="B95" s="114" t="s">
        <v>798</v>
      </c>
      <c r="C95" s="114" t="s">
        <v>2818</v>
      </c>
      <c r="D95" s="114" t="s">
        <v>2808</v>
      </c>
      <c r="E95" s="115" t="s">
        <v>2807</v>
      </c>
      <c r="F95" s="115" t="s">
        <v>2806</v>
      </c>
      <c r="G95" s="115" t="s">
        <v>2812</v>
      </c>
      <c r="H95" s="125">
        <v>52</v>
      </c>
      <c r="I95" s="115" t="s">
        <v>2815</v>
      </c>
      <c r="J95" s="115" t="s">
        <v>2815</v>
      </c>
      <c r="K95" s="114" t="s">
        <v>2288</v>
      </c>
      <c r="L95" s="115" t="s">
        <v>2817</v>
      </c>
    </row>
    <row r="96" spans="1:12" x14ac:dyDescent="0.25">
      <c r="A96" s="114">
        <v>95</v>
      </c>
      <c r="B96" s="114" t="s">
        <v>798</v>
      </c>
      <c r="C96" s="114" t="s">
        <v>2816</v>
      </c>
      <c r="D96" s="114" t="s">
        <v>2808</v>
      </c>
      <c r="E96" s="115" t="s">
        <v>2807</v>
      </c>
      <c r="F96" s="115" t="s">
        <v>2806</v>
      </c>
      <c r="G96" s="115" t="s">
        <v>2812</v>
      </c>
      <c r="H96" s="125">
        <v>52</v>
      </c>
      <c r="I96" s="115" t="s">
        <v>2815</v>
      </c>
      <c r="J96" s="115" t="s">
        <v>2815</v>
      </c>
      <c r="K96" s="114" t="s">
        <v>2285</v>
      </c>
      <c r="L96" s="115" t="s">
        <v>2814</v>
      </c>
    </row>
    <row r="97" spans="1:13" x14ac:dyDescent="0.25">
      <c r="A97" s="114">
        <v>96</v>
      </c>
      <c r="B97" s="114" t="s">
        <v>798</v>
      </c>
      <c r="C97" s="114" t="s">
        <v>2813</v>
      </c>
      <c r="D97" s="114" t="s">
        <v>2808</v>
      </c>
      <c r="E97" s="115" t="s">
        <v>2807</v>
      </c>
      <c r="F97" s="115" t="s">
        <v>2806</v>
      </c>
      <c r="G97" s="115" t="s">
        <v>2812</v>
      </c>
      <c r="H97" s="125">
        <v>53</v>
      </c>
      <c r="I97" s="115" t="s">
        <v>2811</v>
      </c>
      <c r="J97" s="115" t="s">
        <v>2811</v>
      </c>
      <c r="K97" s="114" t="s">
        <v>2288</v>
      </c>
      <c r="L97" s="115" t="s">
        <v>2810</v>
      </c>
    </row>
    <row r="98" spans="1:13" x14ac:dyDescent="0.25">
      <c r="A98" s="114">
        <v>97</v>
      </c>
      <c r="B98" s="114" t="s">
        <v>798</v>
      </c>
      <c r="C98" s="114" t="s">
        <v>2809</v>
      </c>
      <c r="D98" s="114" t="s">
        <v>2808</v>
      </c>
      <c r="E98" s="115" t="s">
        <v>2807</v>
      </c>
      <c r="F98" s="115" t="s">
        <v>2806</v>
      </c>
      <c r="G98" s="115" t="s">
        <v>2805</v>
      </c>
      <c r="H98" s="125">
        <v>54</v>
      </c>
      <c r="I98" s="115" t="s">
        <v>2804</v>
      </c>
      <c r="J98" s="115" t="s">
        <v>2804</v>
      </c>
      <c r="K98" s="114" t="s">
        <v>2288</v>
      </c>
      <c r="L98" s="115" t="s">
        <v>2803</v>
      </c>
    </row>
    <row r="99" spans="1:13" x14ac:dyDescent="0.25">
      <c r="A99" s="114">
        <v>98</v>
      </c>
      <c r="B99" s="114" t="s">
        <v>798</v>
      </c>
      <c r="C99" s="114" t="s">
        <v>2802</v>
      </c>
      <c r="D99" s="114" t="s">
        <v>2779</v>
      </c>
      <c r="E99" s="115" t="s">
        <v>2778</v>
      </c>
      <c r="F99" s="115" t="s">
        <v>2280</v>
      </c>
      <c r="G99" s="115" t="s">
        <v>2777</v>
      </c>
      <c r="H99" s="125">
        <v>55</v>
      </c>
      <c r="I99" s="115" t="s">
        <v>2776</v>
      </c>
      <c r="J99" s="115" t="s">
        <v>2776</v>
      </c>
      <c r="K99" s="114" t="s">
        <v>2288</v>
      </c>
      <c r="L99" s="115" t="s">
        <v>2801</v>
      </c>
    </row>
    <row r="100" spans="1:13" x14ac:dyDescent="0.25">
      <c r="A100" s="114">
        <v>99</v>
      </c>
      <c r="B100" s="114" t="s">
        <v>798</v>
      </c>
      <c r="C100" s="114" t="s">
        <v>2800</v>
      </c>
      <c r="D100" s="114" t="s">
        <v>2779</v>
      </c>
      <c r="E100" s="115" t="s">
        <v>2778</v>
      </c>
      <c r="F100" s="115" t="s">
        <v>2280</v>
      </c>
      <c r="G100" s="115" t="s">
        <v>2777</v>
      </c>
      <c r="H100" s="125">
        <v>55</v>
      </c>
      <c r="I100" s="115" t="s">
        <v>2776</v>
      </c>
      <c r="J100" s="115" t="s">
        <v>2776</v>
      </c>
      <c r="K100" s="114" t="s">
        <v>2285</v>
      </c>
      <c r="L100" s="115" t="s">
        <v>2799</v>
      </c>
    </row>
    <row r="101" spans="1:13" x14ac:dyDescent="0.25">
      <c r="A101" s="114">
        <v>100</v>
      </c>
      <c r="B101" s="114" t="s">
        <v>798</v>
      </c>
      <c r="C101" s="114" t="s">
        <v>2798</v>
      </c>
      <c r="D101" s="114" t="s">
        <v>2779</v>
      </c>
      <c r="E101" s="115" t="s">
        <v>2778</v>
      </c>
      <c r="F101" s="115" t="s">
        <v>2280</v>
      </c>
      <c r="G101" s="115" t="s">
        <v>2777</v>
      </c>
      <c r="H101" s="125">
        <v>55</v>
      </c>
      <c r="I101" s="115" t="s">
        <v>2776</v>
      </c>
      <c r="J101" s="115" t="s">
        <v>2776</v>
      </c>
      <c r="K101" s="114" t="s">
        <v>2276</v>
      </c>
      <c r="L101" s="115" t="s">
        <v>2797</v>
      </c>
    </row>
    <row r="102" spans="1:13" x14ac:dyDescent="0.25">
      <c r="A102" s="114">
        <v>101</v>
      </c>
      <c r="B102" s="114" t="s">
        <v>798</v>
      </c>
      <c r="C102" s="114" t="s">
        <v>2796</v>
      </c>
      <c r="D102" s="114" t="s">
        <v>2779</v>
      </c>
      <c r="E102" s="115" t="s">
        <v>2778</v>
      </c>
      <c r="F102" s="115" t="s">
        <v>2280</v>
      </c>
      <c r="G102" s="115" t="s">
        <v>2777</v>
      </c>
      <c r="H102" s="125">
        <v>55</v>
      </c>
      <c r="I102" s="115" t="s">
        <v>2776</v>
      </c>
      <c r="J102" s="115" t="s">
        <v>2776</v>
      </c>
      <c r="K102" s="114" t="s">
        <v>2313</v>
      </c>
      <c r="L102" s="115" t="s">
        <v>2795</v>
      </c>
    </row>
    <row r="103" spans="1:13" x14ac:dyDescent="0.25">
      <c r="A103" s="114">
        <v>102</v>
      </c>
      <c r="B103" s="114" t="s">
        <v>798</v>
      </c>
      <c r="C103" s="114" t="s">
        <v>2794</v>
      </c>
      <c r="D103" s="114" t="s">
        <v>2779</v>
      </c>
      <c r="E103" s="115" t="s">
        <v>2778</v>
      </c>
      <c r="F103" s="115" t="s">
        <v>2280</v>
      </c>
      <c r="G103" s="115" t="s">
        <v>2777</v>
      </c>
      <c r="H103" s="125">
        <v>55</v>
      </c>
      <c r="I103" s="115" t="s">
        <v>2776</v>
      </c>
      <c r="J103" s="115" t="s">
        <v>2776</v>
      </c>
      <c r="K103" s="114" t="s">
        <v>2306</v>
      </c>
      <c r="L103" s="115" t="s">
        <v>2793</v>
      </c>
    </row>
    <row r="104" spans="1:13" x14ac:dyDescent="0.25">
      <c r="A104" s="114">
        <v>103</v>
      </c>
      <c r="B104" s="114" t="s">
        <v>798</v>
      </c>
      <c r="C104" s="114" t="s">
        <v>2792</v>
      </c>
      <c r="D104" s="114" t="s">
        <v>2779</v>
      </c>
      <c r="E104" s="115" t="s">
        <v>2778</v>
      </c>
      <c r="F104" s="115" t="s">
        <v>2280</v>
      </c>
      <c r="G104" s="115" t="s">
        <v>2777</v>
      </c>
      <c r="H104" s="125">
        <v>55</v>
      </c>
      <c r="I104" s="115" t="s">
        <v>2776</v>
      </c>
      <c r="J104" s="115" t="s">
        <v>2776</v>
      </c>
      <c r="K104" s="114" t="s">
        <v>2422</v>
      </c>
      <c r="L104" s="115" t="s">
        <v>2791</v>
      </c>
    </row>
    <row r="105" spans="1:13" x14ac:dyDescent="0.25">
      <c r="A105" s="114">
        <v>104</v>
      </c>
      <c r="B105" s="114" t="s">
        <v>798</v>
      </c>
      <c r="C105" s="114" t="s">
        <v>2790</v>
      </c>
      <c r="D105" s="114" t="s">
        <v>2779</v>
      </c>
      <c r="E105" s="115" t="s">
        <v>2778</v>
      </c>
      <c r="F105" s="115" t="s">
        <v>2280</v>
      </c>
      <c r="G105" s="115" t="s">
        <v>2777</v>
      </c>
      <c r="H105" s="125">
        <v>55</v>
      </c>
      <c r="I105" s="115" t="s">
        <v>2776</v>
      </c>
      <c r="J105" s="115" t="s">
        <v>2776</v>
      </c>
      <c r="K105" s="114" t="s">
        <v>2462</v>
      </c>
      <c r="L105" s="115" t="s">
        <v>2789</v>
      </c>
    </row>
    <row r="106" spans="1:13" x14ac:dyDescent="0.25">
      <c r="A106" s="114">
        <v>105</v>
      </c>
      <c r="B106" s="114" t="s">
        <v>798</v>
      </c>
      <c r="C106" s="114" t="s">
        <v>2788</v>
      </c>
      <c r="D106" s="114" t="s">
        <v>2779</v>
      </c>
      <c r="E106" s="115" t="s">
        <v>2778</v>
      </c>
      <c r="F106" s="115" t="s">
        <v>2280</v>
      </c>
      <c r="G106" s="115" t="s">
        <v>2777</v>
      </c>
      <c r="H106" s="125">
        <v>55</v>
      </c>
      <c r="I106" s="115" t="s">
        <v>2776</v>
      </c>
      <c r="J106" s="115" t="s">
        <v>2776</v>
      </c>
      <c r="K106" s="114" t="s">
        <v>2455</v>
      </c>
      <c r="L106" s="115" t="s">
        <v>2787</v>
      </c>
    </row>
    <row r="107" spans="1:13" x14ac:dyDescent="0.25">
      <c r="A107" s="114">
        <v>106</v>
      </c>
      <c r="B107" s="114" t="s">
        <v>798</v>
      </c>
      <c r="C107" s="114" t="s">
        <v>2786</v>
      </c>
      <c r="D107" s="114" t="s">
        <v>2779</v>
      </c>
      <c r="E107" s="115" t="s">
        <v>2778</v>
      </c>
      <c r="F107" s="115" t="s">
        <v>2280</v>
      </c>
      <c r="G107" s="115" t="s">
        <v>2777</v>
      </c>
      <c r="H107" s="125">
        <v>55</v>
      </c>
      <c r="I107" s="115" t="s">
        <v>2776</v>
      </c>
      <c r="J107" s="115" t="s">
        <v>2776</v>
      </c>
      <c r="K107" s="114" t="s">
        <v>2602</v>
      </c>
      <c r="L107" s="115" t="s">
        <v>2785</v>
      </c>
    </row>
    <row r="108" spans="1:13" x14ac:dyDescent="0.25">
      <c r="A108" s="114">
        <v>107</v>
      </c>
      <c r="B108" s="114" t="s">
        <v>798</v>
      </c>
      <c r="C108" s="114" t="s">
        <v>2784</v>
      </c>
      <c r="D108" s="114" t="s">
        <v>2779</v>
      </c>
      <c r="E108" s="115" t="s">
        <v>2778</v>
      </c>
      <c r="F108" s="115" t="s">
        <v>2280</v>
      </c>
      <c r="G108" s="115" t="s">
        <v>2777</v>
      </c>
      <c r="H108" s="125">
        <v>55</v>
      </c>
      <c r="I108" s="115" t="s">
        <v>2776</v>
      </c>
      <c r="J108" s="115" t="s">
        <v>2776</v>
      </c>
      <c r="K108" s="114" t="s">
        <v>2599</v>
      </c>
      <c r="L108" s="115" t="s">
        <v>2783</v>
      </c>
    </row>
    <row r="109" spans="1:13" x14ac:dyDescent="0.25">
      <c r="A109" s="114">
        <v>108</v>
      </c>
      <c r="B109" s="114" t="s">
        <v>798</v>
      </c>
      <c r="C109" s="114" t="s">
        <v>2782</v>
      </c>
      <c r="D109" s="114" t="s">
        <v>2779</v>
      </c>
      <c r="E109" s="115" t="s">
        <v>2778</v>
      </c>
      <c r="F109" s="115" t="s">
        <v>2280</v>
      </c>
      <c r="G109" s="115" t="s">
        <v>2777</v>
      </c>
      <c r="H109" s="125">
        <v>55</v>
      </c>
      <c r="I109" s="115" t="s">
        <v>2776</v>
      </c>
      <c r="J109" s="115" t="s">
        <v>2776</v>
      </c>
      <c r="K109" s="114" t="s">
        <v>2595</v>
      </c>
      <c r="L109" s="115" t="s">
        <v>2781</v>
      </c>
    </row>
    <row r="110" spans="1:13" x14ac:dyDescent="0.25">
      <c r="A110" s="114">
        <v>109</v>
      </c>
      <c r="B110" s="114" t="s">
        <v>798</v>
      </c>
      <c r="C110" s="114" t="s">
        <v>2780</v>
      </c>
      <c r="D110" s="114" t="s">
        <v>2779</v>
      </c>
      <c r="E110" s="115" t="s">
        <v>2778</v>
      </c>
      <c r="F110" s="115" t="s">
        <v>2280</v>
      </c>
      <c r="G110" s="115" t="s">
        <v>2777</v>
      </c>
      <c r="H110" s="125">
        <v>55</v>
      </c>
      <c r="I110" s="115" t="s">
        <v>2776</v>
      </c>
      <c r="J110" s="115" t="s">
        <v>2776</v>
      </c>
      <c r="K110" s="114" t="s">
        <v>2588</v>
      </c>
      <c r="L110" s="115" t="s">
        <v>2775</v>
      </c>
    </row>
    <row r="111" spans="1:13" x14ac:dyDescent="0.25">
      <c r="A111" s="114">
        <v>110</v>
      </c>
      <c r="B111" s="114" t="s">
        <v>798</v>
      </c>
      <c r="C111" s="114" t="s">
        <v>2774</v>
      </c>
      <c r="D111" s="114" t="s">
        <v>826</v>
      </c>
      <c r="E111" s="115" t="s">
        <v>2773</v>
      </c>
      <c r="F111" s="115" t="s">
        <v>2773</v>
      </c>
      <c r="G111" s="115" t="s">
        <v>2772</v>
      </c>
      <c r="H111" s="125">
        <v>0</v>
      </c>
      <c r="I111" s="115" t="s">
        <v>2771</v>
      </c>
      <c r="J111" s="115" t="s">
        <v>2771</v>
      </c>
      <c r="K111" s="114" t="s">
        <v>2772</v>
      </c>
      <c r="L111" s="115" t="s">
        <v>2771</v>
      </c>
    </row>
    <row r="112" spans="1:13" x14ac:dyDescent="0.25">
      <c r="A112" s="114">
        <v>111</v>
      </c>
      <c r="B112" s="114" t="s">
        <v>2646</v>
      </c>
      <c r="C112" s="114" t="s">
        <v>2639</v>
      </c>
      <c r="D112" s="114" t="s">
        <v>813</v>
      </c>
      <c r="E112" s="115" t="s">
        <v>2746</v>
      </c>
      <c r="F112" s="115" t="s">
        <v>2378</v>
      </c>
      <c r="G112" s="115" t="s">
        <v>2768</v>
      </c>
      <c r="H112" s="125">
        <v>1</v>
      </c>
      <c r="I112" s="115" t="s">
        <v>2767</v>
      </c>
      <c r="J112" s="115" t="s">
        <v>2634</v>
      </c>
      <c r="K112" s="114" t="s">
        <v>2288</v>
      </c>
      <c r="L112" s="115" t="s">
        <v>2770</v>
      </c>
      <c r="M112" s="115" t="s">
        <v>2765</v>
      </c>
    </row>
    <row r="113" spans="1:13" x14ac:dyDescent="0.25">
      <c r="A113" s="114">
        <v>112</v>
      </c>
      <c r="B113" s="114" t="s">
        <v>2646</v>
      </c>
      <c r="C113" s="114" t="s">
        <v>2769</v>
      </c>
      <c r="D113" s="114" t="s">
        <v>813</v>
      </c>
      <c r="E113" s="115" t="s">
        <v>2746</v>
      </c>
      <c r="F113" s="115" t="s">
        <v>2378</v>
      </c>
      <c r="G113" s="115" t="s">
        <v>2768</v>
      </c>
      <c r="H113" s="125">
        <v>1</v>
      </c>
      <c r="I113" s="115" t="s">
        <v>2767</v>
      </c>
      <c r="J113" s="115" t="s">
        <v>2634</v>
      </c>
      <c r="K113" s="114" t="s">
        <v>2285</v>
      </c>
      <c r="L113" s="115" t="s">
        <v>2766</v>
      </c>
      <c r="M113" s="115" t="s">
        <v>2765</v>
      </c>
    </row>
    <row r="114" spans="1:13" x14ac:dyDescent="0.25">
      <c r="A114" s="114">
        <v>113</v>
      </c>
      <c r="B114" s="114" t="s">
        <v>2646</v>
      </c>
      <c r="C114" s="114" t="s">
        <v>2630</v>
      </c>
      <c r="D114" s="114" t="s">
        <v>813</v>
      </c>
      <c r="E114" s="115" t="s">
        <v>2746</v>
      </c>
      <c r="F114" s="115" t="s">
        <v>2378</v>
      </c>
      <c r="G114" s="115" t="s">
        <v>2758</v>
      </c>
      <c r="H114" s="125">
        <v>2</v>
      </c>
      <c r="I114" s="115" t="s">
        <v>2757</v>
      </c>
      <c r="J114" s="115" t="s">
        <v>2628</v>
      </c>
      <c r="K114" s="114" t="s">
        <v>2288</v>
      </c>
      <c r="L114" s="115" t="s">
        <v>2764</v>
      </c>
      <c r="M114" s="115" t="s">
        <v>2755</v>
      </c>
    </row>
    <row r="115" spans="1:13" x14ac:dyDescent="0.25">
      <c r="A115" s="114">
        <v>114</v>
      </c>
      <c r="B115" s="114" t="s">
        <v>2646</v>
      </c>
      <c r="C115" s="114" t="s">
        <v>2763</v>
      </c>
      <c r="D115" s="114" t="s">
        <v>813</v>
      </c>
      <c r="E115" s="115" t="s">
        <v>2746</v>
      </c>
      <c r="F115" s="115" t="s">
        <v>2378</v>
      </c>
      <c r="G115" s="115" t="s">
        <v>2758</v>
      </c>
      <c r="H115" s="125">
        <v>2</v>
      </c>
      <c r="I115" s="115" t="s">
        <v>2757</v>
      </c>
      <c r="J115" s="115" t="s">
        <v>2628</v>
      </c>
      <c r="K115" s="114" t="s">
        <v>2285</v>
      </c>
      <c r="L115" s="115" t="s">
        <v>2762</v>
      </c>
      <c r="M115" s="115" t="s">
        <v>2755</v>
      </c>
    </row>
    <row r="116" spans="1:13" x14ac:dyDescent="0.25">
      <c r="A116" s="114">
        <v>115</v>
      </c>
      <c r="B116" s="114" t="s">
        <v>2646</v>
      </c>
      <c r="C116" s="114" t="s">
        <v>2761</v>
      </c>
      <c r="D116" s="114" t="s">
        <v>813</v>
      </c>
      <c r="E116" s="115" t="s">
        <v>2746</v>
      </c>
      <c r="F116" s="115" t="s">
        <v>2378</v>
      </c>
      <c r="G116" s="115" t="s">
        <v>2758</v>
      </c>
      <c r="H116" s="125">
        <v>2</v>
      </c>
      <c r="I116" s="115" t="s">
        <v>2757</v>
      </c>
      <c r="J116" s="115" t="s">
        <v>2628</v>
      </c>
      <c r="K116" s="114" t="s">
        <v>2276</v>
      </c>
      <c r="L116" s="115" t="s">
        <v>2760</v>
      </c>
      <c r="M116" s="115" t="s">
        <v>2755</v>
      </c>
    </row>
    <row r="117" spans="1:13" x14ac:dyDescent="0.25">
      <c r="A117" s="114">
        <v>116</v>
      </c>
      <c r="B117" s="114" t="s">
        <v>2646</v>
      </c>
      <c r="C117" s="114" t="s">
        <v>2759</v>
      </c>
      <c r="D117" s="114" t="s">
        <v>813</v>
      </c>
      <c r="E117" s="115" t="s">
        <v>2746</v>
      </c>
      <c r="F117" s="115" t="s">
        <v>2378</v>
      </c>
      <c r="G117" s="115" t="s">
        <v>2758</v>
      </c>
      <c r="H117" s="125">
        <v>2</v>
      </c>
      <c r="I117" s="115" t="s">
        <v>2757</v>
      </c>
      <c r="J117" s="115" t="s">
        <v>2628</v>
      </c>
      <c r="K117" s="114" t="s">
        <v>2313</v>
      </c>
      <c r="L117" s="115" t="s">
        <v>2756</v>
      </c>
      <c r="M117" s="115" t="s">
        <v>2755</v>
      </c>
    </row>
    <row r="118" spans="1:13" x14ac:dyDescent="0.25">
      <c r="A118" s="114">
        <v>117</v>
      </c>
      <c r="B118" s="114" t="s">
        <v>2646</v>
      </c>
      <c r="C118" s="114" t="s">
        <v>2625</v>
      </c>
      <c r="D118" s="114" t="s">
        <v>813</v>
      </c>
      <c r="E118" s="115" t="s">
        <v>2746</v>
      </c>
      <c r="F118" s="115" t="s">
        <v>2378</v>
      </c>
      <c r="G118" s="115" t="s">
        <v>2754</v>
      </c>
      <c r="H118" s="125">
        <v>3</v>
      </c>
      <c r="I118" s="115" t="s">
        <v>2753</v>
      </c>
      <c r="J118" s="115" t="s">
        <v>2589</v>
      </c>
      <c r="K118" s="114" t="s">
        <v>2288</v>
      </c>
      <c r="L118" s="115" t="s">
        <v>2752</v>
      </c>
      <c r="M118" s="115" t="s">
        <v>2751</v>
      </c>
    </row>
    <row r="119" spans="1:13" x14ac:dyDescent="0.25">
      <c r="A119" s="114">
        <v>118</v>
      </c>
      <c r="B119" s="114" t="s">
        <v>2646</v>
      </c>
      <c r="C119" s="114" t="s">
        <v>2584</v>
      </c>
      <c r="D119" s="114" t="s">
        <v>813</v>
      </c>
      <c r="E119" s="115" t="s">
        <v>2746</v>
      </c>
      <c r="F119" s="115" t="s">
        <v>2378</v>
      </c>
      <c r="G119" s="115" t="s">
        <v>2745</v>
      </c>
      <c r="H119" s="125">
        <v>4</v>
      </c>
      <c r="I119" s="115" t="s">
        <v>2744</v>
      </c>
      <c r="J119" s="115" t="s">
        <v>2582</v>
      </c>
      <c r="K119" s="114" t="s">
        <v>2288</v>
      </c>
      <c r="L119" s="115" t="s">
        <v>2750</v>
      </c>
      <c r="M119" s="115" t="s">
        <v>2742</v>
      </c>
    </row>
    <row r="120" spans="1:13" x14ac:dyDescent="0.25">
      <c r="A120" s="114">
        <v>119</v>
      </c>
      <c r="B120" s="114" t="s">
        <v>2646</v>
      </c>
      <c r="C120" s="114" t="s">
        <v>2749</v>
      </c>
      <c r="D120" s="114" t="s">
        <v>813</v>
      </c>
      <c r="E120" s="115" t="s">
        <v>2746</v>
      </c>
      <c r="F120" s="115" t="s">
        <v>2378</v>
      </c>
      <c r="G120" s="115" t="s">
        <v>2745</v>
      </c>
      <c r="H120" s="125">
        <v>4</v>
      </c>
      <c r="I120" s="115" t="s">
        <v>2744</v>
      </c>
      <c r="J120" s="115" t="s">
        <v>2582</v>
      </c>
      <c r="K120" s="114" t="s">
        <v>2285</v>
      </c>
      <c r="L120" s="115" t="s">
        <v>2748</v>
      </c>
      <c r="M120" s="115" t="s">
        <v>2742</v>
      </c>
    </row>
    <row r="121" spans="1:13" x14ac:dyDescent="0.25">
      <c r="A121" s="114">
        <v>120</v>
      </c>
      <c r="B121" s="114" t="s">
        <v>2646</v>
      </c>
      <c r="C121" s="114" t="s">
        <v>2747</v>
      </c>
      <c r="D121" s="114" t="s">
        <v>813</v>
      </c>
      <c r="E121" s="115" t="s">
        <v>2746</v>
      </c>
      <c r="F121" s="115" t="s">
        <v>2378</v>
      </c>
      <c r="G121" s="115" t="s">
        <v>2745</v>
      </c>
      <c r="H121" s="125">
        <v>4</v>
      </c>
      <c r="I121" s="115" t="s">
        <v>2744</v>
      </c>
      <c r="J121" s="115" t="s">
        <v>2582</v>
      </c>
      <c r="K121" s="114" t="s">
        <v>2276</v>
      </c>
      <c r="L121" s="115" t="s">
        <v>2743</v>
      </c>
      <c r="M121" s="115" t="s">
        <v>2742</v>
      </c>
    </row>
    <row r="122" spans="1:13" x14ac:dyDescent="0.25">
      <c r="A122" s="114">
        <v>121</v>
      </c>
      <c r="B122" s="114" t="s">
        <v>2646</v>
      </c>
      <c r="C122" s="114" t="s">
        <v>2579</v>
      </c>
      <c r="D122" s="114" t="s">
        <v>2528</v>
      </c>
      <c r="E122" s="115" t="s">
        <v>2728</v>
      </c>
      <c r="F122" s="115" t="s">
        <v>2728</v>
      </c>
      <c r="G122" s="115" t="s">
        <v>2737</v>
      </c>
      <c r="H122" s="125">
        <v>5</v>
      </c>
      <c r="I122" s="115" t="s">
        <v>2741</v>
      </c>
      <c r="J122" s="115" t="s">
        <v>2571</v>
      </c>
      <c r="K122" s="114" t="s">
        <v>2288</v>
      </c>
      <c r="L122" s="115" t="s">
        <v>2740</v>
      </c>
      <c r="M122" s="115" t="s">
        <v>2739</v>
      </c>
    </row>
    <row r="123" spans="1:13" x14ac:dyDescent="0.25">
      <c r="A123" s="114">
        <v>122</v>
      </c>
      <c r="B123" s="114" t="s">
        <v>2646</v>
      </c>
      <c r="C123" s="114" t="s">
        <v>2568</v>
      </c>
      <c r="D123" s="114" t="s">
        <v>2528</v>
      </c>
      <c r="E123" s="115" t="s">
        <v>2728</v>
      </c>
      <c r="F123" s="115" t="s">
        <v>2728</v>
      </c>
      <c r="G123" s="115" t="s">
        <v>2737</v>
      </c>
      <c r="H123" s="125">
        <v>6</v>
      </c>
      <c r="I123" s="115" t="s">
        <v>2736</v>
      </c>
      <c r="J123" s="115" t="s">
        <v>2557</v>
      </c>
      <c r="K123" s="114" t="s">
        <v>2288</v>
      </c>
      <c r="L123" s="115" t="s">
        <v>2738</v>
      </c>
      <c r="M123" s="115" t="s">
        <v>2734</v>
      </c>
    </row>
    <row r="124" spans="1:13" x14ac:dyDescent="0.25">
      <c r="A124" s="114">
        <v>123</v>
      </c>
      <c r="B124" s="114" t="s">
        <v>2646</v>
      </c>
      <c r="C124" s="114" t="s">
        <v>2565</v>
      </c>
      <c r="D124" s="114" t="s">
        <v>2528</v>
      </c>
      <c r="E124" s="115" t="s">
        <v>2728</v>
      </c>
      <c r="F124" s="115" t="s">
        <v>2728</v>
      </c>
      <c r="G124" s="115" t="s">
        <v>2737</v>
      </c>
      <c r="H124" s="125">
        <v>6</v>
      </c>
      <c r="I124" s="115" t="s">
        <v>2736</v>
      </c>
      <c r="J124" s="115" t="s">
        <v>2557</v>
      </c>
      <c r="K124" s="114" t="s">
        <v>2285</v>
      </c>
      <c r="L124" s="115" t="s">
        <v>2735</v>
      </c>
      <c r="M124" s="115" t="s">
        <v>2734</v>
      </c>
    </row>
    <row r="125" spans="1:13" x14ac:dyDescent="0.25">
      <c r="A125" s="114">
        <v>124</v>
      </c>
      <c r="B125" s="114" t="s">
        <v>2646</v>
      </c>
      <c r="C125" s="114" t="s">
        <v>2554</v>
      </c>
      <c r="D125" s="114" t="s">
        <v>2528</v>
      </c>
      <c r="E125" s="115" t="s">
        <v>2728</v>
      </c>
      <c r="F125" s="115" t="s">
        <v>2728</v>
      </c>
      <c r="G125" s="115" t="s">
        <v>2727</v>
      </c>
      <c r="H125" s="125">
        <v>7</v>
      </c>
      <c r="I125" s="115" t="s">
        <v>2731</v>
      </c>
      <c r="J125" s="115" t="s">
        <v>2546</v>
      </c>
      <c r="K125" s="114" t="s">
        <v>2288</v>
      </c>
      <c r="L125" s="115" t="s">
        <v>2733</v>
      </c>
      <c r="M125" s="115" t="s">
        <v>2729</v>
      </c>
    </row>
    <row r="126" spans="1:13" x14ac:dyDescent="0.25">
      <c r="A126" s="114">
        <v>125</v>
      </c>
      <c r="B126" s="114" t="s">
        <v>2646</v>
      </c>
      <c r="C126" s="114" t="s">
        <v>2552</v>
      </c>
      <c r="D126" s="114" t="s">
        <v>2528</v>
      </c>
      <c r="E126" s="115" t="s">
        <v>2728</v>
      </c>
      <c r="F126" s="115" t="s">
        <v>2728</v>
      </c>
      <c r="G126" s="115" t="s">
        <v>2727</v>
      </c>
      <c r="H126" s="125">
        <v>7</v>
      </c>
      <c r="I126" s="115" t="s">
        <v>2731</v>
      </c>
      <c r="J126" s="115" t="s">
        <v>2546</v>
      </c>
      <c r="K126" s="114" t="s">
        <v>2285</v>
      </c>
      <c r="L126" s="115" t="s">
        <v>2732</v>
      </c>
      <c r="M126" s="115" t="s">
        <v>2729</v>
      </c>
    </row>
    <row r="127" spans="1:13" x14ac:dyDescent="0.25">
      <c r="A127" s="114">
        <v>126</v>
      </c>
      <c r="B127" s="114" t="s">
        <v>2646</v>
      </c>
      <c r="C127" s="114" t="s">
        <v>2549</v>
      </c>
      <c r="D127" s="114" t="s">
        <v>2528</v>
      </c>
      <c r="E127" s="115" t="s">
        <v>2728</v>
      </c>
      <c r="F127" s="115" t="s">
        <v>2728</v>
      </c>
      <c r="G127" s="115" t="s">
        <v>2727</v>
      </c>
      <c r="H127" s="125">
        <v>7</v>
      </c>
      <c r="I127" s="115" t="s">
        <v>2731</v>
      </c>
      <c r="J127" s="115" t="s">
        <v>2546</v>
      </c>
      <c r="K127" s="114" t="s">
        <v>2276</v>
      </c>
      <c r="L127" s="115" t="s">
        <v>2730</v>
      </c>
      <c r="M127" s="115" t="s">
        <v>2729</v>
      </c>
    </row>
    <row r="128" spans="1:13" x14ac:dyDescent="0.25">
      <c r="A128" s="114">
        <v>127</v>
      </c>
      <c r="B128" s="114" t="s">
        <v>2646</v>
      </c>
      <c r="C128" s="114" t="s">
        <v>2542</v>
      </c>
      <c r="D128" s="114" t="s">
        <v>2528</v>
      </c>
      <c r="E128" s="115" t="s">
        <v>2728</v>
      </c>
      <c r="F128" s="115" t="s">
        <v>2728</v>
      </c>
      <c r="G128" s="115" t="s">
        <v>2727</v>
      </c>
      <c r="H128" s="125">
        <v>8</v>
      </c>
      <c r="I128" s="115" t="s">
        <v>2726</v>
      </c>
      <c r="J128" s="115" t="s">
        <v>2537</v>
      </c>
      <c r="K128" s="114" t="s">
        <v>2288</v>
      </c>
      <c r="L128" s="115" t="s">
        <v>2725</v>
      </c>
      <c r="M128" s="115" t="s">
        <v>2724</v>
      </c>
    </row>
    <row r="129" spans="1:13" x14ac:dyDescent="0.25">
      <c r="A129" s="114">
        <v>128</v>
      </c>
      <c r="B129" s="114" t="s">
        <v>2646</v>
      </c>
      <c r="C129" s="114" t="s">
        <v>2534</v>
      </c>
      <c r="D129" s="114" t="s">
        <v>360</v>
      </c>
      <c r="E129" s="115" t="s">
        <v>2703</v>
      </c>
      <c r="F129" s="115" t="s">
        <v>2703</v>
      </c>
      <c r="G129" s="115" t="s">
        <v>2711</v>
      </c>
      <c r="H129" s="125">
        <v>9</v>
      </c>
      <c r="I129" s="115" t="s">
        <v>2710</v>
      </c>
      <c r="J129" s="115" t="s">
        <v>2532</v>
      </c>
      <c r="K129" s="114" t="s">
        <v>2288</v>
      </c>
      <c r="L129" s="115" t="s">
        <v>2723</v>
      </c>
      <c r="M129" s="115" t="s">
        <v>2708</v>
      </c>
    </row>
    <row r="130" spans="1:13" x14ac:dyDescent="0.25">
      <c r="A130" s="114">
        <v>129</v>
      </c>
      <c r="B130" s="114" t="s">
        <v>2646</v>
      </c>
      <c r="C130" s="114" t="s">
        <v>2722</v>
      </c>
      <c r="D130" s="114" t="s">
        <v>360</v>
      </c>
      <c r="E130" s="115" t="s">
        <v>2703</v>
      </c>
      <c r="F130" s="115" t="s">
        <v>2703</v>
      </c>
      <c r="G130" s="115" t="s">
        <v>2711</v>
      </c>
      <c r="H130" s="125">
        <v>9</v>
      </c>
      <c r="I130" s="115" t="s">
        <v>2710</v>
      </c>
      <c r="J130" s="115" t="s">
        <v>2532</v>
      </c>
      <c r="K130" s="114" t="s">
        <v>2285</v>
      </c>
      <c r="L130" s="115" t="s">
        <v>2721</v>
      </c>
      <c r="M130" s="115" t="s">
        <v>2708</v>
      </c>
    </row>
    <row r="131" spans="1:13" x14ac:dyDescent="0.25">
      <c r="A131" s="114">
        <v>130</v>
      </c>
      <c r="B131" s="114" t="s">
        <v>2646</v>
      </c>
      <c r="C131" s="114" t="s">
        <v>2720</v>
      </c>
      <c r="D131" s="114" t="s">
        <v>360</v>
      </c>
      <c r="E131" s="115" t="s">
        <v>2703</v>
      </c>
      <c r="F131" s="115" t="s">
        <v>2703</v>
      </c>
      <c r="G131" s="115" t="s">
        <v>2711</v>
      </c>
      <c r="H131" s="125">
        <v>9</v>
      </c>
      <c r="I131" s="115" t="s">
        <v>2710</v>
      </c>
      <c r="J131" s="115" t="s">
        <v>2532</v>
      </c>
      <c r="K131" s="114" t="s">
        <v>2276</v>
      </c>
      <c r="L131" s="115" t="s">
        <v>2719</v>
      </c>
      <c r="M131" s="115" t="s">
        <v>2708</v>
      </c>
    </row>
    <row r="132" spans="1:13" x14ac:dyDescent="0.25">
      <c r="A132" s="114">
        <v>131</v>
      </c>
      <c r="B132" s="114" t="s">
        <v>2646</v>
      </c>
      <c r="C132" s="114" t="s">
        <v>2718</v>
      </c>
      <c r="D132" s="114" t="s">
        <v>360</v>
      </c>
      <c r="E132" s="115" t="s">
        <v>2703</v>
      </c>
      <c r="F132" s="115" t="s">
        <v>2703</v>
      </c>
      <c r="G132" s="115" t="s">
        <v>2711</v>
      </c>
      <c r="H132" s="125">
        <v>9</v>
      </c>
      <c r="I132" s="115" t="s">
        <v>2710</v>
      </c>
      <c r="J132" s="115" t="s">
        <v>2532</v>
      </c>
      <c r="K132" s="114" t="s">
        <v>2313</v>
      </c>
      <c r="L132" s="115" t="s">
        <v>2717</v>
      </c>
      <c r="M132" s="115" t="s">
        <v>2708</v>
      </c>
    </row>
    <row r="133" spans="1:13" x14ac:dyDescent="0.25">
      <c r="A133" s="114">
        <v>132</v>
      </c>
      <c r="B133" s="114" t="s">
        <v>2646</v>
      </c>
      <c r="C133" s="114" t="s">
        <v>2716</v>
      </c>
      <c r="D133" s="114" t="s">
        <v>360</v>
      </c>
      <c r="E133" s="115" t="s">
        <v>2703</v>
      </c>
      <c r="F133" s="115" t="s">
        <v>2703</v>
      </c>
      <c r="G133" s="115" t="s">
        <v>2711</v>
      </c>
      <c r="H133" s="125">
        <v>9</v>
      </c>
      <c r="I133" s="115" t="s">
        <v>2710</v>
      </c>
      <c r="J133" s="115" t="s">
        <v>2532</v>
      </c>
      <c r="K133" s="114" t="s">
        <v>2306</v>
      </c>
      <c r="L133" s="115" t="s">
        <v>2715</v>
      </c>
      <c r="M133" s="115" t="s">
        <v>2708</v>
      </c>
    </row>
    <row r="134" spans="1:13" x14ac:dyDescent="0.25">
      <c r="A134" s="114">
        <v>133</v>
      </c>
      <c r="B134" s="114" t="s">
        <v>2646</v>
      </c>
      <c r="C134" s="114" t="s">
        <v>2714</v>
      </c>
      <c r="D134" s="114" t="s">
        <v>360</v>
      </c>
      <c r="E134" s="115" t="s">
        <v>2703</v>
      </c>
      <c r="F134" s="115" t="s">
        <v>2703</v>
      </c>
      <c r="G134" s="115" t="s">
        <v>2711</v>
      </c>
      <c r="H134" s="125">
        <v>9</v>
      </c>
      <c r="I134" s="115" t="s">
        <v>2710</v>
      </c>
      <c r="J134" s="115" t="s">
        <v>2532</v>
      </c>
      <c r="K134" s="114" t="s">
        <v>2422</v>
      </c>
      <c r="L134" s="115" t="s">
        <v>2713</v>
      </c>
      <c r="M134" s="115" t="s">
        <v>2708</v>
      </c>
    </row>
    <row r="135" spans="1:13" x14ac:dyDescent="0.25">
      <c r="A135" s="114">
        <v>134</v>
      </c>
      <c r="B135" s="114" t="s">
        <v>2646</v>
      </c>
      <c r="C135" s="114" t="s">
        <v>2712</v>
      </c>
      <c r="D135" s="114" t="s">
        <v>360</v>
      </c>
      <c r="E135" s="115" t="s">
        <v>2703</v>
      </c>
      <c r="F135" s="115" t="s">
        <v>2703</v>
      </c>
      <c r="G135" s="115" t="s">
        <v>2711</v>
      </c>
      <c r="H135" s="125">
        <v>9</v>
      </c>
      <c r="I135" s="115" t="s">
        <v>2710</v>
      </c>
      <c r="J135" s="115" t="s">
        <v>2532</v>
      </c>
      <c r="K135" s="114" t="s">
        <v>2462</v>
      </c>
      <c r="L135" s="115" t="s">
        <v>2709</v>
      </c>
      <c r="M135" s="115" t="s">
        <v>2708</v>
      </c>
    </row>
    <row r="136" spans="1:13" x14ac:dyDescent="0.25">
      <c r="A136" s="114">
        <v>135</v>
      </c>
      <c r="B136" s="114" t="s">
        <v>2646</v>
      </c>
      <c r="C136" s="114" t="s">
        <v>2529</v>
      </c>
      <c r="D136" s="114" t="s">
        <v>360</v>
      </c>
      <c r="E136" s="115" t="s">
        <v>2703</v>
      </c>
      <c r="F136" s="115" t="s">
        <v>2703</v>
      </c>
      <c r="G136" s="115" t="s">
        <v>2702</v>
      </c>
      <c r="H136" s="125">
        <v>10</v>
      </c>
      <c r="I136" s="115" t="s">
        <v>2701</v>
      </c>
      <c r="J136" s="115" t="s">
        <v>2523</v>
      </c>
      <c r="K136" s="114" t="s">
        <v>2288</v>
      </c>
      <c r="L136" s="115" t="s">
        <v>2707</v>
      </c>
      <c r="M136" s="115" t="s">
        <v>2699</v>
      </c>
    </row>
    <row r="137" spans="1:13" x14ac:dyDescent="0.25">
      <c r="A137" s="114">
        <v>136</v>
      </c>
      <c r="B137" s="114" t="s">
        <v>2646</v>
      </c>
      <c r="C137" s="114" t="s">
        <v>2706</v>
      </c>
      <c r="D137" s="114" t="s">
        <v>360</v>
      </c>
      <c r="E137" s="115" t="s">
        <v>2703</v>
      </c>
      <c r="F137" s="115" t="s">
        <v>2703</v>
      </c>
      <c r="G137" s="115" t="s">
        <v>2702</v>
      </c>
      <c r="H137" s="125">
        <v>10</v>
      </c>
      <c r="I137" s="115" t="s">
        <v>2701</v>
      </c>
      <c r="J137" s="115" t="s">
        <v>2523</v>
      </c>
      <c r="K137" s="114" t="s">
        <v>2285</v>
      </c>
      <c r="L137" s="115" t="s">
        <v>2705</v>
      </c>
      <c r="M137" s="115" t="s">
        <v>2699</v>
      </c>
    </row>
    <row r="138" spans="1:13" x14ac:dyDescent="0.25">
      <c r="A138" s="114">
        <v>137</v>
      </c>
      <c r="B138" s="114" t="s">
        <v>2646</v>
      </c>
      <c r="C138" s="114" t="s">
        <v>2704</v>
      </c>
      <c r="D138" s="114" t="s">
        <v>360</v>
      </c>
      <c r="E138" s="115" t="s">
        <v>2703</v>
      </c>
      <c r="F138" s="115" t="s">
        <v>2703</v>
      </c>
      <c r="G138" s="115" t="s">
        <v>2702</v>
      </c>
      <c r="H138" s="125">
        <v>10</v>
      </c>
      <c r="I138" s="115" t="s">
        <v>2701</v>
      </c>
      <c r="J138" s="115" t="s">
        <v>2523</v>
      </c>
      <c r="K138" s="114" t="s">
        <v>2276</v>
      </c>
      <c r="L138" s="115" t="s">
        <v>2700</v>
      </c>
      <c r="M138" s="115" t="s">
        <v>2699</v>
      </c>
    </row>
    <row r="139" spans="1:13" x14ac:dyDescent="0.25">
      <c r="A139" s="114">
        <v>138</v>
      </c>
      <c r="B139" s="114" t="s">
        <v>2646</v>
      </c>
      <c r="C139" s="114" t="s">
        <v>2519</v>
      </c>
      <c r="D139" s="114" t="s">
        <v>419</v>
      </c>
      <c r="E139" s="115" t="s">
        <v>2667</v>
      </c>
      <c r="F139" s="115" t="s">
        <v>2666</v>
      </c>
      <c r="G139" s="115" t="s">
        <v>2692</v>
      </c>
      <c r="H139" s="125">
        <v>11</v>
      </c>
      <c r="I139" s="115" t="s">
        <v>2691</v>
      </c>
      <c r="J139" s="115" t="s">
        <v>2516</v>
      </c>
      <c r="K139" s="114" t="s">
        <v>2288</v>
      </c>
      <c r="L139" s="115" t="s">
        <v>2698</v>
      </c>
      <c r="M139" s="115" t="s">
        <v>2689</v>
      </c>
    </row>
    <row r="140" spans="1:13" x14ac:dyDescent="0.25">
      <c r="A140" s="114">
        <v>139</v>
      </c>
      <c r="B140" s="114" t="s">
        <v>2646</v>
      </c>
      <c r="C140" s="114" t="s">
        <v>2697</v>
      </c>
      <c r="D140" s="114" t="s">
        <v>419</v>
      </c>
      <c r="E140" s="115" t="s">
        <v>2667</v>
      </c>
      <c r="F140" s="115" t="s">
        <v>2666</v>
      </c>
      <c r="G140" s="115" t="s">
        <v>2692</v>
      </c>
      <c r="H140" s="125">
        <v>11</v>
      </c>
      <c r="I140" s="115" t="s">
        <v>2691</v>
      </c>
      <c r="J140" s="115" t="s">
        <v>2516</v>
      </c>
      <c r="K140" s="114" t="s">
        <v>2285</v>
      </c>
      <c r="L140" s="115" t="s">
        <v>2696</v>
      </c>
      <c r="M140" s="115" t="s">
        <v>2689</v>
      </c>
    </row>
    <row r="141" spans="1:13" x14ac:dyDescent="0.25">
      <c r="A141" s="114">
        <v>140</v>
      </c>
      <c r="B141" s="114" t="s">
        <v>2646</v>
      </c>
      <c r="C141" s="114" t="s">
        <v>2695</v>
      </c>
      <c r="D141" s="114" t="s">
        <v>419</v>
      </c>
      <c r="E141" s="115" t="s">
        <v>2667</v>
      </c>
      <c r="F141" s="115" t="s">
        <v>2666</v>
      </c>
      <c r="G141" s="115" t="s">
        <v>2692</v>
      </c>
      <c r="H141" s="125">
        <v>11</v>
      </c>
      <c r="I141" s="115" t="s">
        <v>2691</v>
      </c>
      <c r="J141" s="115" t="s">
        <v>2516</v>
      </c>
      <c r="K141" s="114" t="s">
        <v>2276</v>
      </c>
      <c r="L141" s="115" t="s">
        <v>2694</v>
      </c>
      <c r="M141" s="115" t="s">
        <v>2689</v>
      </c>
    </row>
    <row r="142" spans="1:13" x14ac:dyDescent="0.25">
      <c r="A142" s="114">
        <v>141</v>
      </c>
      <c r="B142" s="114" t="s">
        <v>2646</v>
      </c>
      <c r="C142" s="114" t="s">
        <v>2693</v>
      </c>
      <c r="D142" s="114" t="s">
        <v>419</v>
      </c>
      <c r="E142" s="115" t="s">
        <v>2667</v>
      </c>
      <c r="F142" s="115" t="s">
        <v>2666</v>
      </c>
      <c r="G142" s="115" t="s">
        <v>2692</v>
      </c>
      <c r="H142" s="125">
        <v>11</v>
      </c>
      <c r="I142" s="115" t="s">
        <v>2691</v>
      </c>
      <c r="J142" s="115" t="s">
        <v>2516</v>
      </c>
      <c r="K142" s="114" t="s">
        <v>2313</v>
      </c>
      <c r="L142" s="115" t="s">
        <v>2690</v>
      </c>
      <c r="M142" s="115" t="s">
        <v>2689</v>
      </c>
    </row>
    <row r="143" spans="1:13" x14ac:dyDescent="0.25">
      <c r="A143" s="114">
        <v>142</v>
      </c>
      <c r="B143" s="114" t="s">
        <v>2646</v>
      </c>
      <c r="C143" s="114" t="s">
        <v>2512</v>
      </c>
      <c r="D143" s="114" t="s">
        <v>419</v>
      </c>
      <c r="E143" s="115" t="s">
        <v>2667</v>
      </c>
      <c r="F143" s="115" t="s">
        <v>2666</v>
      </c>
      <c r="G143" s="115" t="s">
        <v>2674</v>
      </c>
      <c r="H143" s="125">
        <v>12</v>
      </c>
      <c r="I143" s="115" t="s">
        <v>2684</v>
      </c>
      <c r="J143" s="115" t="s">
        <v>2510</v>
      </c>
      <c r="K143" s="114" t="s">
        <v>2288</v>
      </c>
      <c r="L143" s="115" t="s">
        <v>2688</v>
      </c>
      <c r="M143" s="115" t="s">
        <v>2682</v>
      </c>
    </row>
    <row r="144" spans="1:13" x14ac:dyDescent="0.25">
      <c r="A144" s="114">
        <v>143</v>
      </c>
      <c r="B144" s="114" t="s">
        <v>2646</v>
      </c>
      <c r="C144" s="114" t="s">
        <v>2687</v>
      </c>
      <c r="D144" s="114" t="s">
        <v>419</v>
      </c>
      <c r="E144" s="115" t="s">
        <v>2667</v>
      </c>
      <c r="F144" s="115" t="s">
        <v>2666</v>
      </c>
      <c r="G144" s="115" t="s">
        <v>2674</v>
      </c>
      <c r="H144" s="125">
        <v>12</v>
      </c>
      <c r="I144" s="115" t="s">
        <v>2684</v>
      </c>
      <c r="J144" s="115" t="s">
        <v>2510</v>
      </c>
      <c r="K144" s="114" t="s">
        <v>2285</v>
      </c>
      <c r="L144" s="115" t="s">
        <v>2686</v>
      </c>
      <c r="M144" s="115" t="s">
        <v>2682</v>
      </c>
    </row>
    <row r="145" spans="1:13" x14ac:dyDescent="0.25">
      <c r="A145" s="114">
        <v>144</v>
      </c>
      <c r="B145" s="114" t="s">
        <v>2646</v>
      </c>
      <c r="C145" s="114" t="s">
        <v>2685</v>
      </c>
      <c r="D145" s="114" t="s">
        <v>419</v>
      </c>
      <c r="E145" s="115" t="s">
        <v>2667</v>
      </c>
      <c r="F145" s="115" t="s">
        <v>2666</v>
      </c>
      <c r="G145" s="115" t="s">
        <v>2674</v>
      </c>
      <c r="H145" s="125">
        <v>12</v>
      </c>
      <c r="I145" s="115" t="s">
        <v>2684</v>
      </c>
      <c r="J145" s="115" t="s">
        <v>2510</v>
      </c>
      <c r="K145" s="114" t="s">
        <v>2276</v>
      </c>
      <c r="L145" s="115" t="s">
        <v>2683</v>
      </c>
      <c r="M145" s="115" t="s">
        <v>2682</v>
      </c>
    </row>
    <row r="146" spans="1:13" x14ac:dyDescent="0.25">
      <c r="A146" s="114">
        <v>145</v>
      </c>
      <c r="B146" s="114" t="s">
        <v>2646</v>
      </c>
      <c r="C146" s="114" t="s">
        <v>2507</v>
      </c>
      <c r="D146" s="114" t="s">
        <v>419</v>
      </c>
      <c r="E146" s="115" t="s">
        <v>2667</v>
      </c>
      <c r="F146" s="115" t="s">
        <v>2666</v>
      </c>
      <c r="G146" s="115" t="s">
        <v>2674</v>
      </c>
      <c r="H146" s="125">
        <v>13</v>
      </c>
      <c r="I146" s="115" t="s">
        <v>2680</v>
      </c>
      <c r="J146" s="115" t="s">
        <v>2493</v>
      </c>
      <c r="K146" s="114" t="s">
        <v>2288</v>
      </c>
      <c r="L146" s="115" t="s">
        <v>2681</v>
      </c>
      <c r="M146" s="115" t="s">
        <v>2678</v>
      </c>
    </row>
    <row r="147" spans="1:13" x14ac:dyDescent="0.25">
      <c r="A147" s="114">
        <v>146</v>
      </c>
      <c r="B147" s="114" t="s">
        <v>2646</v>
      </c>
      <c r="C147" s="114" t="s">
        <v>2505</v>
      </c>
      <c r="D147" s="114" t="s">
        <v>419</v>
      </c>
      <c r="E147" s="115" t="s">
        <v>2667</v>
      </c>
      <c r="F147" s="115" t="s">
        <v>2666</v>
      </c>
      <c r="G147" s="115" t="s">
        <v>2674</v>
      </c>
      <c r="H147" s="125">
        <v>13</v>
      </c>
      <c r="I147" s="115" t="s">
        <v>2680</v>
      </c>
      <c r="J147" s="115" t="s">
        <v>2493</v>
      </c>
      <c r="K147" s="114" t="s">
        <v>2285</v>
      </c>
      <c r="L147" s="115" t="s">
        <v>2679</v>
      </c>
      <c r="M147" s="115" t="s">
        <v>2678</v>
      </c>
    </row>
    <row r="148" spans="1:13" x14ac:dyDescent="0.25">
      <c r="A148" s="114">
        <v>147</v>
      </c>
      <c r="B148" s="114" t="s">
        <v>2646</v>
      </c>
      <c r="C148" s="114" t="s">
        <v>2489</v>
      </c>
      <c r="D148" s="114" t="s">
        <v>419</v>
      </c>
      <c r="E148" s="115" t="s">
        <v>2667</v>
      </c>
      <c r="F148" s="115" t="s">
        <v>2666</v>
      </c>
      <c r="G148" s="115" t="s">
        <v>2674</v>
      </c>
      <c r="H148" s="125">
        <v>14</v>
      </c>
      <c r="I148" s="115" t="s">
        <v>2673</v>
      </c>
      <c r="J148" s="115" t="s">
        <v>2484</v>
      </c>
      <c r="K148" s="114" t="s">
        <v>2288</v>
      </c>
      <c r="L148" s="115" t="s">
        <v>2677</v>
      </c>
      <c r="M148" s="115" t="s">
        <v>2671</v>
      </c>
    </row>
    <row r="149" spans="1:13" x14ac:dyDescent="0.25">
      <c r="A149" s="114">
        <v>148</v>
      </c>
      <c r="B149" s="114" t="s">
        <v>2646</v>
      </c>
      <c r="C149" s="114" t="s">
        <v>2486</v>
      </c>
      <c r="D149" s="114" t="s">
        <v>419</v>
      </c>
      <c r="E149" s="115" t="s">
        <v>2667</v>
      </c>
      <c r="F149" s="115" t="s">
        <v>2666</v>
      </c>
      <c r="G149" s="115" t="s">
        <v>2674</v>
      </c>
      <c r="H149" s="125">
        <v>14</v>
      </c>
      <c r="I149" s="115" t="s">
        <v>2673</v>
      </c>
      <c r="J149" s="115" t="s">
        <v>2484</v>
      </c>
      <c r="K149" s="114" t="s">
        <v>2285</v>
      </c>
      <c r="L149" s="115" t="s">
        <v>2676</v>
      </c>
      <c r="M149" s="115" t="s">
        <v>2671</v>
      </c>
    </row>
    <row r="150" spans="1:13" x14ac:dyDescent="0.25">
      <c r="A150" s="114">
        <v>149</v>
      </c>
      <c r="B150" s="114" t="s">
        <v>2646</v>
      </c>
      <c r="C150" s="114" t="s">
        <v>2675</v>
      </c>
      <c r="D150" s="114" t="s">
        <v>419</v>
      </c>
      <c r="E150" s="115" t="s">
        <v>2667</v>
      </c>
      <c r="F150" s="115" t="s">
        <v>2666</v>
      </c>
      <c r="G150" s="115" t="s">
        <v>2674</v>
      </c>
      <c r="H150" s="125">
        <v>14</v>
      </c>
      <c r="I150" s="115" t="s">
        <v>2673</v>
      </c>
      <c r="J150" s="115" t="s">
        <v>2484</v>
      </c>
      <c r="K150" s="114" t="s">
        <v>2276</v>
      </c>
      <c r="L150" s="115" t="s">
        <v>2672</v>
      </c>
      <c r="M150" s="115" t="s">
        <v>2671</v>
      </c>
    </row>
    <row r="151" spans="1:13" x14ac:dyDescent="0.25">
      <c r="A151" s="114">
        <v>150</v>
      </c>
      <c r="B151" s="114" t="s">
        <v>2646</v>
      </c>
      <c r="C151" s="114" t="s">
        <v>2481</v>
      </c>
      <c r="D151" s="114" t="s">
        <v>419</v>
      </c>
      <c r="E151" s="115" t="s">
        <v>2667</v>
      </c>
      <c r="F151" s="115" t="s">
        <v>2666</v>
      </c>
      <c r="G151" s="115" t="s">
        <v>2665</v>
      </c>
      <c r="H151" s="125">
        <v>15</v>
      </c>
      <c r="I151" s="115" t="s">
        <v>2664</v>
      </c>
      <c r="J151" s="115" t="s">
        <v>2456</v>
      </c>
      <c r="K151" s="114" t="s">
        <v>2288</v>
      </c>
      <c r="L151" s="115" t="s">
        <v>2670</v>
      </c>
      <c r="M151" s="115" t="s">
        <v>2662</v>
      </c>
    </row>
    <row r="152" spans="1:13" x14ac:dyDescent="0.25">
      <c r="A152" s="114">
        <v>151</v>
      </c>
      <c r="B152" s="114" t="s">
        <v>2646</v>
      </c>
      <c r="C152" s="114" t="s">
        <v>2478</v>
      </c>
      <c r="D152" s="114" t="s">
        <v>419</v>
      </c>
      <c r="E152" s="115" t="s">
        <v>2667</v>
      </c>
      <c r="F152" s="115" t="s">
        <v>2666</v>
      </c>
      <c r="G152" s="115" t="s">
        <v>2665</v>
      </c>
      <c r="H152" s="125">
        <v>15</v>
      </c>
      <c r="I152" s="115" t="s">
        <v>2664</v>
      </c>
      <c r="J152" s="115" t="s">
        <v>2456</v>
      </c>
      <c r="K152" s="114" t="s">
        <v>2285</v>
      </c>
      <c r="L152" s="115" t="s">
        <v>2669</v>
      </c>
      <c r="M152" s="115" t="s">
        <v>2662</v>
      </c>
    </row>
    <row r="153" spans="1:13" x14ac:dyDescent="0.25">
      <c r="A153" s="114">
        <v>152</v>
      </c>
      <c r="B153" s="114" t="s">
        <v>2646</v>
      </c>
      <c r="C153" s="114" t="s">
        <v>2475</v>
      </c>
      <c r="D153" s="114" t="s">
        <v>419</v>
      </c>
      <c r="E153" s="115" t="s">
        <v>2667</v>
      </c>
      <c r="F153" s="115" t="s">
        <v>2666</v>
      </c>
      <c r="G153" s="115" t="s">
        <v>2665</v>
      </c>
      <c r="H153" s="125">
        <v>15</v>
      </c>
      <c r="I153" s="115" t="s">
        <v>2664</v>
      </c>
      <c r="J153" s="115" t="s">
        <v>2456</v>
      </c>
      <c r="K153" s="114" t="s">
        <v>2276</v>
      </c>
      <c r="L153" s="115" t="s">
        <v>2668</v>
      </c>
      <c r="M153" s="115" t="s">
        <v>2662</v>
      </c>
    </row>
    <row r="154" spans="1:13" x14ac:dyDescent="0.25">
      <c r="A154" s="114">
        <v>153</v>
      </c>
      <c r="B154" s="114" t="s">
        <v>2646</v>
      </c>
      <c r="C154" s="114" t="s">
        <v>2472</v>
      </c>
      <c r="D154" s="114" t="s">
        <v>419</v>
      </c>
      <c r="E154" s="115" t="s">
        <v>2667</v>
      </c>
      <c r="F154" s="115" t="s">
        <v>2666</v>
      </c>
      <c r="G154" s="115" t="s">
        <v>2665</v>
      </c>
      <c r="H154" s="125">
        <v>15</v>
      </c>
      <c r="I154" s="115" t="s">
        <v>2664</v>
      </c>
      <c r="J154" s="115" t="s">
        <v>2456</v>
      </c>
      <c r="K154" s="114" t="s">
        <v>2313</v>
      </c>
      <c r="L154" s="115" t="s">
        <v>2461</v>
      </c>
      <c r="M154" s="115" t="s">
        <v>2662</v>
      </c>
    </row>
    <row r="155" spans="1:13" x14ac:dyDescent="0.25">
      <c r="A155" s="114">
        <v>154</v>
      </c>
      <c r="B155" s="114" t="s">
        <v>2646</v>
      </c>
      <c r="C155" s="114" t="s">
        <v>2469</v>
      </c>
      <c r="D155" s="114" t="s">
        <v>419</v>
      </c>
      <c r="E155" s="115" t="s">
        <v>2667</v>
      </c>
      <c r="F155" s="115" t="s">
        <v>2666</v>
      </c>
      <c r="G155" s="115" t="s">
        <v>2665</v>
      </c>
      <c r="H155" s="125">
        <v>15</v>
      </c>
      <c r="I155" s="115" t="s">
        <v>2664</v>
      </c>
      <c r="J155" s="115" t="s">
        <v>2456</v>
      </c>
      <c r="K155" s="114" t="s">
        <v>2306</v>
      </c>
      <c r="L155" s="115" t="s">
        <v>2663</v>
      </c>
      <c r="M155" s="115" t="s">
        <v>2662</v>
      </c>
    </row>
    <row r="156" spans="1:13" x14ac:dyDescent="0.25">
      <c r="A156" s="114">
        <v>155</v>
      </c>
      <c r="B156" s="114" t="s">
        <v>2646</v>
      </c>
      <c r="C156" s="114" t="s">
        <v>2451</v>
      </c>
      <c r="D156" s="114" t="s">
        <v>2298</v>
      </c>
      <c r="E156" s="115" t="s">
        <v>2645</v>
      </c>
      <c r="F156" s="115" t="s">
        <v>2644</v>
      </c>
      <c r="G156" s="115" t="s">
        <v>2653</v>
      </c>
      <c r="H156" s="125">
        <v>16</v>
      </c>
      <c r="I156" s="115" t="s">
        <v>2659</v>
      </c>
      <c r="J156" s="115" t="s">
        <v>2449</v>
      </c>
      <c r="K156" s="114" t="s">
        <v>2288</v>
      </c>
      <c r="L156" s="115" t="s">
        <v>2661</v>
      </c>
      <c r="M156" s="115" t="s">
        <v>2657</v>
      </c>
    </row>
    <row r="157" spans="1:13" x14ac:dyDescent="0.25">
      <c r="A157" s="114">
        <v>156</v>
      </c>
      <c r="B157" s="114" t="s">
        <v>2646</v>
      </c>
      <c r="C157" s="114" t="s">
        <v>2660</v>
      </c>
      <c r="D157" s="114" t="s">
        <v>2298</v>
      </c>
      <c r="E157" s="115" t="s">
        <v>2645</v>
      </c>
      <c r="F157" s="115" t="s">
        <v>2644</v>
      </c>
      <c r="G157" s="115" t="s">
        <v>2653</v>
      </c>
      <c r="H157" s="125">
        <v>16</v>
      </c>
      <c r="I157" s="115" t="s">
        <v>2659</v>
      </c>
      <c r="J157" s="115" t="s">
        <v>2449</v>
      </c>
      <c r="K157" s="114" t="s">
        <v>2285</v>
      </c>
      <c r="L157" s="115" t="s">
        <v>2658</v>
      </c>
      <c r="M157" s="115" t="s">
        <v>2657</v>
      </c>
    </row>
    <row r="158" spans="1:13" x14ac:dyDescent="0.25">
      <c r="A158" s="114">
        <v>157</v>
      </c>
      <c r="B158" s="114" t="s">
        <v>2646</v>
      </c>
      <c r="C158" s="114" t="s">
        <v>2446</v>
      </c>
      <c r="D158" s="114" t="s">
        <v>2298</v>
      </c>
      <c r="E158" s="115" t="s">
        <v>2645</v>
      </c>
      <c r="F158" s="115" t="s">
        <v>2644</v>
      </c>
      <c r="G158" s="115" t="s">
        <v>2653</v>
      </c>
      <c r="H158" s="125">
        <v>17</v>
      </c>
      <c r="I158" s="115" t="s">
        <v>2656</v>
      </c>
      <c r="J158" s="115" t="s">
        <v>2444</v>
      </c>
      <c r="K158" s="114" t="s">
        <v>2288</v>
      </c>
      <c r="L158" s="115" t="s">
        <v>2655</v>
      </c>
      <c r="M158" s="115" t="s">
        <v>2654</v>
      </c>
    </row>
    <row r="159" spans="1:13" x14ac:dyDescent="0.25">
      <c r="A159" s="114">
        <v>158</v>
      </c>
      <c r="B159" s="114" t="s">
        <v>2646</v>
      </c>
      <c r="C159" s="114" t="s">
        <v>2441</v>
      </c>
      <c r="D159" s="114" t="s">
        <v>2298</v>
      </c>
      <c r="E159" s="115" t="s">
        <v>2645</v>
      </c>
      <c r="F159" s="115" t="s">
        <v>2644</v>
      </c>
      <c r="G159" s="115" t="s">
        <v>2653</v>
      </c>
      <c r="H159" s="125">
        <v>18</v>
      </c>
      <c r="I159" s="115" t="s">
        <v>2652</v>
      </c>
      <c r="J159" s="115" t="s">
        <v>2423</v>
      </c>
      <c r="K159" s="114" t="s">
        <v>2288</v>
      </c>
      <c r="L159" s="115" t="s">
        <v>2651</v>
      </c>
      <c r="M159" s="115" t="s">
        <v>2650</v>
      </c>
    </row>
    <row r="160" spans="1:13" x14ac:dyDescent="0.25">
      <c r="A160" s="114">
        <v>159</v>
      </c>
      <c r="B160" s="114" t="s">
        <v>2646</v>
      </c>
      <c r="C160" s="114" t="s">
        <v>2418</v>
      </c>
      <c r="D160" s="114" t="s">
        <v>2298</v>
      </c>
      <c r="E160" s="115" t="s">
        <v>2645</v>
      </c>
      <c r="F160" s="115" t="s">
        <v>2644</v>
      </c>
      <c r="G160" s="115" t="s">
        <v>2643</v>
      </c>
      <c r="H160" s="125">
        <v>19</v>
      </c>
      <c r="I160" s="115" t="s">
        <v>2649</v>
      </c>
      <c r="J160" s="115" t="s">
        <v>2414</v>
      </c>
      <c r="K160" s="114" t="s">
        <v>2288</v>
      </c>
      <c r="L160" s="115" t="s">
        <v>2648</v>
      </c>
      <c r="M160" s="115" t="s">
        <v>2647</v>
      </c>
    </row>
    <row r="161" spans="1:14" x14ac:dyDescent="0.25">
      <c r="A161" s="114">
        <v>160</v>
      </c>
      <c r="B161" s="114" t="s">
        <v>2646</v>
      </c>
      <c r="C161" s="114" t="s">
        <v>2411</v>
      </c>
      <c r="D161" s="114" t="s">
        <v>2298</v>
      </c>
      <c r="E161" s="115" t="s">
        <v>2645</v>
      </c>
      <c r="F161" s="115" t="s">
        <v>2644</v>
      </c>
      <c r="G161" s="115" t="s">
        <v>2643</v>
      </c>
      <c r="H161" s="125">
        <v>20</v>
      </c>
      <c r="I161" s="115" t="s">
        <v>2642</v>
      </c>
      <c r="J161" s="115" t="s">
        <v>2400</v>
      </c>
      <c r="K161" s="114" t="s">
        <v>2288</v>
      </c>
      <c r="L161" s="115" t="s">
        <v>2641</v>
      </c>
      <c r="M161" s="115" t="s">
        <v>2640</v>
      </c>
    </row>
    <row r="162" spans="1:14" x14ac:dyDescent="0.25">
      <c r="A162" s="114">
        <v>161</v>
      </c>
      <c r="B162" s="114" t="s">
        <v>2283</v>
      </c>
      <c r="C162" s="114" t="s">
        <v>2639</v>
      </c>
      <c r="D162" s="114" t="s">
        <v>813</v>
      </c>
      <c r="E162" s="115" t="s">
        <v>2638</v>
      </c>
      <c r="F162" s="115" t="s">
        <v>2637</v>
      </c>
      <c r="G162" s="115" t="s">
        <v>2636</v>
      </c>
      <c r="H162" s="125">
        <v>1</v>
      </c>
      <c r="I162" s="115" t="s">
        <v>2635</v>
      </c>
      <c r="J162" s="115" t="s">
        <v>2634</v>
      </c>
      <c r="K162" s="114" t="s">
        <v>2288</v>
      </c>
      <c r="L162" s="115" t="s">
        <v>2633</v>
      </c>
      <c r="M162" s="115" t="s">
        <v>2632</v>
      </c>
      <c r="N162" s="115" t="s">
        <v>2631</v>
      </c>
    </row>
    <row r="163" spans="1:14" x14ac:dyDescent="0.25">
      <c r="A163" s="114">
        <v>162</v>
      </c>
      <c r="B163" s="114" t="s">
        <v>2283</v>
      </c>
      <c r="C163" s="114" t="s">
        <v>2630</v>
      </c>
      <c r="D163" s="114" t="s">
        <v>2528</v>
      </c>
      <c r="E163" s="115" t="s">
        <v>2527</v>
      </c>
      <c r="F163" s="115" t="s">
        <v>2526</v>
      </c>
      <c r="G163" s="115" t="s">
        <v>2591</v>
      </c>
      <c r="H163" s="125">
        <v>2</v>
      </c>
      <c r="I163" s="115" t="s">
        <v>2629</v>
      </c>
      <c r="J163" s="115" t="s">
        <v>2628</v>
      </c>
      <c r="K163" s="114" t="s">
        <v>2288</v>
      </c>
      <c r="L163" s="115" t="s">
        <v>2627</v>
      </c>
      <c r="M163" s="115" t="s">
        <v>2586</v>
      </c>
      <c r="N163" s="115" t="s">
        <v>2626</v>
      </c>
    </row>
    <row r="164" spans="1:14" x14ac:dyDescent="0.25">
      <c r="A164" s="114">
        <v>163</v>
      </c>
      <c r="B164" s="114" t="s">
        <v>2283</v>
      </c>
      <c r="C164" s="114" t="s">
        <v>2625</v>
      </c>
      <c r="D164" s="114" t="s">
        <v>2528</v>
      </c>
      <c r="E164" s="115" t="s">
        <v>2527</v>
      </c>
      <c r="F164" s="115" t="s">
        <v>2526</v>
      </c>
      <c r="G164" s="115" t="s">
        <v>2591</v>
      </c>
      <c r="H164" s="125">
        <v>3</v>
      </c>
      <c r="I164" s="115" t="s">
        <v>2590</v>
      </c>
      <c r="J164" s="115" t="s">
        <v>2589</v>
      </c>
      <c r="K164" s="114" t="s">
        <v>2288</v>
      </c>
      <c r="L164" s="115" t="s">
        <v>2624</v>
      </c>
      <c r="M164" s="115" t="s">
        <v>2586</v>
      </c>
      <c r="N164" s="115" t="s">
        <v>2623</v>
      </c>
    </row>
    <row r="165" spans="1:14" x14ac:dyDescent="0.25">
      <c r="A165" s="114">
        <v>164</v>
      </c>
      <c r="B165" s="114" t="s">
        <v>2283</v>
      </c>
      <c r="C165" s="114" t="s">
        <v>2622</v>
      </c>
      <c r="D165" s="114" t="s">
        <v>2528</v>
      </c>
      <c r="E165" s="115" t="s">
        <v>2527</v>
      </c>
      <c r="F165" s="115" t="s">
        <v>2526</v>
      </c>
      <c r="G165" s="115" t="s">
        <v>2591</v>
      </c>
      <c r="H165" s="125">
        <v>3</v>
      </c>
      <c r="I165" s="115" t="s">
        <v>2590</v>
      </c>
      <c r="J165" s="115" t="s">
        <v>2589</v>
      </c>
      <c r="K165" s="114" t="s">
        <v>2285</v>
      </c>
      <c r="L165" s="115" t="s">
        <v>2621</v>
      </c>
      <c r="M165" s="115" t="s">
        <v>2586</v>
      </c>
      <c r="N165" s="115" t="s">
        <v>2620</v>
      </c>
    </row>
    <row r="166" spans="1:14" x14ac:dyDescent="0.25">
      <c r="A166" s="114">
        <v>165</v>
      </c>
      <c r="B166" s="114" t="s">
        <v>2283</v>
      </c>
      <c r="C166" s="114" t="s">
        <v>2619</v>
      </c>
      <c r="D166" s="114" t="s">
        <v>2528</v>
      </c>
      <c r="E166" s="115" t="s">
        <v>2527</v>
      </c>
      <c r="F166" s="115" t="s">
        <v>2526</v>
      </c>
      <c r="G166" s="115" t="s">
        <v>2591</v>
      </c>
      <c r="H166" s="125">
        <v>3</v>
      </c>
      <c r="I166" s="115" t="s">
        <v>2590</v>
      </c>
      <c r="J166" s="115" t="s">
        <v>2589</v>
      </c>
      <c r="K166" s="114" t="s">
        <v>2276</v>
      </c>
      <c r="L166" s="115" t="s">
        <v>2618</v>
      </c>
      <c r="M166" s="115" t="s">
        <v>2586</v>
      </c>
      <c r="N166" s="115" t="s">
        <v>2613</v>
      </c>
    </row>
    <row r="167" spans="1:14" x14ac:dyDescent="0.25">
      <c r="A167" s="114">
        <v>166</v>
      </c>
      <c r="B167" s="114" t="s">
        <v>2283</v>
      </c>
      <c r="C167" s="114" t="s">
        <v>2617</v>
      </c>
      <c r="D167" s="114" t="s">
        <v>2528</v>
      </c>
      <c r="E167" s="115" t="s">
        <v>2527</v>
      </c>
      <c r="F167" s="115" t="s">
        <v>2526</v>
      </c>
      <c r="G167" s="115" t="s">
        <v>2591</v>
      </c>
      <c r="H167" s="125">
        <v>3</v>
      </c>
      <c r="I167" s="115" t="s">
        <v>2590</v>
      </c>
      <c r="J167" s="115" t="s">
        <v>2589</v>
      </c>
      <c r="K167" s="114" t="s">
        <v>2313</v>
      </c>
      <c r="L167" s="115" t="s">
        <v>2616</v>
      </c>
      <c r="M167" s="115" t="s">
        <v>2586</v>
      </c>
      <c r="N167" s="115" t="s">
        <v>2613</v>
      </c>
    </row>
    <row r="168" spans="1:14" x14ac:dyDescent="0.25">
      <c r="A168" s="114">
        <v>167</v>
      </c>
      <c r="B168" s="114" t="s">
        <v>2283</v>
      </c>
      <c r="C168" s="114" t="s">
        <v>2615</v>
      </c>
      <c r="D168" s="114" t="s">
        <v>2528</v>
      </c>
      <c r="E168" s="115" t="s">
        <v>2527</v>
      </c>
      <c r="F168" s="115" t="s">
        <v>2526</v>
      </c>
      <c r="G168" s="115" t="s">
        <v>2591</v>
      </c>
      <c r="H168" s="125">
        <v>3</v>
      </c>
      <c r="I168" s="115" t="s">
        <v>2590</v>
      </c>
      <c r="J168" s="115" t="s">
        <v>2589</v>
      </c>
      <c r="K168" s="114" t="s">
        <v>2306</v>
      </c>
      <c r="L168" s="115" t="s">
        <v>2614</v>
      </c>
      <c r="M168" s="115" t="s">
        <v>2586</v>
      </c>
      <c r="N168" s="115" t="s">
        <v>2613</v>
      </c>
    </row>
    <row r="169" spans="1:14" x14ac:dyDescent="0.25">
      <c r="A169" s="114">
        <v>168</v>
      </c>
      <c r="B169" s="114" t="s">
        <v>2283</v>
      </c>
      <c r="C169" s="114" t="s">
        <v>2612</v>
      </c>
      <c r="D169" s="114" t="s">
        <v>2528</v>
      </c>
      <c r="E169" s="115" t="s">
        <v>2527</v>
      </c>
      <c r="F169" s="115" t="s">
        <v>2526</v>
      </c>
      <c r="G169" s="115" t="s">
        <v>2591</v>
      </c>
      <c r="H169" s="125">
        <v>3</v>
      </c>
      <c r="I169" s="115" t="s">
        <v>2590</v>
      </c>
      <c r="J169" s="115" t="s">
        <v>2589</v>
      </c>
      <c r="K169" s="114" t="s">
        <v>2422</v>
      </c>
      <c r="L169" s="115" t="s">
        <v>2611</v>
      </c>
      <c r="M169" s="115" t="s">
        <v>2586</v>
      </c>
      <c r="N169" s="115" t="s">
        <v>2610</v>
      </c>
    </row>
    <row r="170" spans="1:14" x14ac:dyDescent="0.25">
      <c r="A170" s="114">
        <v>169</v>
      </c>
      <c r="B170" s="114" t="s">
        <v>2283</v>
      </c>
      <c r="C170" s="114" t="s">
        <v>2609</v>
      </c>
      <c r="D170" s="114" t="s">
        <v>2528</v>
      </c>
      <c r="E170" s="115" t="s">
        <v>2527</v>
      </c>
      <c r="F170" s="115" t="s">
        <v>2526</v>
      </c>
      <c r="G170" s="115" t="s">
        <v>2591</v>
      </c>
      <c r="H170" s="125">
        <v>3</v>
      </c>
      <c r="I170" s="115" t="s">
        <v>2590</v>
      </c>
      <c r="J170" s="115" t="s">
        <v>2589</v>
      </c>
      <c r="K170" s="114" t="s">
        <v>2462</v>
      </c>
      <c r="L170" s="115" t="s">
        <v>2608</v>
      </c>
      <c r="M170" s="115" t="s">
        <v>2586</v>
      </c>
      <c r="N170" s="115" t="s">
        <v>2607</v>
      </c>
    </row>
    <row r="171" spans="1:14" x14ac:dyDescent="0.25">
      <c r="A171" s="114">
        <v>170</v>
      </c>
      <c r="B171" s="114" t="s">
        <v>2283</v>
      </c>
      <c r="C171" s="114" t="s">
        <v>2606</v>
      </c>
      <c r="D171" s="114" t="s">
        <v>2528</v>
      </c>
      <c r="E171" s="115" t="s">
        <v>2527</v>
      </c>
      <c r="F171" s="115" t="s">
        <v>2526</v>
      </c>
      <c r="G171" s="115" t="s">
        <v>2591</v>
      </c>
      <c r="H171" s="125">
        <v>3</v>
      </c>
      <c r="I171" s="115" t="s">
        <v>2590</v>
      </c>
      <c r="J171" s="115" t="s">
        <v>2589</v>
      </c>
      <c r="K171" s="114" t="s">
        <v>2455</v>
      </c>
      <c r="L171" s="115" t="s">
        <v>2605</v>
      </c>
      <c r="M171" s="115" t="s">
        <v>2586</v>
      </c>
      <c r="N171" s="115" t="s">
        <v>2604</v>
      </c>
    </row>
    <row r="172" spans="1:14" x14ac:dyDescent="0.25">
      <c r="A172" s="114">
        <v>171</v>
      </c>
      <c r="B172" s="114" t="s">
        <v>2283</v>
      </c>
      <c r="C172" s="114" t="s">
        <v>2603</v>
      </c>
      <c r="D172" s="114" t="s">
        <v>2528</v>
      </c>
      <c r="E172" s="115" t="s">
        <v>2527</v>
      </c>
      <c r="F172" s="115" t="s">
        <v>2526</v>
      </c>
      <c r="G172" s="115" t="s">
        <v>2591</v>
      </c>
      <c r="H172" s="125">
        <v>3</v>
      </c>
      <c r="I172" s="115" t="s">
        <v>2590</v>
      </c>
      <c r="J172" s="115" t="s">
        <v>2589</v>
      </c>
      <c r="K172" s="114" t="s">
        <v>2602</v>
      </c>
      <c r="L172" s="115" t="s">
        <v>2601</v>
      </c>
      <c r="M172" s="115" t="s">
        <v>2586</v>
      </c>
      <c r="N172" s="115" t="s">
        <v>2597</v>
      </c>
    </row>
    <row r="173" spans="1:14" x14ac:dyDescent="0.25">
      <c r="A173" s="114">
        <v>172</v>
      </c>
      <c r="B173" s="114" t="s">
        <v>2283</v>
      </c>
      <c r="C173" s="114" t="s">
        <v>2600</v>
      </c>
      <c r="D173" s="114" t="s">
        <v>2528</v>
      </c>
      <c r="E173" s="115" t="s">
        <v>2527</v>
      </c>
      <c r="F173" s="115" t="s">
        <v>2526</v>
      </c>
      <c r="G173" s="115" t="s">
        <v>2591</v>
      </c>
      <c r="H173" s="125">
        <v>3</v>
      </c>
      <c r="I173" s="115" t="s">
        <v>2590</v>
      </c>
      <c r="J173" s="115" t="s">
        <v>2589</v>
      </c>
      <c r="K173" s="114" t="s">
        <v>2599</v>
      </c>
      <c r="L173" s="115" t="s">
        <v>2598</v>
      </c>
      <c r="M173" s="115" t="s">
        <v>2586</v>
      </c>
      <c r="N173" s="115" t="s">
        <v>2597</v>
      </c>
    </row>
    <row r="174" spans="1:14" x14ac:dyDescent="0.25">
      <c r="A174" s="114">
        <v>173</v>
      </c>
      <c r="B174" s="114" t="s">
        <v>2283</v>
      </c>
      <c r="C174" s="114" t="s">
        <v>2596</v>
      </c>
      <c r="D174" s="114" t="s">
        <v>2528</v>
      </c>
      <c r="E174" s="115" t="s">
        <v>2527</v>
      </c>
      <c r="F174" s="115" t="s">
        <v>2526</v>
      </c>
      <c r="G174" s="115" t="s">
        <v>2591</v>
      </c>
      <c r="H174" s="125">
        <v>3</v>
      </c>
      <c r="I174" s="115" t="s">
        <v>2590</v>
      </c>
      <c r="J174" s="115" t="s">
        <v>2589</v>
      </c>
      <c r="K174" s="114" t="s">
        <v>2595</v>
      </c>
      <c r="L174" s="115" t="s">
        <v>2594</v>
      </c>
      <c r="M174" s="115" t="s">
        <v>2586</v>
      </c>
      <c r="N174" s="115" t="s">
        <v>2593</v>
      </c>
    </row>
    <row r="175" spans="1:14" x14ac:dyDescent="0.25">
      <c r="A175" s="114">
        <v>174</v>
      </c>
      <c r="B175" s="114" t="s">
        <v>2283</v>
      </c>
      <c r="C175" s="114" t="s">
        <v>2592</v>
      </c>
      <c r="D175" s="114" t="s">
        <v>2528</v>
      </c>
      <c r="E175" s="115" t="s">
        <v>2527</v>
      </c>
      <c r="F175" s="115" t="s">
        <v>2526</v>
      </c>
      <c r="G175" s="115" t="s">
        <v>2591</v>
      </c>
      <c r="H175" s="125">
        <v>3</v>
      </c>
      <c r="I175" s="115" t="s">
        <v>2590</v>
      </c>
      <c r="J175" s="115" t="s">
        <v>2589</v>
      </c>
      <c r="K175" s="114" t="s">
        <v>2588</v>
      </c>
      <c r="L175" s="115" t="s">
        <v>2587</v>
      </c>
      <c r="M175" s="115" t="s">
        <v>2586</v>
      </c>
      <c r="N175" s="115" t="s">
        <v>2585</v>
      </c>
    </row>
    <row r="176" spans="1:14" x14ac:dyDescent="0.25">
      <c r="A176" s="114">
        <v>175</v>
      </c>
      <c r="B176" s="114" t="s">
        <v>2283</v>
      </c>
      <c r="C176" s="114" t="s">
        <v>2584</v>
      </c>
      <c r="D176" s="114" t="s">
        <v>2528</v>
      </c>
      <c r="E176" s="115" t="s">
        <v>2527</v>
      </c>
      <c r="F176" s="115" t="s">
        <v>2526</v>
      </c>
      <c r="G176" s="115" t="s">
        <v>2548</v>
      </c>
      <c r="H176" s="125">
        <v>4</v>
      </c>
      <c r="I176" s="115" t="s">
        <v>2583</v>
      </c>
      <c r="J176" s="115" t="s">
        <v>2582</v>
      </c>
      <c r="K176" s="114" t="s">
        <v>2288</v>
      </c>
      <c r="L176" s="115" t="s">
        <v>2581</v>
      </c>
      <c r="M176" s="115" t="s">
        <v>2544</v>
      </c>
      <c r="N176" s="115" t="s">
        <v>2580</v>
      </c>
    </row>
    <row r="177" spans="1:14" x14ac:dyDescent="0.25">
      <c r="A177" s="114">
        <v>176</v>
      </c>
      <c r="B177" s="114" t="s">
        <v>2283</v>
      </c>
      <c r="C177" s="114" t="s">
        <v>2579</v>
      </c>
      <c r="D177" s="114" t="s">
        <v>2528</v>
      </c>
      <c r="E177" s="115" t="s">
        <v>2527</v>
      </c>
      <c r="F177" s="115" t="s">
        <v>2526</v>
      </c>
      <c r="G177" s="115" t="s">
        <v>2548</v>
      </c>
      <c r="H177" s="125">
        <v>5</v>
      </c>
      <c r="I177" s="115" t="s">
        <v>2572</v>
      </c>
      <c r="J177" s="115" t="s">
        <v>2571</v>
      </c>
      <c r="K177" s="114" t="s">
        <v>2288</v>
      </c>
      <c r="L177" s="115" t="s">
        <v>2578</v>
      </c>
      <c r="M177" s="115" t="s">
        <v>2544</v>
      </c>
      <c r="N177" s="115" t="s">
        <v>2577</v>
      </c>
    </row>
    <row r="178" spans="1:14" x14ac:dyDescent="0.25">
      <c r="A178" s="114">
        <v>177</v>
      </c>
      <c r="B178" s="114" t="s">
        <v>2283</v>
      </c>
      <c r="C178" s="114" t="s">
        <v>2576</v>
      </c>
      <c r="D178" s="114" t="s">
        <v>2528</v>
      </c>
      <c r="E178" s="115" t="s">
        <v>2527</v>
      </c>
      <c r="F178" s="115" t="s">
        <v>2526</v>
      </c>
      <c r="G178" s="115" t="s">
        <v>2548</v>
      </c>
      <c r="H178" s="125">
        <v>5</v>
      </c>
      <c r="I178" s="115" t="s">
        <v>2572</v>
      </c>
      <c r="J178" s="115" t="s">
        <v>2571</v>
      </c>
      <c r="K178" s="114" t="s">
        <v>2285</v>
      </c>
      <c r="L178" s="115" t="s">
        <v>2575</v>
      </c>
      <c r="M178" s="115" t="s">
        <v>2544</v>
      </c>
      <c r="N178" s="115" t="s">
        <v>2574</v>
      </c>
    </row>
    <row r="179" spans="1:14" x14ac:dyDescent="0.25">
      <c r="A179" s="114">
        <v>178</v>
      </c>
      <c r="B179" s="114" t="s">
        <v>2283</v>
      </c>
      <c r="C179" s="114" t="s">
        <v>2573</v>
      </c>
      <c r="D179" s="114" t="s">
        <v>2528</v>
      </c>
      <c r="E179" s="115" t="s">
        <v>2527</v>
      </c>
      <c r="F179" s="115" t="s">
        <v>2526</v>
      </c>
      <c r="G179" s="115" t="s">
        <v>2548</v>
      </c>
      <c r="H179" s="125">
        <v>5</v>
      </c>
      <c r="I179" s="115" t="s">
        <v>2572</v>
      </c>
      <c r="J179" s="115" t="s">
        <v>2571</v>
      </c>
      <c r="K179" s="114" t="s">
        <v>2276</v>
      </c>
      <c r="L179" s="115" t="s">
        <v>2570</v>
      </c>
      <c r="M179" s="115" t="s">
        <v>2544</v>
      </c>
      <c r="N179" s="115" t="s">
        <v>2569</v>
      </c>
    </row>
    <row r="180" spans="1:14" x14ac:dyDescent="0.25">
      <c r="A180" s="114">
        <v>179</v>
      </c>
      <c r="B180" s="114" t="s">
        <v>2283</v>
      </c>
      <c r="C180" s="114" t="s">
        <v>2568</v>
      </c>
      <c r="D180" s="114" t="s">
        <v>2528</v>
      </c>
      <c r="E180" s="115" t="s">
        <v>2527</v>
      </c>
      <c r="F180" s="115" t="s">
        <v>2526</v>
      </c>
      <c r="G180" s="115" t="s">
        <v>2548</v>
      </c>
      <c r="H180" s="125">
        <v>6</v>
      </c>
      <c r="I180" s="115" t="s">
        <v>2558</v>
      </c>
      <c r="J180" s="115" t="s">
        <v>2557</v>
      </c>
      <c r="K180" s="114" t="s">
        <v>2288</v>
      </c>
      <c r="L180" s="115" t="s">
        <v>2567</v>
      </c>
      <c r="M180" s="115" t="s">
        <v>2544</v>
      </c>
      <c r="N180" s="115" t="s">
        <v>2566</v>
      </c>
    </row>
    <row r="181" spans="1:14" x14ac:dyDescent="0.25">
      <c r="A181" s="114">
        <v>180</v>
      </c>
      <c r="B181" s="114" t="s">
        <v>2283</v>
      </c>
      <c r="C181" s="114" t="s">
        <v>2565</v>
      </c>
      <c r="D181" s="114" t="s">
        <v>2528</v>
      </c>
      <c r="E181" s="115" t="s">
        <v>2527</v>
      </c>
      <c r="F181" s="115" t="s">
        <v>2526</v>
      </c>
      <c r="G181" s="115" t="s">
        <v>2548</v>
      </c>
      <c r="H181" s="125">
        <v>6</v>
      </c>
      <c r="I181" s="115" t="s">
        <v>2558</v>
      </c>
      <c r="J181" s="115" t="s">
        <v>2557</v>
      </c>
      <c r="K181" s="114" t="s">
        <v>2285</v>
      </c>
      <c r="L181" s="115" t="s">
        <v>2564</v>
      </c>
      <c r="M181" s="115" t="s">
        <v>2544</v>
      </c>
      <c r="N181" s="115" t="s">
        <v>2563</v>
      </c>
    </row>
    <row r="182" spans="1:14" x14ac:dyDescent="0.25">
      <c r="A182" s="114">
        <v>181</v>
      </c>
      <c r="B182" s="114" t="s">
        <v>2283</v>
      </c>
      <c r="C182" s="114" t="s">
        <v>2562</v>
      </c>
      <c r="D182" s="114" t="s">
        <v>2528</v>
      </c>
      <c r="E182" s="115" t="s">
        <v>2527</v>
      </c>
      <c r="F182" s="115" t="s">
        <v>2526</v>
      </c>
      <c r="G182" s="115" t="s">
        <v>2548</v>
      </c>
      <c r="H182" s="125">
        <v>6</v>
      </c>
      <c r="I182" s="115" t="s">
        <v>2558</v>
      </c>
      <c r="J182" s="115" t="s">
        <v>2557</v>
      </c>
      <c r="K182" s="114" t="s">
        <v>2276</v>
      </c>
      <c r="L182" s="115" t="s">
        <v>2561</v>
      </c>
      <c r="M182" s="115" t="s">
        <v>2544</v>
      </c>
      <c r="N182" s="115" t="s">
        <v>2560</v>
      </c>
    </row>
    <row r="183" spans="1:14" x14ac:dyDescent="0.25">
      <c r="A183" s="114">
        <v>182</v>
      </c>
      <c r="B183" s="114" t="s">
        <v>2283</v>
      </c>
      <c r="C183" s="114" t="s">
        <v>2559</v>
      </c>
      <c r="D183" s="114" t="s">
        <v>2528</v>
      </c>
      <c r="E183" s="115" t="s">
        <v>2527</v>
      </c>
      <c r="F183" s="115" t="s">
        <v>2526</v>
      </c>
      <c r="G183" s="115" t="s">
        <v>2548</v>
      </c>
      <c r="H183" s="125">
        <v>6</v>
      </c>
      <c r="I183" s="115" t="s">
        <v>2558</v>
      </c>
      <c r="J183" s="115" t="s">
        <v>2557</v>
      </c>
      <c r="K183" s="114" t="s">
        <v>2313</v>
      </c>
      <c r="L183" s="115" t="s">
        <v>2556</v>
      </c>
      <c r="M183" s="115" t="s">
        <v>2544</v>
      </c>
      <c r="N183" s="115" t="s">
        <v>2555</v>
      </c>
    </row>
    <row r="184" spans="1:14" x14ac:dyDescent="0.25">
      <c r="A184" s="114">
        <v>183</v>
      </c>
      <c r="B184" s="114" t="s">
        <v>2283</v>
      </c>
      <c r="C184" s="114" t="s">
        <v>2554</v>
      </c>
      <c r="D184" s="114" t="s">
        <v>2528</v>
      </c>
      <c r="E184" s="115" t="s">
        <v>2527</v>
      </c>
      <c r="F184" s="115" t="s">
        <v>2526</v>
      </c>
      <c r="G184" s="115" t="s">
        <v>2548</v>
      </c>
      <c r="H184" s="125">
        <v>7</v>
      </c>
      <c r="I184" s="115" t="s">
        <v>2547</v>
      </c>
      <c r="J184" s="115" t="s">
        <v>2546</v>
      </c>
      <c r="K184" s="114" t="s">
        <v>2288</v>
      </c>
      <c r="L184" s="115" t="s">
        <v>2553</v>
      </c>
      <c r="M184" s="115" t="s">
        <v>2544</v>
      </c>
      <c r="N184" s="115" t="s">
        <v>2550</v>
      </c>
    </row>
    <row r="185" spans="1:14" x14ac:dyDescent="0.25">
      <c r="A185" s="114">
        <v>184</v>
      </c>
      <c r="B185" s="114" t="s">
        <v>2283</v>
      </c>
      <c r="C185" s="114" t="s">
        <v>2552</v>
      </c>
      <c r="D185" s="114" t="s">
        <v>2528</v>
      </c>
      <c r="E185" s="115" t="s">
        <v>2527</v>
      </c>
      <c r="F185" s="115" t="s">
        <v>2526</v>
      </c>
      <c r="G185" s="115" t="s">
        <v>2548</v>
      </c>
      <c r="H185" s="125">
        <v>7</v>
      </c>
      <c r="I185" s="115" t="s">
        <v>2547</v>
      </c>
      <c r="J185" s="115" t="s">
        <v>2546</v>
      </c>
      <c r="K185" s="114" t="s">
        <v>2285</v>
      </c>
      <c r="L185" s="115" t="s">
        <v>2551</v>
      </c>
      <c r="M185" s="115" t="s">
        <v>2544</v>
      </c>
      <c r="N185" s="115" t="s">
        <v>2550</v>
      </c>
    </row>
    <row r="186" spans="1:14" x14ac:dyDescent="0.25">
      <c r="A186" s="114">
        <v>185</v>
      </c>
      <c r="B186" s="114" t="s">
        <v>2283</v>
      </c>
      <c r="C186" s="114" t="s">
        <v>2549</v>
      </c>
      <c r="D186" s="114" t="s">
        <v>2528</v>
      </c>
      <c r="E186" s="115" t="s">
        <v>2527</v>
      </c>
      <c r="F186" s="115" t="s">
        <v>2526</v>
      </c>
      <c r="G186" s="115" t="s">
        <v>2548</v>
      </c>
      <c r="H186" s="125">
        <v>7</v>
      </c>
      <c r="I186" s="115" t="s">
        <v>2547</v>
      </c>
      <c r="J186" s="115" t="s">
        <v>2546</v>
      </c>
      <c r="K186" s="114" t="s">
        <v>2276</v>
      </c>
      <c r="L186" s="115" t="s">
        <v>2545</v>
      </c>
      <c r="M186" s="115" t="s">
        <v>2544</v>
      </c>
      <c r="N186" s="115" t="s">
        <v>2543</v>
      </c>
    </row>
    <row r="187" spans="1:14" x14ac:dyDescent="0.25">
      <c r="A187" s="114">
        <v>186</v>
      </c>
      <c r="B187" s="114" t="s">
        <v>2283</v>
      </c>
      <c r="C187" s="114" t="s">
        <v>2542</v>
      </c>
      <c r="D187" s="114" t="s">
        <v>2528</v>
      </c>
      <c r="E187" s="115" t="s">
        <v>2527</v>
      </c>
      <c r="F187" s="115" t="s">
        <v>2526</v>
      </c>
      <c r="G187" s="115" t="s">
        <v>2525</v>
      </c>
      <c r="H187" s="125">
        <v>8</v>
      </c>
      <c r="I187" s="115" t="s">
        <v>2538</v>
      </c>
      <c r="J187" s="115" t="s">
        <v>2537</v>
      </c>
      <c r="K187" s="114" t="s">
        <v>2288</v>
      </c>
      <c r="L187" s="115" t="s">
        <v>2541</v>
      </c>
      <c r="M187" s="115" t="s">
        <v>2521</v>
      </c>
      <c r="N187" s="115" t="s">
        <v>2540</v>
      </c>
    </row>
    <row r="188" spans="1:14" x14ac:dyDescent="0.25">
      <c r="A188" s="114">
        <v>187</v>
      </c>
      <c r="B188" s="114" t="s">
        <v>2283</v>
      </c>
      <c r="C188" s="114" t="s">
        <v>2539</v>
      </c>
      <c r="D188" s="114" t="s">
        <v>2528</v>
      </c>
      <c r="E188" s="115" t="s">
        <v>2527</v>
      </c>
      <c r="F188" s="115" t="s">
        <v>2526</v>
      </c>
      <c r="G188" s="115" t="s">
        <v>2525</v>
      </c>
      <c r="H188" s="125">
        <v>8</v>
      </c>
      <c r="I188" s="115" t="s">
        <v>2538</v>
      </c>
      <c r="J188" s="115" t="s">
        <v>2537</v>
      </c>
      <c r="K188" s="114" t="s">
        <v>2285</v>
      </c>
      <c r="L188" s="115" t="s">
        <v>2536</v>
      </c>
      <c r="M188" s="115" t="s">
        <v>2521</v>
      </c>
      <c r="N188" s="115" t="s">
        <v>2535</v>
      </c>
    </row>
    <row r="189" spans="1:14" x14ac:dyDescent="0.25">
      <c r="A189" s="114">
        <v>188</v>
      </c>
      <c r="B189" s="114" t="s">
        <v>2283</v>
      </c>
      <c r="C189" s="114" t="s">
        <v>2534</v>
      </c>
      <c r="D189" s="114" t="s">
        <v>2528</v>
      </c>
      <c r="E189" s="115" t="s">
        <v>2527</v>
      </c>
      <c r="F189" s="115" t="s">
        <v>2526</v>
      </c>
      <c r="G189" s="115" t="s">
        <v>2525</v>
      </c>
      <c r="H189" s="125">
        <v>9</v>
      </c>
      <c r="I189" s="115" t="s">
        <v>2533</v>
      </c>
      <c r="J189" s="115" t="s">
        <v>2532</v>
      </c>
      <c r="K189" s="114" t="s">
        <v>2288</v>
      </c>
      <c r="L189" s="115" t="s">
        <v>2531</v>
      </c>
      <c r="M189" s="115" t="s">
        <v>2521</v>
      </c>
      <c r="N189" s="115" t="s">
        <v>2530</v>
      </c>
    </row>
    <row r="190" spans="1:14" x14ac:dyDescent="0.25">
      <c r="A190" s="114">
        <v>189</v>
      </c>
      <c r="B190" s="114" t="s">
        <v>2283</v>
      </c>
      <c r="C190" s="114" t="s">
        <v>2529</v>
      </c>
      <c r="D190" s="114" t="s">
        <v>2528</v>
      </c>
      <c r="E190" s="115" t="s">
        <v>2527</v>
      </c>
      <c r="F190" s="115" t="s">
        <v>2526</v>
      </c>
      <c r="G190" s="115" t="s">
        <v>2525</v>
      </c>
      <c r="H190" s="125">
        <v>10</v>
      </c>
      <c r="I190" s="115" t="s">
        <v>2524</v>
      </c>
      <c r="J190" s="115" t="s">
        <v>2523</v>
      </c>
      <c r="K190" s="114" t="s">
        <v>2288</v>
      </c>
      <c r="L190" s="115" t="s">
        <v>2522</v>
      </c>
      <c r="M190" s="115" t="s">
        <v>2521</v>
      </c>
      <c r="N190" s="115" t="s">
        <v>2520</v>
      </c>
    </row>
    <row r="191" spans="1:14" x14ac:dyDescent="0.25">
      <c r="A191" s="114">
        <v>190</v>
      </c>
      <c r="B191" s="114" t="s">
        <v>2283</v>
      </c>
      <c r="C191" s="114" t="s">
        <v>2519</v>
      </c>
      <c r="D191" s="114" t="s">
        <v>360</v>
      </c>
      <c r="E191" s="115" t="s">
        <v>2379</v>
      </c>
      <c r="F191" s="115" t="s">
        <v>2378</v>
      </c>
      <c r="G191" s="115" t="s">
        <v>2518</v>
      </c>
      <c r="H191" s="125">
        <v>11</v>
      </c>
      <c r="I191" s="115" t="s">
        <v>2517</v>
      </c>
      <c r="J191" s="115" t="s">
        <v>2516</v>
      </c>
      <c r="K191" s="114" t="s">
        <v>2288</v>
      </c>
      <c r="L191" s="115" t="s">
        <v>2515</v>
      </c>
      <c r="M191" s="115" t="s">
        <v>2514</v>
      </c>
      <c r="N191" s="115" t="s">
        <v>2513</v>
      </c>
    </row>
    <row r="192" spans="1:14" x14ac:dyDescent="0.25">
      <c r="A192" s="114">
        <v>191</v>
      </c>
      <c r="B192" s="114" t="s">
        <v>2283</v>
      </c>
      <c r="C192" s="114" t="s">
        <v>2512</v>
      </c>
      <c r="D192" s="114" t="s">
        <v>360</v>
      </c>
      <c r="E192" s="115" t="s">
        <v>2379</v>
      </c>
      <c r="F192" s="115" t="s">
        <v>2378</v>
      </c>
      <c r="G192" s="115" t="s">
        <v>2495</v>
      </c>
      <c r="H192" s="125">
        <v>12</v>
      </c>
      <c r="I192" s="115" t="s">
        <v>2511</v>
      </c>
      <c r="J192" s="115" t="s">
        <v>2510</v>
      </c>
      <c r="K192" s="114" t="s">
        <v>2288</v>
      </c>
      <c r="L192" s="115" t="s">
        <v>2509</v>
      </c>
      <c r="M192" s="115" t="s">
        <v>2491</v>
      </c>
      <c r="N192" s="115" t="s">
        <v>2508</v>
      </c>
    </row>
    <row r="193" spans="1:14" x14ac:dyDescent="0.25">
      <c r="A193" s="114">
        <v>192</v>
      </c>
      <c r="B193" s="114" t="s">
        <v>2283</v>
      </c>
      <c r="C193" s="114" t="s">
        <v>2507</v>
      </c>
      <c r="D193" s="114" t="s">
        <v>360</v>
      </c>
      <c r="E193" s="115" t="s">
        <v>2379</v>
      </c>
      <c r="F193" s="115" t="s">
        <v>2378</v>
      </c>
      <c r="G193" s="115" t="s">
        <v>2495</v>
      </c>
      <c r="H193" s="125">
        <v>13</v>
      </c>
      <c r="I193" s="115" t="s">
        <v>2494</v>
      </c>
      <c r="J193" s="115" t="s">
        <v>2493</v>
      </c>
      <c r="K193" s="114" t="s">
        <v>2288</v>
      </c>
      <c r="L193" s="115" t="s">
        <v>2506</v>
      </c>
      <c r="M193" s="115" t="s">
        <v>2491</v>
      </c>
      <c r="N193" s="115" t="s">
        <v>2503</v>
      </c>
    </row>
    <row r="194" spans="1:14" x14ac:dyDescent="0.25">
      <c r="A194" s="114">
        <v>193</v>
      </c>
      <c r="B194" s="114" t="s">
        <v>2283</v>
      </c>
      <c r="C194" s="114" t="s">
        <v>2505</v>
      </c>
      <c r="D194" s="114" t="s">
        <v>360</v>
      </c>
      <c r="E194" s="115" t="s">
        <v>2379</v>
      </c>
      <c r="F194" s="115" t="s">
        <v>2378</v>
      </c>
      <c r="G194" s="115" t="s">
        <v>2495</v>
      </c>
      <c r="H194" s="125">
        <v>13</v>
      </c>
      <c r="I194" s="115" t="s">
        <v>2494</v>
      </c>
      <c r="J194" s="115" t="s">
        <v>2493</v>
      </c>
      <c r="K194" s="114" t="s">
        <v>2285</v>
      </c>
      <c r="L194" s="115" t="s">
        <v>2504</v>
      </c>
      <c r="M194" s="115" t="s">
        <v>2491</v>
      </c>
      <c r="N194" s="115" t="s">
        <v>2503</v>
      </c>
    </row>
    <row r="195" spans="1:14" x14ac:dyDescent="0.25">
      <c r="A195" s="114">
        <v>194</v>
      </c>
      <c r="B195" s="114" t="s">
        <v>2283</v>
      </c>
      <c r="C195" s="114" t="s">
        <v>2502</v>
      </c>
      <c r="D195" s="114" t="s">
        <v>360</v>
      </c>
      <c r="E195" s="115" t="s">
        <v>2379</v>
      </c>
      <c r="F195" s="115" t="s">
        <v>2378</v>
      </c>
      <c r="G195" s="115" t="s">
        <v>2495</v>
      </c>
      <c r="H195" s="125">
        <v>13</v>
      </c>
      <c r="I195" s="115" t="s">
        <v>2494</v>
      </c>
      <c r="J195" s="115" t="s">
        <v>2493</v>
      </c>
      <c r="K195" s="114" t="s">
        <v>2276</v>
      </c>
      <c r="L195" s="115" t="s">
        <v>2501</v>
      </c>
      <c r="M195" s="115" t="s">
        <v>2491</v>
      </c>
      <c r="N195" s="115" t="s">
        <v>2500</v>
      </c>
    </row>
    <row r="196" spans="1:14" x14ac:dyDescent="0.25">
      <c r="A196" s="114">
        <v>195</v>
      </c>
      <c r="B196" s="114" t="s">
        <v>2283</v>
      </c>
      <c r="C196" s="114" t="s">
        <v>2499</v>
      </c>
      <c r="D196" s="114" t="s">
        <v>360</v>
      </c>
      <c r="E196" s="115" t="s">
        <v>2379</v>
      </c>
      <c r="F196" s="115" t="s">
        <v>2378</v>
      </c>
      <c r="G196" s="115" t="s">
        <v>2495</v>
      </c>
      <c r="H196" s="125">
        <v>13</v>
      </c>
      <c r="I196" s="115" t="s">
        <v>2494</v>
      </c>
      <c r="J196" s="115" t="s">
        <v>2493</v>
      </c>
      <c r="K196" s="114" t="s">
        <v>2313</v>
      </c>
      <c r="L196" s="115" t="s">
        <v>2498</v>
      </c>
      <c r="M196" s="115" t="s">
        <v>2491</v>
      </c>
      <c r="N196" s="115" t="s">
        <v>2497</v>
      </c>
    </row>
    <row r="197" spans="1:14" x14ac:dyDescent="0.25">
      <c r="A197" s="114">
        <v>196</v>
      </c>
      <c r="B197" s="114" t="s">
        <v>2283</v>
      </c>
      <c r="C197" s="114" t="s">
        <v>2496</v>
      </c>
      <c r="D197" s="114" t="s">
        <v>360</v>
      </c>
      <c r="E197" s="115" t="s">
        <v>2379</v>
      </c>
      <c r="F197" s="115" t="s">
        <v>2378</v>
      </c>
      <c r="G197" s="115" t="s">
        <v>2495</v>
      </c>
      <c r="H197" s="125">
        <v>13</v>
      </c>
      <c r="I197" s="115" t="s">
        <v>2494</v>
      </c>
      <c r="J197" s="115" t="s">
        <v>2493</v>
      </c>
      <c r="K197" s="114" t="s">
        <v>2306</v>
      </c>
      <c r="L197" s="115" t="s">
        <v>2492</v>
      </c>
      <c r="M197" s="115" t="s">
        <v>2491</v>
      </c>
      <c r="N197" s="115" t="s">
        <v>2490</v>
      </c>
    </row>
    <row r="198" spans="1:14" x14ac:dyDescent="0.25">
      <c r="A198" s="114">
        <v>197</v>
      </c>
      <c r="B198" s="114" t="s">
        <v>2283</v>
      </c>
      <c r="C198" s="114" t="s">
        <v>2489</v>
      </c>
      <c r="D198" s="114" t="s">
        <v>360</v>
      </c>
      <c r="E198" s="115" t="s">
        <v>2379</v>
      </c>
      <c r="F198" s="115" t="s">
        <v>2378</v>
      </c>
      <c r="G198" s="115" t="s">
        <v>2458</v>
      </c>
      <c r="H198" s="125">
        <v>14</v>
      </c>
      <c r="I198" s="115" t="s">
        <v>2485</v>
      </c>
      <c r="J198" s="115" t="s">
        <v>2484</v>
      </c>
      <c r="K198" s="114" t="s">
        <v>2288</v>
      </c>
      <c r="L198" s="115" t="s">
        <v>2488</v>
      </c>
      <c r="M198" s="115" t="s">
        <v>2453</v>
      </c>
      <c r="N198" s="115" t="s">
        <v>2487</v>
      </c>
    </row>
    <row r="199" spans="1:14" x14ac:dyDescent="0.25">
      <c r="A199" s="114">
        <v>198</v>
      </c>
      <c r="B199" s="114" t="s">
        <v>2283</v>
      </c>
      <c r="C199" s="114" t="s">
        <v>2486</v>
      </c>
      <c r="D199" s="114" t="s">
        <v>360</v>
      </c>
      <c r="E199" s="115" t="s">
        <v>2379</v>
      </c>
      <c r="F199" s="115" t="s">
        <v>2378</v>
      </c>
      <c r="G199" s="115" t="s">
        <v>2458</v>
      </c>
      <c r="H199" s="125">
        <v>14</v>
      </c>
      <c r="I199" s="115" t="s">
        <v>2485</v>
      </c>
      <c r="J199" s="115" t="s">
        <v>2484</v>
      </c>
      <c r="K199" s="114" t="s">
        <v>2285</v>
      </c>
      <c r="L199" s="115" t="s">
        <v>2483</v>
      </c>
      <c r="M199" s="115" t="s">
        <v>2453</v>
      </c>
      <c r="N199" s="115" t="s">
        <v>2482</v>
      </c>
    </row>
    <row r="200" spans="1:14" x14ac:dyDescent="0.25">
      <c r="A200" s="114">
        <v>199</v>
      </c>
      <c r="B200" s="114" t="s">
        <v>2283</v>
      </c>
      <c r="C200" s="114" t="s">
        <v>2481</v>
      </c>
      <c r="D200" s="114" t="s">
        <v>360</v>
      </c>
      <c r="E200" s="115" t="s">
        <v>2379</v>
      </c>
      <c r="F200" s="115" t="s">
        <v>2378</v>
      </c>
      <c r="G200" s="115" t="s">
        <v>2458</v>
      </c>
      <c r="H200" s="125">
        <v>15</v>
      </c>
      <c r="I200" s="115" t="s">
        <v>2457</v>
      </c>
      <c r="J200" s="115" t="s">
        <v>2456</v>
      </c>
      <c r="K200" s="114" t="s">
        <v>2288</v>
      </c>
      <c r="L200" s="115" t="s">
        <v>2480</v>
      </c>
      <c r="M200" s="115" t="s">
        <v>2453</v>
      </c>
      <c r="N200" s="115" t="s">
        <v>2479</v>
      </c>
    </row>
    <row r="201" spans="1:14" x14ac:dyDescent="0.25">
      <c r="A201" s="114">
        <v>200</v>
      </c>
      <c r="B201" s="114" t="s">
        <v>2283</v>
      </c>
      <c r="C201" s="114" t="s">
        <v>2478</v>
      </c>
      <c r="D201" s="114" t="s">
        <v>360</v>
      </c>
      <c r="E201" s="115" t="s">
        <v>2379</v>
      </c>
      <c r="F201" s="115" t="s">
        <v>2378</v>
      </c>
      <c r="G201" s="115" t="s">
        <v>2458</v>
      </c>
      <c r="H201" s="125">
        <v>15</v>
      </c>
      <c r="I201" s="115" t="s">
        <v>2457</v>
      </c>
      <c r="J201" s="115" t="s">
        <v>2456</v>
      </c>
      <c r="K201" s="114" t="s">
        <v>2285</v>
      </c>
      <c r="L201" s="115" t="s">
        <v>2477</v>
      </c>
      <c r="M201" s="115" t="s">
        <v>2453</v>
      </c>
      <c r="N201" s="115" t="s">
        <v>2476</v>
      </c>
    </row>
    <row r="202" spans="1:14" x14ac:dyDescent="0.25">
      <c r="A202" s="114">
        <v>201</v>
      </c>
      <c r="B202" s="114" t="s">
        <v>2283</v>
      </c>
      <c r="C202" s="114" t="s">
        <v>2475</v>
      </c>
      <c r="D202" s="114" t="s">
        <v>360</v>
      </c>
      <c r="E202" s="115" t="s">
        <v>2379</v>
      </c>
      <c r="F202" s="115" t="s">
        <v>2378</v>
      </c>
      <c r="G202" s="115" t="s">
        <v>2458</v>
      </c>
      <c r="H202" s="125">
        <v>15</v>
      </c>
      <c r="I202" s="115" t="s">
        <v>2457</v>
      </c>
      <c r="J202" s="115" t="s">
        <v>2456</v>
      </c>
      <c r="K202" s="114" t="s">
        <v>2276</v>
      </c>
      <c r="L202" s="115" t="s">
        <v>2474</v>
      </c>
      <c r="M202" s="115" t="s">
        <v>2453</v>
      </c>
      <c r="N202" s="115" t="s">
        <v>2473</v>
      </c>
    </row>
    <row r="203" spans="1:14" x14ac:dyDescent="0.25">
      <c r="A203" s="114">
        <v>202</v>
      </c>
      <c r="B203" s="114" t="s">
        <v>2283</v>
      </c>
      <c r="C203" s="114" t="s">
        <v>2472</v>
      </c>
      <c r="D203" s="114" t="s">
        <v>360</v>
      </c>
      <c r="E203" s="115" t="s">
        <v>2379</v>
      </c>
      <c r="F203" s="115" t="s">
        <v>2378</v>
      </c>
      <c r="G203" s="115" t="s">
        <v>2458</v>
      </c>
      <c r="H203" s="125">
        <v>15</v>
      </c>
      <c r="I203" s="115" t="s">
        <v>2457</v>
      </c>
      <c r="J203" s="115" t="s">
        <v>2456</v>
      </c>
      <c r="K203" s="114" t="s">
        <v>2313</v>
      </c>
      <c r="L203" s="115" t="s">
        <v>2471</v>
      </c>
      <c r="M203" s="115" t="s">
        <v>2453</v>
      </c>
      <c r="N203" s="115" t="s">
        <v>2470</v>
      </c>
    </row>
    <row r="204" spans="1:14" x14ac:dyDescent="0.25">
      <c r="A204" s="114">
        <v>203</v>
      </c>
      <c r="B204" s="114" t="s">
        <v>2283</v>
      </c>
      <c r="C204" s="114" t="s">
        <v>2469</v>
      </c>
      <c r="D204" s="114" t="s">
        <v>360</v>
      </c>
      <c r="E204" s="115" t="s">
        <v>2379</v>
      </c>
      <c r="F204" s="115" t="s">
        <v>2378</v>
      </c>
      <c r="G204" s="115" t="s">
        <v>2458</v>
      </c>
      <c r="H204" s="125">
        <v>15</v>
      </c>
      <c r="I204" s="115" t="s">
        <v>2457</v>
      </c>
      <c r="J204" s="115" t="s">
        <v>2456</v>
      </c>
      <c r="K204" s="114" t="s">
        <v>2306</v>
      </c>
      <c r="L204" s="115" t="s">
        <v>2468</v>
      </c>
      <c r="M204" s="115" t="s">
        <v>2453</v>
      </c>
      <c r="N204" s="115" t="s">
        <v>2467</v>
      </c>
    </row>
    <row r="205" spans="1:14" x14ac:dyDescent="0.25">
      <c r="A205" s="114">
        <v>204</v>
      </c>
      <c r="B205" s="114" t="s">
        <v>2283</v>
      </c>
      <c r="C205" s="114" t="s">
        <v>2466</v>
      </c>
      <c r="D205" s="114" t="s">
        <v>360</v>
      </c>
      <c r="E205" s="115" t="s">
        <v>2379</v>
      </c>
      <c r="F205" s="115" t="s">
        <v>2378</v>
      </c>
      <c r="G205" s="115" t="s">
        <v>2458</v>
      </c>
      <c r="H205" s="125">
        <v>15</v>
      </c>
      <c r="I205" s="115" t="s">
        <v>2457</v>
      </c>
      <c r="J205" s="115" t="s">
        <v>2456</v>
      </c>
      <c r="K205" s="114" t="s">
        <v>2422</v>
      </c>
      <c r="L205" s="115" t="s">
        <v>2465</v>
      </c>
      <c r="M205" s="115" t="s">
        <v>2453</v>
      </c>
      <c r="N205" s="115" t="s">
        <v>2464</v>
      </c>
    </row>
    <row r="206" spans="1:14" x14ac:dyDescent="0.25">
      <c r="A206" s="114">
        <v>205</v>
      </c>
      <c r="B206" s="114" t="s">
        <v>2283</v>
      </c>
      <c r="C206" s="114" t="s">
        <v>2463</v>
      </c>
      <c r="D206" s="114" t="s">
        <v>360</v>
      </c>
      <c r="E206" s="115" t="s">
        <v>2379</v>
      </c>
      <c r="F206" s="115" t="s">
        <v>2378</v>
      </c>
      <c r="G206" s="115" t="s">
        <v>2458</v>
      </c>
      <c r="H206" s="125">
        <v>15</v>
      </c>
      <c r="I206" s="115" t="s">
        <v>2457</v>
      </c>
      <c r="J206" s="115" t="s">
        <v>2456</v>
      </c>
      <c r="K206" s="114" t="s">
        <v>2462</v>
      </c>
      <c r="L206" s="115" t="s">
        <v>2461</v>
      </c>
      <c r="M206" s="115" t="s">
        <v>2453</v>
      </c>
      <c r="N206" s="115" t="s">
        <v>2460</v>
      </c>
    </row>
    <row r="207" spans="1:14" x14ac:dyDescent="0.25">
      <c r="A207" s="114">
        <v>206</v>
      </c>
      <c r="B207" s="114" t="s">
        <v>2283</v>
      </c>
      <c r="C207" s="114" t="s">
        <v>2459</v>
      </c>
      <c r="D207" s="114" t="s">
        <v>360</v>
      </c>
      <c r="E207" s="115" t="s">
        <v>2379</v>
      </c>
      <c r="F207" s="115" t="s">
        <v>2378</v>
      </c>
      <c r="G207" s="115" t="s">
        <v>2458</v>
      </c>
      <c r="H207" s="125">
        <v>15</v>
      </c>
      <c r="I207" s="115" t="s">
        <v>2457</v>
      </c>
      <c r="J207" s="115" t="s">
        <v>2456</v>
      </c>
      <c r="K207" s="114" t="s">
        <v>2455</v>
      </c>
      <c r="L207" s="115" t="s">
        <v>2454</v>
      </c>
      <c r="M207" s="115" t="s">
        <v>2453</v>
      </c>
      <c r="N207" s="115" t="s">
        <v>2452</v>
      </c>
    </row>
    <row r="208" spans="1:14" x14ac:dyDescent="0.25">
      <c r="A208" s="114">
        <v>207</v>
      </c>
      <c r="B208" s="114" t="s">
        <v>2283</v>
      </c>
      <c r="C208" s="114" t="s">
        <v>2451</v>
      </c>
      <c r="D208" s="114" t="s">
        <v>360</v>
      </c>
      <c r="E208" s="115" t="s">
        <v>2379</v>
      </c>
      <c r="F208" s="115" t="s">
        <v>2378</v>
      </c>
      <c r="G208" s="115" t="s">
        <v>2425</v>
      </c>
      <c r="H208" s="125">
        <v>16</v>
      </c>
      <c r="I208" s="115" t="s">
        <v>2450</v>
      </c>
      <c r="J208" s="115" t="s">
        <v>2449</v>
      </c>
      <c r="K208" s="114" t="s">
        <v>2288</v>
      </c>
      <c r="L208" s="115" t="s">
        <v>2448</v>
      </c>
      <c r="M208" s="115" t="s">
        <v>2420</v>
      </c>
      <c r="N208" s="115" t="s">
        <v>2447</v>
      </c>
    </row>
    <row r="209" spans="1:14" x14ac:dyDescent="0.25">
      <c r="A209" s="114">
        <v>208</v>
      </c>
      <c r="B209" s="114" t="s">
        <v>2283</v>
      </c>
      <c r="C209" s="114" t="s">
        <v>2446</v>
      </c>
      <c r="D209" s="114" t="s">
        <v>360</v>
      </c>
      <c r="E209" s="115" t="s">
        <v>2379</v>
      </c>
      <c r="F209" s="115" t="s">
        <v>2378</v>
      </c>
      <c r="G209" s="115" t="s">
        <v>2425</v>
      </c>
      <c r="H209" s="125">
        <v>17</v>
      </c>
      <c r="I209" s="115" t="s">
        <v>2445</v>
      </c>
      <c r="J209" s="115" t="s">
        <v>2444</v>
      </c>
      <c r="K209" s="114" t="s">
        <v>2288</v>
      </c>
      <c r="L209" s="115" t="s">
        <v>2443</v>
      </c>
      <c r="M209" s="115" t="s">
        <v>2420</v>
      </c>
      <c r="N209" s="115" t="s">
        <v>2442</v>
      </c>
    </row>
    <row r="210" spans="1:14" x14ac:dyDescent="0.25">
      <c r="A210" s="114">
        <v>209</v>
      </c>
      <c r="B210" s="114" t="s">
        <v>2283</v>
      </c>
      <c r="C210" s="114" t="s">
        <v>2441</v>
      </c>
      <c r="D210" s="114" t="s">
        <v>360</v>
      </c>
      <c r="E210" s="115" t="s">
        <v>2379</v>
      </c>
      <c r="F210" s="115" t="s">
        <v>2378</v>
      </c>
      <c r="G210" s="115" t="s">
        <v>2425</v>
      </c>
      <c r="H210" s="125">
        <v>18</v>
      </c>
      <c r="I210" s="115" t="s">
        <v>2424</v>
      </c>
      <c r="J210" s="115" t="s">
        <v>2423</v>
      </c>
      <c r="K210" s="114" t="s">
        <v>2288</v>
      </c>
      <c r="L210" s="115" t="s">
        <v>2440</v>
      </c>
      <c r="M210" s="115" t="s">
        <v>2420</v>
      </c>
      <c r="N210" s="115" t="s">
        <v>2439</v>
      </c>
    </row>
    <row r="211" spans="1:14" x14ac:dyDescent="0.25">
      <c r="A211" s="114">
        <v>210</v>
      </c>
      <c r="B211" s="114" t="s">
        <v>2283</v>
      </c>
      <c r="C211" s="114" t="s">
        <v>2438</v>
      </c>
      <c r="D211" s="114" t="s">
        <v>360</v>
      </c>
      <c r="E211" s="115" t="s">
        <v>2379</v>
      </c>
      <c r="F211" s="115" t="s">
        <v>2378</v>
      </c>
      <c r="G211" s="115" t="s">
        <v>2425</v>
      </c>
      <c r="H211" s="125">
        <v>18</v>
      </c>
      <c r="I211" s="115" t="s">
        <v>2424</v>
      </c>
      <c r="J211" s="115" t="s">
        <v>2423</v>
      </c>
      <c r="K211" s="114" t="s">
        <v>2285</v>
      </c>
      <c r="L211" s="115" t="s">
        <v>2437</v>
      </c>
      <c r="M211" s="115" t="s">
        <v>2420</v>
      </c>
      <c r="N211" s="115" t="s">
        <v>2436</v>
      </c>
    </row>
    <row r="212" spans="1:14" x14ac:dyDescent="0.25">
      <c r="A212" s="114">
        <v>211</v>
      </c>
      <c r="B212" s="114" t="s">
        <v>2283</v>
      </c>
      <c r="C212" s="114" t="s">
        <v>2435</v>
      </c>
      <c r="D212" s="114" t="s">
        <v>360</v>
      </c>
      <c r="E212" s="115" t="s">
        <v>2379</v>
      </c>
      <c r="F212" s="115" t="s">
        <v>2378</v>
      </c>
      <c r="G212" s="115" t="s">
        <v>2425</v>
      </c>
      <c r="H212" s="125">
        <v>18</v>
      </c>
      <c r="I212" s="115" t="s">
        <v>2424</v>
      </c>
      <c r="J212" s="115" t="s">
        <v>2423</v>
      </c>
      <c r="K212" s="114" t="s">
        <v>2276</v>
      </c>
      <c r="L212" s="115" t="s">
        <v>2434</v>
      </c>
      <c r="M212" s="115" t="s">
        <v>2420</v>
      </c>
      <c r="N212" s="115" t="s">
        <v>2433</v>
      </c>
    </row>
    <row r="213" spans="1:14" x14ac:dyDescent="0.25">
      <c r="A213" s="114">
        <v>212</v>
      </c>
      <c r="B213" s="114" t="s">
        <v>2283</v>
      </c>
      <c r="C213" s="114" t="s">
        <v>2432</v>
      </c>
      <c r="D213" s="114" t="s">
        <v>360</v>
      </c>
      <c r="E213" s="115" t="s">
        <v>2379</v>
      </c>
      <c r="F213" s="115" t="s">
        <v>2378</v>
      </c>
      <c r="G213" s="115" t="s">
        <v>2425</v>
      </c>
      <c r="H213" s="125">
        <v>18</v>
      </c>
      <c r="I213" s="115" t="s">
        <v>2424</v>
      </c>
      <c r="J213" s="115" t="s">
        <v>2423</v>
      </c>
      <c r="K213" s="114" t="s">
        <v>2313</v>
      </c>
      <c r="L213" s="115" t="s">
        <v>2431</v>
      </c>
      <c r="M213" s="115" t="s">
        <v>2420</v>
      </c>
      <c r="N213" s="115" t="s">
        <v>2430</v>
      </c>
    </row>
    <row r="214" spans="1:14" x14ac:dyDescent="0.25">
      <c r="A214" s="114">
        <v>213</v>
      </c>
      <c r="B214" s="114" t="s">
        <v>2283</v>
      </c>
      <c r="C214" s="114" t="s">
        <v>2429</v>
      </c>
      <c r="D214" s="114" t="s">
        <v>360</v>
      </c>
      <c r="E214" s="115" t="s">
        <v>2379</v>
      </c>
      <c r="F214" s="115" t="s">
        <v>2378</v>
      </c>
      <c r="G214" s="115" t="s">
        <v>2425</v>
      </c>
      <c r="H214" s="125">
        <v>18</v>
      </c>
      <c r="I214" s="115" t="s">
        <v>2424</v>
      </c>
      <c r="J214" s="115" t="s">
        <v>2423</v>
      </c>
      <c r="K214" s="114" t="s">
        <v>2306</v>
      </c>
      <c r="L214" s="115" t="s">
        <v>2428</v>
      </c>
      <c r="M214" s="115" t="s">
        <v>2420</v>
      </c>
      <c r="N214" s="115" t="s">
        <v>2427</v>
      </c>
    </row>
    <row r="215" spans="1:14" x14ac:dyDescent="0.25">
      <c r="A215" s="114">
        <v>214</v>
      </c>
      <c r="B215" s="114" t="s">
        <v>2283</v>
      </c>
      <c r="C215" s="114" t="s">
        <v>2426</v>
      </c>
      <c r="D215" s="114" t="s">
        <v>360</v>
      </c>
      <c r="E215" s="115" t="s">
        <v>2379</v>
      </c>
      <c r="F215" s="115" t="s">
        <v>2378</v>
      </c>
      <c r="G215" s="115" t="s">
        <v>2425</v>
      </c>
      <c r="H215" s="125">
        <v>18</v>
      </c>
      <c r="I215" s="115" t="s">
        <v>2424</v>
      </c>
      <c r="J215" s="115" t="s">
        <v>2423</v>
      </c>
      <c r="K215" s="114" t="s">
        <v>2422</v>
      </c>
      <c r="L215" s="115" t="s">
        <v>2421</v>
      </c>
      <c r="M215" s="115" t="s">
        <v>2420</v>
      </c>
      <c r="N215" s="115" t="s">
        <v>2419</v>
      </c>
    </row>
    <row r="216" spans="1:14" x14ac:dyDescent="0.25">
      <c r="A216" s="114">
        <v>215</v>
      </c>
      <c r="B216" s="114" t="s">
        <v>2283</v>
      </c>
      <c r="C216" s="114" t="s">
        <v>2418</v>
      </c>
      <c r="D216" s="114" t="s">
        <v>360</v>
      </c>
      <c r="E216" s="115" t="s">
        <v>2379</v>
      </c>
      <c r="F216" s="115" t="s">
        <v>2378</v>
      </c>
      <c r="G216" s="115" t="s">
        <v>2402</v>
      </c>
      <c r="H216" s="125">
        <v>19</v>
      </c>
      <c r="I216" s="115" t="s">
        <v>2415</v>
      </c>
      <c r="J216" s="115" t="s">
        <v>2414</v>
      </c>
      <c r="K216" s="114" t="s">
        <v>2288</v>
      </c>
      <c r="L216" s="115" t="s">
        <v>2417</v>
      </c>
      <c r="M216" s="115" t="s">
        <v>2398</v>
      </c>
      <c r="N216" s="115" t="s">
        <v>2412</v>
      </c>
    </row>
    <row r="217" spans="1:14" x14ac:dyDescent="0.25">
      <c r="A217" s="114">
        <v>216</v>
      </c>
      <c r="B217" s="114" t="s">
        <v>2283</v>
      </c>
      <c r="C217" s="114" t="s">
        <v>2416</v>
      </c>
      <c r="D217" s="114" t="s">
        <v>360</v>
      </c>
      <c r="E217" s="115" t="s">
        <v>2379</v>
      </c>
      <c r="F217" s="115" t="s">
        <v>2378</v>
      </c>
      <c r="G217" s="115" t="s">
        <v>2402</v>
      </c>
      <c r="H217" s="125">
        <v>19</v>
      </c>
      <c r="I217" s="115" t="s">
        <v>2415</v>
      </c>
      <c r="J217" s="115" t="s">
        <v>2414</v>
      </c>
      <c r="K217" s="114" t="s">
        <v>2285</v>
      </c>
      <c r="L217" s="115" t="s">
        <v>2413</v>
      </c>
      <c r="M217" s="115" t="s">
        <v>2398</v>
      </c>
      <c r="N217" s="115" t="s">
        <v>2412</v>
      </c>
    </row>
    <row r="218" spans="1:14" x14ac:dyDescent="0.25">
      <c r="A218" s="114">
        <v>217</v>
      </c>
      <c r="B218" s="114" t="s">
        <v>2283</v>
      </c>
      <c r="C218" s="114" t="s">
        <v>2411</v>
      </c>
      <c r="D218" s="114" t="s">
        <v>360</v>
      </c>
      <c r="E218" s="115" t="s">
        <v>2379</v>
      </c>
      <c r="F218" s="115" t="s">
        <v>2378</v>
      </c>
      <c r="G218" s="115" t="s">
        <v>2402</v>
      </c>
      <c r="H218" s="125">
        <v>20</v>
      </c>
      <c r="I218" s="115" t="s">
        <v>2401</v>
      </c>
      <c r="J218" s="115" t="s">
        <v>2400</v>
      </c>
      <c r="K218" s="114" t="s">
        <v>2288</v>
      </c>
      <c r="L218" s="115" t="s">
        <v>2410</v>
      </c>
      <c r="M218" s="115" t="s">
        <v>2398</v>
      </c>
      <c r="N218" s="115" t="s">
        <v>2397</v>
      </c>
    </row>
    <row r="219" spans="1:14" x14ac:dyDescent="0.25">
      <c r="A219" s="114">
        <v>218</v>
      </c>
      <c r="B219" s="114" t="s">
        <v>2283</v>
      </c>
      <c r="C219" s="114" t="s">
        <v>2409</v>
      </c>
      <c r="D219" s="114" t="s">
        <v>360</v>
      </c>
      <c r="E219" s="115" t="s">
        <v>2379</v>
      </c>
      <c r="F219" s="115" t="s">
        <v>2378</v>
      </c>
      <c r="G219" s="115" t="s">
        <v>2402</v>
      </c>
      <c r="H219" s="125">
        <v>20</v>
      </c>
      <c r="I219" s="115" t="s">
        <v>2401</v>
      </c>
      <c r="J219" s="115" t="s">
        <v>2400</v>
      </c>
      <c r="K219" s="114" t="s">
        <v>2285</v>
      </c>
      <c r="L219" s="115" t="s">
        <v>2408</v>
      </c>
      <c r="M219" s="115" t="s">
        <v>2398</v>
      </c>
      <c r="N219" s="115" t="s">
        <v>2397</v>
      </c>
    </row>
    <row r="220" spans="1:14" x14ac:dyDescent="0.25">
      <c r="A220" s="114">
        <v>219</v>
      </c>
      <c r="B220" s="114" t="s">
        <v>2283</v>
      </c>
      <c r="C220" s="114" t="s">
        <v>2407</v>
      </c>
      <c r="D220" s="114" t="s">
        <v>360</v>
      </c>
      <c r="E220" s="115" t="s">
        <v>2379</v>
      </c>
      <c r="F220" s="115" t="s">
        <v>2378</v>
      </c>
      <c r="G220" s="115" t="s">
        <v>2402</v>
      </c>
      <c r="H220" s="125">
        <v>20</v>
      </c>
      <c r="I220" s="115" t="s">
        <v>2401</v>
      </c>
      <c r="J220" s="115" t="s">
        <v>2400</v>
      </c>
      <c r="K220" s="114" t="s">
        <v>2276</v>
      </c>
      <c r="L220" s="115" t="s">
        <v>2406</v>
      </c>
      <c r="M220" s="115" t="s">
        <v>2398</v>
      </c>
      <c r="N220" s="115" t="s">
        <v>2397</v>
      </c>
    </row>
    <row r="221" spans="1:14" x14ac:dyDescent="0.25">
      <c r="A221" s="114">
        <v>220</v>
      </c>
      <c r="B221" s="114" t="s">
        <v>2283</v>
      </c>
      <c r="C221" s="114" t="s">
        <v>2405</v>
      </c>
      <c r="D221" s="114" t="s">
        <v>360</v>
      </c>
      <c r="E221" s="115" t="s">
        <v>2379</v>
      </c>
      <c r="F221" s="115" t="s">
        <v>2378</v>
      </c>
      <c r="G221" s="115" t="s">
        <v>2402</v>
      </c>
      <c r="H221" s="125">
        <v>20</v>
      </c>
      <c r="I221" s="115" t="s">
        <v>2401</v>
      </c>
      <c r="J221" s="115" t="s">
        <v>2400</v>
      </c>
      <c r="K221" s="114" t="s">
        <v>2313</v>
      </c>
      <c r="L221" s="115" t="s">
        <v>2404</v>
      </c>
      <c r="M221" s="115" t="s">
        <v>2398</v>
      </c>
      <c r="N221" s="115" t="s">
        <v>2397</v>
      </c>
    </row>
    <row r="222" spans="1:14" x14ac:dyDescent="0.25">
      <c r="A222" s="114">
        <v>221</v>
      </c>
      <c r="B222" s="114" t="s">
        <v>2283</v>
      </c>
      <c r="C222" s="114" t="s">
        <v>2403</v>
      </c>
      <c r="D222" s="114" t="s">
        <v>360</v>
      </c>
      <c r="E222" s="115" t="s">
        <v>2379</v>
      </c>
      <c r="F222" s="115" t="s">
        <v>2378</v>
      </c>
      <c r="G222" s="115" t="s">
        <v>2402</v>
      </c>
      <c r="H222" s="125">
        <v>20</v>
      </c>
      <c r="I222" s="115" t="s">
        <v>2401</v>
      </c>
      <c r="J222" s="115" t="s">
        <v>2400</v>
      </c>
      <c r="K222" s="114" t="s">
        <v>2306</v>
      </c>
      <c r="L222" s="115" t="s">
        <v>2399</v>
      </c>
      <c r="M222" s="115" t="s">
        <v>2398</v>
      </c>
      <c r="N222" s="115" t="s">
        <v>2397</v>
      </c>
    </row>
    <row r="223" spans="1:14" x14ac:dyDescent="0.25">
      <c r="A223" s="114">
        <v>222</v>
      </c>
      <c r="B223" s="114" t="s">
        <v>2283</v>
      </c>
      <c r="C223" s="114" t="s">
        <v>2396</v>
      </c>
      <c r="D223" s="114" t="s">
        <v>360</v>
      </c>
      <c r="E223" s="115" t="s">
        <v>2379</v>
      </c>
      <c r="F223" s="115" t="s">
        <v>2378</v>
      </c>
      <c r="G223" s="115" t="s">
        <v>2377</v>
      </c>
      <c r="H223" s="125">
        <v>21</v>
      </c>
      <c r="I223" s="115" t="s">
        <v>2390</v>
      </c>
      <c r="J223" s="115" t="s">
        <v>2389</v>
      </c>
      <c r="K223" s="114" t="s">
        <v>2288</v>
      </c>
      <c r="L223" s="115" t="s">
        <v>2395</v>
      </c>
      <c r="M223" s="115" t="s">
        <v>2373</v>
      </c>
      <c r="N223" s="115" t="s">
        <v>2392</v>
      </c>
    </row>
    <row r="224" spans="1:14" x14ac:dyDescent="0.25">
      <c r="A224" s="114">
        <v>223</v>
      </c>
      <c r="B224" s="114" t="s">
        <v>2283</v>
      </c>
      <c r="C224" s="114" t="s">
        <v>2394</v>
      </c>
      <c r="D224" s="114" t="s">
        <v>360</v>
      </c>
      <c r="E224" s="115" t="s">
        <v>2379</v>
      </c>
      <c r="F224" s="115" t="s">
        <v>2378</v>
      </c>
      <c r="G224" s="115" t="s">
        <v>2377</v>
      </c>
      <c r="H224" s="125">
        <v>21</v>
      </c>
      <c r="I224" s="115" t="s">
        <v>2390</v>
      </c>
      <c r="J224" s="115" t="s">
        <v>2389</v>
      </c>
      <c r="K224" s="114" t="s">
        <v>2285</v>
      </c>
      <c r="L224" s="115" t="s">
        <v>2393</v>
      </c>
      <c r="M224" s="115" t="s">
        <v>2373</v>
      </c>
      <c r="N224" s="115" t="s">
        <v>2392</v>
      </c>
    </row>
    <row r="225" spans="1:14" x14ac:dyDescent="0.25">
      <c r="A225" s="114">
        <v>224</v>
      </c>
      <c r="B225" s="114" t="s">
        <v>2283</v>
      </c>
      <c r="C225" s="114" t="s">
        <v>2391</v>
      </c>
      <c r="D225" s="114" t="s">
        <v>360</v>
      </c>
      <c r="E225" s="115" t="s">
        <v>2379</v>
      </c>
      <c r="F225" s="115" t="s">
        <v>2378</v>
      </c>
      <c r="G225" s="115" t="s">
        <v>2377</v>
      </c>
      <c r="H225" s="125">
        <v>21</v>
      </c>
      <c r="I225" s="115" t="s">
        <v>2390</v>
      </c>
      <c r="J225" s="115" t="s">
        <v>2389</v>
      </c>
      <c r="K225" s="114" t="s">
        <v>2276</v>
      </c>
      <c r="L225" s="115" t="s">
        <v>2388</v>
      </c>
      <c r="M225" s="115" t="s">
        <v>2373</v>
      </c>
      <c r="N225" s="115" t="s">
        <v>2387</v>
      </c>
    </row>
    <row r="226" spans="1:14" x14ac:dyDescent="0.25">
      <c r="A226" s="114">
        <v>225</v>
      </c>
      <c r="B226" s="114" t="s">
        <v>2283</v>
      </c>
      <c r="C226" s="114" t="s">
        <v>2386</v>
      </c>
      <c r="D226" s="114" t="s">
        <v>360</v>
      </c>
      <c r="E226" s="115" t="s">
        <v>2379</v>
      </c>
      <c r="F226" s="115" t="s">
        <v>2378</v>
      </c>
      <c r="G226" s="115" t="s">
        <v>2377</v>
      </c>
      <c r="H226" s="125">
        <v>22</v>
      </c>
      <c r="I226" s="115" t="s">
        <v>2376</v>
      </c>
      <c r="J226" s="115" t="s">
        <v>2375</v>
      </c>
      <c r="K226" s="114" t="s">
        <v>2288</v>
      </c>
      <c r="L226" s="115" t="s">
        <v>2385</v>
      </c>
      <c r="M226" s="115" t="s">
        <v>2373</v>
      </c>
      <c r="N226" s="115" t="s">
        <v>2384</v>
      </c>
    </row>
    <row r="227" spans="1:14" x14ac:dyDescent="0.25">
      <c r="A227" s="114">
        <v>226</v>
      </c>
      <c r="B227" s="114" t="s">
        <v>2283</v>
      </c>
      <c r="C227" s="114" t="s">
        <v>2383</v>
      </c>
      <c r="D227" s="114" t="s">
        <v>360</v>
      </c>
      <c r="E227" s="115" t="s">
        <v>2379</v>
      </c>
      <c r="F227" s="115" t="s">
        <v>2378</v>
      </c>
      <c r="G227" s="115" t="s">
        <v>2377</v>
      </c>
      <c r="H227" s="125">
        <v>22</v>
      </c>
      <c r="I227" s="115" t="s">
        <v>2376</v>
      </c>
      <c r="J227" s="115" t="s">
        <v>2375</v>
      </c>
      <c r="K227" s="114" t="s">
        <v>2285</v>
      </c>
      <c r="L227" s="115" t="s">
        <v>2382</v>
      </c>
      <c r="M227" s="115" t="s">
        <v>2373</v>
      </c>
      <c r="N227" s="115" t="s">
        <v>2381</v>
      </c>
    </row>
    <row r="228" spans="1:14" x14ac:dyDescent="0.25">
      <c r="A228" s="114">
        <v>227</v>
      </c>
      <c r="B228" s="114" t="s">
        <v>2283</v>
      </c>
      <c r="C228" s="114" t="s">
        <v>2380</v>
      </c>
      <c r="D228" s="114" t="s">
        <v>360</v>
      </c>
      <c r="E228" s="115" t="s">
        <v>2379</v>
      </c>
      <c r="F228" s="115" t="s">
        <v>2378</v>
      </c>
      <c r="G228" s="115" t="s">
        <v>2377</v>
      </c>
      <c r="H228" s="125">
        <v>22</v>
      </c>
      <c r="I228" s="115" t="s">
        <v>2376</v>
      </c>
      <c r="J228" s="115" t="s">
        <v>2375</v>
      </c>
      <c r="K228" s="114" t="s">
        <v>2276</v>
      </c>
      <c r="L228" s="115" t="s">
        <v>2374</v>
      </c>
      <c r="M228" s="115" t="s">
        <v>2373</v>
      </c>
      <c r="N228" s="115" t="s">
        <v>2372</v>
      </c>
    </row>
    <row r="229" spans="1:14" x14ac:dyDescent="0.25">
      <c r="A229" s="114">
        <v>228</v>
      </c>
      <c r="B229" s="114" t="s">
        <v>2283</v>
      </c>
      <c r="C229" s="114" t="s">
        <v>2371</v>
      </c>
      <c r="D229" s="114" t="s">
        <v>419</v>
      </c>
      <c r="E229" s="115" t="s">
        <v>2338</v>
      </c>
      <c r="F229" s="115" t="s">
        <v>2337</v>
      </c>
      <c r="G229" s="115" t="s">
        <v>2370</v>
      </c>
      <c r="H229" s="125">
        <v>23</v>
      </c>
      <c r="I229" s="115" t="s">
        <v>2369</v>
      </c>
      <c r="J229" s="115" t="s">
        <v>2368</v>
      </c>
      <c r="K229" s="114" t="s">
        <v>2288</v>
      </c>
      <c r="L229" s="115" t="s">
        <v>2367</v>
      </c>
      <c r="M229" s="115" t="s">
        <v>2366</v>
      </c>
      <c r="N229" s="115" t="s">
        <v>2365</v>
      </c>
    </row>
    <row r="230" spans="1:14" x14ac:dyDescent="0.25">
      <c r="A230" s="114">
        <v>229</v>
      </c>
      <c r="B230" s="114" t="s">
        <v>2283</v>
      </c>
      <c r="C230" s="114" t="s">
        <v>2364</v>
      </c>
      <c r="D230" s="114" t="s">
        <v>419</v>
      </c>
      <c r="E230" s="115" t="s">
        <v>2338</v>
      </c>
      <c r="F230" s="115" t="s">
        <v>2337</v>
      </c>
      <c r="G230" s="115" t="s">
        <v>2354</v>
      </c>
      <c r="H230" s="125">
        <v>24</v>
      </c>
      <c r="I230" s="115" t="s">
        <v>2353</v>
      </c>
      <c r="J230" s="115" t="s">
        <v>2352</v>
      </c>
      <c r="K230" s="114" t="s">
        <v>2288</v>
      </c>
      <c r="L230" s="115" t="s">
        <v>2363</v>
      </c>
      <c r="M230" s="115" t="s">
        <v>2350</v>
      </c>
      <c r="N230" s="115" t="s">
        <v>2362</v>
      </c>
    </row>
    <row r="231" spans="1:14" x14ac:dyDescent="0.25">
      <c r="A231" s="114">
        <v>230</v>
      </c>
      <c r="B231" s="114" t="s">
        <v>2283</v>
      </c>
      <c r="C231" s="114" t="s">
        <v>2361</v>
      </c>
      <c r="D231" s="114" t="s">
        <v>419</v>
      </c>
      <c r="E231" s="115" t="s">
        <v>2338</v>
      </c>
      <c r="F231" s="115" t="s">
        <v>2337</v>
      </c>
      <c r="G231" s="115" t="s">
        <v>2354</v>
      </c>
      <c r="H231" s="125">
        <v>24</v>
      </c>
      <c r="I231" s="115" t="s">
        <v>2353</v>
      </c>
      <c r="J231" s="115" t="s">
        <v>2352</v>
      </c>
      <c r="K231" s="114" t="s">
        <v>2285</v>
      </c>
      <c r="L231" s="115" t="s">
        <v>2360</v>
      </c>
      <c r="M231" s="115" t="s">
        <v>2350</v>
      </c>
      <c r="N231" s="115" t="s">
        <v>2359</v>
      </c>
    </row>
    <row r="232" spans="1:14" x14ac:dyDescent="0.25">
      <c r="A232" s="114">
        <v>231</v>
      </c>
      <c r="B232" s="114" t="s">
        <v>2283</v>
      </c>
      <c r="C232" s="114" t="s">
        <v>2358</v>
      </c>
      <c r="D232" s="114" t="s">
        <v>419</v>
      </c>
      <c r="E232" s="115" t="s">
        <v>2338</v>
      </c>
      <c r="F232" s="115" t="s">
        <v>2337</v>
      </c>
      <c r="G232" s="115" t="s">
        <v>2354</v>
      </c>
      <c r="H232" s="125">
        <v>24</v>
      </c>
      <c r="I232" s="115" t="s">
        <v>2353</v>
      </c>
      <c r="J232" s="115" t="s">
        <v>2352</v>
      </c>
      <c r="K232" s="114" t="s">
        <v>2276</v>
      </c>
      <c r="L232" s="115" t="s">
        <v>2357</v>
      </c>
      <c r="M232" s="115" t="s">
        <v>2350</v>
      </c>
      <c r="N232" s="115" t="s">
        <v>2356</v>
      </c>
    </row>
    <row r="233" spans="1:14" x14ac:dyDescent="0.25">
      <c r="A233" s="114">
        <v>232</v>
      </c>
      <c r="B233" s="114" t="s">
        <v>2283</v>
      </c>
      <c r="C233" s="114" t="s">
        <v>2355</v>
      </c>
      <c r="D233" s="114" t="s">
        <v>419</v>
      </c>
      <c r="E233" s="115" t="s">
        <v>2338</v>
      </c>
      <c r="F233" s="115" t="s">
        <v>2337</v>
      </c>
      <c r="G233" s="115" t="s">
        <v>2354</v>
      </c>
      <c r="H233" s="125">
        <v>24</v>
      </c>
      <c r="I233" s="115" t="s">
        <v>2353</v>
      </c>
      <c r="J233" s="115" t="s">
        <v>2352</v>
      </c>
      <c r="K233" s="114" t="s">
        <v>2313</v>
      </c>
      <c r="L233" s="115" t="s">
        <v>2351</v>
      </c>
      <c r="M233" s="115" t="s">
        <v>2350</v>
      </c>
      <c r="N233" s="115" t="s">
        <v>2349</v>
      </c>
    </row>
    <row r="234" spans="1:14" x14ac:dyDescent="0.25">
      <c r="A234" s="114">
        <v>233</v>
      </c>
      <c r="B234" s="114" t="s">
        <v>2283</v>
      </c>
      <c r="C234" s="114" t="s">
        <v>2348</v>
      </c>
      <c r="D234" s="114" t="s">
        <v>419</v>
      </c>
      <c r="E234" s="115" t="s">
        <v>2338</v>
      </c>
      <c r="F234" s="115" t="s">
        <v>2337</v>
      </c>
      <c r="G234" s="115" t="s">
        <v>2336</v>
      </c>
      <c r="H234" s="125">
        <v>25</v>
      </c>
      <c r="I234" s="115" t="s">
        <v>2335</v>
      </c>
      <c r="J234" s="115" t="s">
        <v>2334</v>
      </c>
      <c r="K234" s="114" t="s">
        <v>2288</v>
      </c>
      <c r="L234" s="115" t="s">
        <v>2347</v>
      </c>
      <c r="M234" s="115" t="s">
        <v>2332</v>
      </c>
      <c r="N234" s="115" t="s">
        <v>2346</v>
      </c>
    </row>
    <row r="235" spans="1:14" x14ac:dyDescent="0.25">
      <c r="A235" s="114">
        <v>234</v>
      </c>
      <c r="B235" s="114" t="s">
        <v>2283</v>
      </c>
      <c r="C235" s="114" t="s">
        <v>2345</v>
      </c>
      <c r="D235" s="114" t="s">
        <v>419</v>
      </c>
      <c r="E235" s="115" t="s">
        <v>2338</v>
      </c>
      <c r="F235" s="115" t="s">
        <v>2337</v>
      </c>
      <c r="G235" s="115" t="s">
        <v>2336</v>
      </c>
      <c r="H235" s="125">
        <v>25</v>
      </c>
      <c r="I235" s="115" t="s">
        <v>2335</v>
      </c>
      <c r="J235" s="115" t="s">
        <v>2334</v>
      </c>
      <c r="K235" s="114" t="s">
        <v>2285</v>
      </c>
      <c r="L235" s="115" t="s">
        <v>2344</v>
      </c>
      <c r="M235" s="115" t="s">
        <v>2332</v>
      </c>
      <c r="N235" s="115" t="s">
        <v>2343</v>
      </c>
    </row>
    <row r="236" spans="1:14" x14ac:dyDescent="0.25">
      <c r="A236" s="114">
        <v>235</v>
      </c>
      <c r="B236" s="114" t="s">
        <v>2283</v>
      </c>
      <c r="C236" s="114" t="s">
        <v>2342</v>
      </c>
      <c r="D236" s="114" t="s">
        <v>419</v>
      </c>
      <c r="E236" s="115" t="s">
        <v>2338</v>
      </c>
      <c r="F236" s="115" t="s">
        <v>2337</v>
      </c>
      <c r="G236" s="115" t="s">
        <v>2336</v>
      </c>
      <c r="H236" s="125">
        <v>25</v>
      </c>
      <c r="I236" s="115" t="s">
        <v>2335</v>
      </c>
      <c r="J236" s="115" t="s">
        <v>2334</v>
      </c>
      <c r="K236" s="114" t="s">
        <v>2276</v>
      </c>
      <c r="L236" s="115" t="s">
        <v>2341</v>
      </c>
      <c r="M236" s="115" t="s">
        <v>2332</v>
      </c>
      <c r="N236" s="115" t="s">
        <v>2340</v>
      </c>
    </row>
    <row r="237" spans="1:14" x14ac:dyDescent="0.25">
      <c r="A237" s="114">
        <v>236</v>
      </c>
      <c r="B237" s="114" t="s">
        <v>2283</v>
      </c>
      <c r="C237" s="114" t="s">
        <v>2339</v>
      </c>
      <c r="D237" s="114" t="s">
        <v>419</v>
      </c>
      <c r="E237" s="115" t="s">
        <v>2338</v>
      </c>
      <c r="F237" s="115" t="s">
        <v>2337</v>
      </c>
      <c r="G237" s="115" t="s">
        <v>2336</v>
      </c>
      <c r="H237" s="125">
        <v>25</v>
      </c>
      <c r="I237" s="115" t="s">
        <v>2335</v>
      </c>
      <c r="J237" s="115" t="s">
        <v>2334</v>
      </c>
      <c r="K237" s="114" t="s">
        <v>2313</v>
      </c>
      <c r="L237" s="115" t="s">
        <v>2333</v>
      </c>
      <c r="M237" s="115" t="s">
        <v>2332</v>
      </c>
      <c r="N237" s="115" t="s">
        <v>2331</v>
      </c>
    </row>
    <row r="238" spans="1:14" x14ac:dyDescent="0.25">
      <c r="A238" s="114">
        <v>237</v>
      </c>
      <c r="B238" s="114" t="s">
        <v>2283</v>
      </c>
      <c r="C238" s="114" t="s">
        <v>2330</v>
      </c>
      <c r="D238" s="114" t="s">
        <v>2298</v>
      </c>
      <c r="E238" s="115" t="s">
        <v>2297</v>
      </c>
      <c r="F238" s="115" t="s">
        <v>2296</v>
      </c>
      <c r="G238" s="115" t="s">
        <v>2329</v>
      </c>
      <c r="H238" s="125">
        <v>26</v>
      </c>
      <c r="I238" s="115" t="s">
        <v>2328</v>
      </c>
      <c r="J238" s="115" t="s">
        <v>2327</v>
      </c>
      <c r="K238" s="114" t="s">
        <v>2288</v>
      </c>
      <c r="L238" s="115" t="s">
        <v>2326</v>
      </c>
      <c r="M238" s="115" t="s">
        <v>2325</v>
      </c>
      <c r="N238" s="115" t="s">
        <v>2324</v>
      </c>
    </row>
    <row r="239" spans="1:14" x14ac:dyDescent="0.25">
      <c r="A239" s="114">
        <v>238</v>
      </c>
      <c r="B239" s="114" t="s">
        <v>2283</v>
      </c>
      <c r="C239" s="114" t="s">
        <v>2323</v>
      </c>
      <c r="D239" s="114" t="s">
        <v>2298</v>
      </c>
      <c r="E239" s="115" t="s">
        <v>2297</v>
      </c>
      <c r="F239" s="115" t="s">
        <v>2296</v>
      </c>
      <c r="G239" s="115" t="s">
        <v>2309</v>
      </c>
      <c r="H239" s="125">
        <v>27</v>
      </c>
      <c r="I239" s="115" t="s">
        <v>2308</v>
      </c>
      <c r="J239" s="115" t="s">
        <v>2307</v>
      </c>
      <c r="K239" s="114" t="s">
        <v>2288</v>
      </c>
      <c r="L239" s="115" t="s">
        <v>2322</v>
      </c>
      <c r="M239" s="115" t="s">
        <v>2304</v>
      </c>
      <c r="N239" s="115" t="s">
        <v>2321</v>
      </c>
    </row>
    <row r="240" spans="1:14" x14ac:dyDescent="0.25">
      <c r="A240" s="114">
        <v>239</v>
      </c>
      <c r="B240" s="114" t="s">
        <v>2283</v>
      </c>
      <c r="C240" s="114" t="s">
        <v>2320</v>
      </c>
      <c r="D240" s="114" t="s">
        <v>2298</v>
      </c>
      <c r="E240" s="115" t="s">
        <v>2297</v>
      </c>
      <c r="F240" s="115" t="s">
        <v>2296</v>
      </c>
      <c r="G240" s="115" t="s">
        <v>2309</v>
      </c>
      <c r="H240" s="125">
        <v>27</v>
      </c>
      <c r="I240" s="115" t="s">
        <v>2308</v>
      </c>
      <c r="J240" s="115" t="s">
        <v>2307</v>
      </c>
      <c r="K240" s="114" t="s">
        <v>2285</v>
      </c>
      <c r="L240" s="115" t="s">
        <v>2319</v>
      </c>
      <c r="M240" s="115" t="s">
        <v>2304</v>
      </c>
      <c r="N240" s="115" t="s">
        <v>2318</v>
      </c>
    </row>
    <row r="241" spans="1:14" x14ac:dyDescent="0.25">
      <c r="A241" s="114">
        <v>240</v>
      </c>
      <c r="B241" s="114" t="s">
        <v>2283</v>
      </c>
      <c r="C241" s="114" t="s">
        <v>2317</v>
      </c>
      <c r="D241" s="114" t="s">
        <v>2298</v>
      </c>
      <c r="E241" s="115" t="s">
        <v>2297</v>
      </c>
      <c r="F241" s="115" t="s">
        <v>2296</v>
      </c>
      <c r="G241" s="115" t="s">
        <v>2309</v>
      </c>
      <c r="H241" s="125">
        <v>27</v>
      </c>
      <c r="I241" s="115" t="s">
        <v>2308</v>
      </c>
      <c r="J241" s="115" t="s">
        <v>2307</v>
      </c>
      <c r="K241" s="114" t="s">
        <v>2276</v>
      </c>
      <c r="L241" s="115" t="s">
        <v>2316</v>
      </c>
      <c r="M241" s="115" t="s">
        <v>2304</v>
      </c>
      <c r="N241" s="115" t="s">
        <v>2315</v>
      </c>
    </row>
    <row r="242" spans="1:14" x14ac:dyDescent="0.25">
      <c r="A242" s="114">
        <v>241</v>
      </c>
      <c r="B242" s="114" t="s">
        <v>2283</v>
      </c>
      <c r="C242" s="114" t="s">
        <v>2314</v>
      </c>
      <c r="D242" s="114" t="s">
        <v>2298</v>
      </c>
      <c r="E242" s="115" t="s">
        <v>2297</v>
      </c>
      <c r="F242" s="115" t="s">
        <v>2296</v>
      </c>
      <c r="G242" s="115" t="s">
        <v>2309</v>
      </c>
      <c r="H242" s="125">
        <v>27</v>
      </c>
      <c r="I242" s="115" t="s">
        <v>2308</v>
      </c>
      <c r="J242" s="115" t="s">
        <v>2307</v>
      </c>
      <c r="K242" s="114" t="s">
        <v>2313</v>
      </c>
      <c r="L242" s="115" t="s">
        <v>2312</v>
      </c>
      <c r="M242" s="115" t="s">
        <v>2304</v>
      </c>
      <c r="N242" s="115" t="s">
        <v>2311</v>
      </c>
    </row>
    <row r="243" spans="1:14" x14ac:dyDescent="0.25">
      <c r="A243" s="114">
        <v>242</v>
      </c>
      <c r="B243" s="114" t="s">
        <v>2283</v>
      </c>
      <c r="C243" s="114" t="s">
        <v>2310</v>
      </c>
      <c r="D243" s="114" t="s">
        <v>2298</v>
      </c>
      <c r="E243" s="115" t="s">
        <v>2297</v>
      </c>
      <c r="F243" s="115" t="s">
        <v>2296</v>
      </c>
      <c r="G243" s="115" t="s">
        <v>2309</v>
      </c>
      <c r="H243" s="125">
        <v>27</v>
      </c>
      <c r="I243" s="115" t="s">
        <v>2308</v>
      </c>
      <c r="J243" s="115" t="s">
        <v>2307</v>
      </c>
      <c r="K243" s="114" t="s">
        <v>2306</v>
      </c>
      <c r="L243" s="115" t="s">
        <v>2305</v>
      </c>
      <c r="M243" s="115" t="s">
        <v>2304</v>
      </c>
      <c r="N243" s="115" t="s">
        <v>2303</v>
      </c>
    </row>
    <row r="244" spans="1:14" x14ac:dyDescent="0.25">
      <c r="A244" s="114">
        <v>243</v>
      </c>
      <c r="B244" s="114" t="s">
        <v>2283</v>
      </c>
      <c r="C244" s="114" t="s">
        <v>2302</v>
      </c>
      <c r="D244" s="114" t="s">
        <v>2298</v>
      </c>
      <c r="E244" s="115" t="s">
        <v>2297</v>
      </c>
      <c r="F244" s="115" t="s">
        <v>2296</v>
      </c>
      <c r="G244" s="115" t="s">
        <v>2295</v>
      </c>
      <c r="H244" s="125">
        <v>28</v>
      </c>
      <c r="I244" s="115" t="s">
        <v>2294</v>
      </c>
      <c r="J244" s="115" t="s">
        <v>2293</v>
      </c>
      <c r="K244" s="114" t="s">
        <v>2288</v>
      </c>
      <c r="L244" s="115" t="s">
        <v>2301</v>
      </c>
      <c r="M244" s="115" t="s">
        <v>2291</v>
      </c>
      <c r="N244" s="115" t="s">
        <v>2300</v>
      </c>
    </row>
    <row r="245" spans="1:14" x14ac:dyDescent="0.25">
      <c r="A245" s="114">
        <v>244</v>
      </c>
      <c r="B245" s="114" t="s">
        <v>2283</v>
      </c>
      <c r="C245" s="114" t="s">
        <v>2299</v>
      </c>
      <c r="D245" s="114" t="s">
        <v>2298</v>
      </c>
      <c r="E245" s="115" t="s">
        <v>2297</v>
      </c>
      <c r="F245" s="115" t="s">
        <v>2296</v>
      </c>
      <c r="G245" s="115" t="s">
        <v>2295</v>
      </c>
      <c r="H245" s="125">
        <v>28</v>
      </c>
      <c r="I245" s="115" t="s">
        <v>2294</v>
      </c>
      <c r="J245" s="115" t="s">
        <v>2293</v>
      </c>
      <c r="K245" s="114" t="s">
        <v>2285</v>
      </c>
      <c r="L245" s="115" t="s">
        <v>2292</v>
      </c>
      <c r="M245" s="115" t="s">
        <v>2291</v>
      </c>
      <c r="N245" s="115" t="s">
        <v>2290</v>
      </c>
    </row>
    <row r="246" spans="1:14" x14ac:dyDescent="0.25">
      <c r="A246" s="114">
        <v>245</v>
      </c>
      <c r="B246" s="114" t="s">
        <v>2283</v>
      </c>
      <c r="C246" s="114" t="s">
        <v>2289</v>
      </c>
      <c r="D246" s="114" t="s">
        <v>321</v>
      </c>
      <c r="E246" s="115" t="s">
        <v>2281</v>
      </c>
      <c r="F246" s="115" t="s">
        <v>2280</v>
      </c>
      <c r="G246" s="115" t="s">
        <v>2279</v>
      </c>
      <c r="H246" s="125">
        <v>29</v>
      </c>
      <c r="I246" s="115" t="s">
        <v>2278</v>
      </c>
      <c r="J246" s="115" t="s">
        <v>2277</v>
      </c>
      <c r="K246" s="114" t="s">
        <v>2288</v>
      </c>
      <c r="L246" s="115" t="s">
        <v>2287</v>
      </c>
      <c r="M246" s="115" t="s">
        <v>2274</v>
      </c>
      <c r="N246" s="115" t="s">
        <v>2273</v>
      </c>
    </row>
    <row r="247" spans="1:14" x14ac:dyDescent="0.25">
      <c r="A247" s="114">
        <v>246</v>
      </c>
      <c r="B247" s="114" t="s">
        <v>2283</v>
      </c>
      <c r="C247" s="114" t="s">
        <v>2286</v>
      </c>
      <c r="D247" s="114" t="s">
        <v>321</v>
      </c>
      <c r="E247" s="115" t="s">
        <v>2281</v>
      </c>
      <c r="F247" s="115" t="s">
        <v>2280</v>
      </c>
      <c r="G247" s="115" t="s">
        <v>2279</v>
      </c>
      <c r="H247" s="125">
        <v>29</v>
      </c>
      <c r="I247" s="115" t="s">
        <v>2278</v>
      </c>
      <c r="J247" s="115" t="s">
        <v>2277</v>
      </c>
      <c r="K247" s="114" t="s">
        <v>2285</v>
      </c>
      <c r="L247" s="115" t="s">
        <v>2284</v>
      </c>
      <c r="M247" s="115" t="s">
        <v>2274</v>
      </c>
      <c r="N247" s="115" t="s">
        <v>2273</v>
      </c>
    </row>
    <row r="248" spans="1:14" x14ac:dyDescent="0.25">
      <c r="A248" s="114">
        <v>247</v>
      </c>
      <c r="B248" s="114" t="s">
        <v>2283</v>
      </c>
      <c r="C248" s="114" t="s">
        <v>2282</v>
      </c>
      <c r="D248" s="114" t="s">
        <v>321</v>
      </c>
      <c r="E248" s="115" t="s">
        <v>2281</v>
      </c>
      <c r="F248" s="115" t="s">
        <v>2280</v>
      </c>
      <c r="G248" s="115" t="s">
        <v>2279</v>
      </c>
      <c r="H248" s="125">
        <v>29</v>
      </c>
      <c r="I248" s="115" t="s">
        <v>2278</v>
      </c>
      <c r="J248" s="115" t="s">
        <v>2277</v>
      </c>
      <c r="K248" s="114" t="s">
        <v>2276</v>
      </c>
      <c r="L248" s="115" t="s">
        <v>2275</v>
      </c>
      <c r="M248" s="115" t="s">
        <v>2274</v>
      </c>
      <c r="N248" s="115" t="s">
        <v>2273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B11D-8CA5-4759-B180-83FDE72F14F8}">
  <sheetPr filterMode="1"/>
  <dimension ref="A1:I113"/>
  <sheetViews>
    <sheetView zoomScale="70" zoomScaleNormal="70" workbookViewId="0">
      <pane ySplit="1" topLeftCell="A2" activePane="bottomLeft" state="frozen"/>
      <selection activeCell="Y1" sqref="Y1"/>
      <selection pane="bottomLeft" activeCell="D23" sqref="D23"/>
    </sheetView>
  </sheetViews>
  <sheetFormatPr baseColWidth="10" defaultColWidth="11.42578125" defaultRowHeight="12" x14ac:dyDescent="0.25"/>
  <cols>
    <col min="1" max="2" width="34.7109375" style="40" customWidth="1"/>
    <col min="3" max="3" width="34.7109375" style="44" customWidth="1"/>
    <col min="4" max="4" width="34.7109375" style="40" customWidth="1"/>
    <col min="5" max="5" width="54.7109375" style="43" customWidth="1"/>
    <col min="6" max="6" width="34.7109375" style="40" customWidth="1"/>
    <col min="7" max="7" width="34.7109375" style="42" customWidth="1"/>
    <col min="8" max="8" width="34.7109375" style="41" customWidth="1"/>
    <col min="9" max="9" width="34.7109375" style="40" customWidth="1"/>
    <col min="10" max="16384" width="11.42578125" style="40"/>
  </cols>
  <sheetData>
    <row r="1" spans="1:9" ht="43.5" customHeight="1" x14ac:dyDescent="0.25">
      <c r="A1" s="113" t="s">
        <v>766</v>
      </c>
      <c r="B1" s="113" t="s">
        <v>853</v>
      </c>
      <c r="C1" s="113" t="s">
        <v>764</v>
      </c>
      <c r="D1" s="113" t="s">
        <v>763</v>
      </c>
      <c r="E1" s="113" t="s">
        <v>760</v>
      </c>
      <c r="F1" s="113" t="s">
        <v>852</v>
      </c>
      <c r="G1" s="113" t="s">
        <v>752</v>
      </c>
      <c r="H1" s="113" t="s">
        <v>851</v>
      </c>
      <c r="I1" s="113" t="s">
        <v>850</v>
      </c>
    </row>
    <row r="2" spans="1:9" ht="38.25" customHeight="1" x14ac:dyDescent="0.25">
      <c r="A2" s="108">
        <v>2022</v>
      </c>
      <c r="B2" s="108" t="s">
        <v>137</v>
      </c>
      <c r="C2" s="108" t="s">
        <v>353</v>
      </c>
      <c r="D2" s="108" t="s">
        <v>739</v>
      </c>
      <c r="E2" s="108" t="s">
        <v>737</v>
      </c>
      <c r="F2" s="108" t="s">
        <v>798</v>
      </c>
      <c r="G2" s="108" t="s">
        <v>436</v>
      </c>
      <c r="H2" s="107" t="s">
        <v>849</v>
      </c>
      <c r="I2" s="105" t="s">
        <v>834</v>
      </c>
    </row>
    <row r="3" spans="1:9" ht="51.75" customHeight="1" x14ac:dyDescent="0.25">
      <c r="A3" s="108">
        <v>2022</v>
      </c>
      <c r="B3" s="108" t="s">
        <v>137</v>
      </c>
      <c r="C3" s="108" t="s">
        <v>526</v>
      </c>
      <c r="D3" s="108" t="s">
        <v>729</v>
      </c>
      <c r="E3" s="108" t="s">
        <v>182</v>
      </c>
      <c r="F3" s="108" t="s">
        <v>798</v>
      </c>
      <c r="G3" s="108" t="s">
        <v>360</v>
      </c>
      <c r="H3" s="107" t="s">
        <v>848</v>
      </c>
      <c r="I3" s="105" t="s">
        <v>768</v>
      </c>
    </row>
    <row r="4" spans="1:9" ht="36" x14ac:dyDescent="0.25">
      <c r="A4" s="108">
        <v>2022</v>
      </c>
      <c r="B4" s="108" t="s">
        <v>290</v>
      </c>
      <c r="C4" s="108" t="s">
        <v>353</v>
      </c>
      <c r="D4" s="108" t="s">
        <v>723</v>
      </c>
      <c r="E4" s="108" t="s">
        <v>720</v>
      </c>
      <c r="F4" s="108" t="s">
        <v>798</v>
      </c>
      <c r="G4" s="108" t="s">
        <v>703</v>
      </c>
      <c r="H4" s="107" t="s">
        <v>847</v>
      </c>
      <c r="I4" s="105" t="s">
        <v>768</v>
      </c>
    </row>
    <row r="5" spans="1:9" ht="36" x14ac:dyDescent="0.25">
      <c r="A5" s="108">
        <v>2023</v>
      </c>
      <c r="B5" s="108" t="s">
        <v>137</v>
      </c>
      <c r="C5" s="108" t="s">
        <v>526</v>
      </c>
      <c r="D5" s="108" t="s">
        <v>714</v>
      </c>
      <c r="E5" s="108" t="s">
        <v>712</v>
      </c>
      <c r="F5" s="108" t="s">
        <v>798</v>
      </c>
      <c r="G5" s="108" t="s">
        <v>703</v>
      </c>
      <c r="H5" s="107"/>
      <c r="I5" s="105" t="s">
        <v>269</v>
      </c>
    </row>
    <row r="6" spans="1:9" ht="36" x14ac:dyDescent="0.25">
      <c r="A6" s="108">
        <v>2023</v>
      </c>
      <c r="B6" s="108" t="s">
        <v>137</v>
      </c>
      <c r="C6" s="108" t="s">
        <v>526</v>
      </c>
      <c r="D6" s="108" t="s">
        <v>708</v>
      </c>
      <c r="E6" s="105" t="s">
        <v>377</v>
      </c>
      <c r="F6" s="108" t="s">
        <v>798</v>
      </c>
      <c r="G6" s="108" t="s">
        <v>703</v>
      </c>
      <c r="H6" s="107"/>
      <c r="I6" s="105" t="s">
        <v>269</v>
      </c>
    </row>
    <row r="7" spans="1:9" ht="24" x14ac:dyDescent="0.25">
      <c r="A7" s="108">
        <v>2023</v>
      </c>
      <c r="B7" s="108" t="s">
        <v>137</v>
      </c>
      <c r="C7" s="108" t="s">
        <v>284</v>
      </c>
      <c r="D7" s="108" t="s">
        <v>699</v>
      </c>
      <c r="E7" s="108" t="s">
        <v>155</v>
      </c>
      <c r="F7" s="108" t="s">
        <v>798</v>
      </c>
      <c r="G7" s="110" t="s">
        <v>436</v>
      </c>
      <c r="H7" s="107"/>
      <c r="I7" s="105" t="s">
        <v>269</v>
      </c>
    </row>
    <row r="8" spans="1:9" ht="24" x14ac:dyDescent="0.25">
      <c r="A8" s="108">
        <v>2023</v>
      </c>
      <c r="B8" s="108" t="s">
        <v>290</v>
      </c>
      <c r="C8" s="108" t="s">
        <v>353</v>
      </c>
      <c r="D8" s="108" t="s">
        <v>698</v>
      </c>
      <c r="E8" s="108" t="s">
        <v>697</v>
      </c>
      <c r="F8" s="108" t="s">
        <v>798</v>
      </c>
      <c r="G8" s="108" t="s">
        <v>436</v>
      </c>
      <c r="H8" s="107" t="s">
        <v>846</v>
      </c>
      <c r="I8" s="105" t="s">
        <v>768</v>
      </c>
    </row>
    <row r="9" spans="1:9" ht="36" x14ac:dyDescent="0.25">
      <c r="A9" s="108">
        <v>2023</v>
      </c>
      <c r="B9" s="108" t="s">
        <v>290</v>
      </c>
      <c r="C9" s="108" t="s">
        <v>353</v>
      </c>
      <c r="D9" s="105" t="s">
        <v>689</v>
      </c>
      <c r="E9" s="108" t="s">
        <v>239</v>
      </c>
      <c r="F9" s="108" t="s">
        <v>798</v>
      </c>
      <c r="G9" s="108" t="s">
        <v>685</v>
      </c>
      <c r="H9" s="107" t="s">
        <v>845</v>
      </c>
      <c r="I9" s="105" t="s">
        <v>768</v>
      </c>
    </row>
    <row r="10" spans="1:9" x14ac:dyDescent="0.25">
      <c r="A10" s="108">
        <v>2024</v>
      </c>
      <c r="B10" s="108" t="s">
        <v>137</v>
      </c>
      <c r="C10" s="108" t="s">
        <v>526</v>
      </c>
      <c r="D10" s="108" t="s">
        <v>680</v>
      </c>
      <c r="E10" s="108" t="s">
        <v>150</v>
      </c>
      <c r="F10" s="108" t="s">
        <v>798</v>
      </c>
      <c r="G10" s="108" t="s">
        <v>360</v>
      </c>
      <c r="H10" s="107"/>
      <c r="I10" s="105" t="s">
        <v>269</v>
      </c>
    </row>
    <row r="11" spans="1:9" x14ac:dyDescent="0.25">
      <c r="A11" s="108">
        <v>2024</v>
      </c>
      <c r="B11" s="108" t="s">
        <v>69</v>
      </c>
      <c r="C11" s="108" t="s">
        <v>284</v>
      </c>
      <c r="D11" s="108" t="s">
        <v>250</v>
      </c>
      <c r="E11" s="108" t="s">
        <v>249</v>
      </c>
      <c r="F11" s="108" t="s">
        <v>798</v>
      </c>
      <c r="G11" s="110" t="s">
        <v>360</v>
      </c>
      <c r="H11" s="107"/>
      <c r="I11" s="105" t="s">
        <v>269</v>
      </c>
    </row>
    <row r="12" spans="1:9" ht="24" x14ac:dyDescent="0.25">
      <c r="A12" s="108">
        <v>2024</v>
      </c>
      <c r="B12" s="108" t="s">
        <v>69</v>
      </c>
      <c r="C12" s="108" t="s">
        <v>353</v>
      </c>
      <c r="D12" s="108" t="s">
        <v>671</v>
      </c>
      <c r="E12" s="108" t="s">
        <v>175</v>
      </c>
      <c r="F12" s="108" t="s">
        <v>802</v>
      </c>
      <c r="G12" s="110" t="s">
        <v>668</v>
      </c>
      <c r="H12" s="107"/>
      <c r="I12" s="105" t="s">
        <v>269</v>
      </c>
    </row>
    <row r="13" spans="1:9" ht="24" x14ac:dyDescent="0.25">
      <c r="A13" s="108">
        <v>2024</v>
      </c>
      <c r="B13" s="108" t="s">
        <v>69</v>
      </c>
      <c r="C13" s="108" t="s">
        <v>284</v>
      </c>
      <c r="D13" s="108" t="s">
        <v>254</v>
      </c>
      <c r="E13" s="108" t="s">
        <v>253</v>
      </c>
      <c r="F13" s="108" t="s">
        <v>798</v>
      </c>
      <c r="G13" s="110" t="s">
        <v>486</v>
      </c>
      <c r="H13" s="107"/>
      <c r="I13" s="105" t="s">
        <v>269</v>
      </c>
    </row>
    <row r="14" spans="1:9" ht="24" x14ac:dyDescent="0.25">
      <c r="A14" s="108">
        <v>2024</v>
      </c>
      <c r="B14" s="108" t="s">
        <v>69</v>
      </c>
      <c r="C14" s="108" t="s">
        <v>353</v>
      </c>
      <c r="D14" s="108" t="s">
        <v>661</v>
      </c>
      <c r="E14" s="108" t="s">
        <v>659</v>
      </c>
      <c r="F14" s="108" t="s">
        <v>798</v>
      </c>
      <c r="G14" s="110" t="s">
        <v>657</v>
      </c>
      <c r="H14" s="107"/>
      <c r="I14" s="105" t="s">
        <v>269</v>
      </c>
    </row>
    <row r="15" spans="1:9" ht="48" x14ac:dyDescent="0.25">
      <c r="A15" s="108">
        <v>2024</v>
      </c>
      <c r="B15" s="108" t="s">
        <v>69</v>
      </c>
      <c r="C15" s="108" t="s">
        <v>284</v>
      </c>
      <c r="D15" s="108" t="s">
        <v>656</v>
      </c>
      <c r="E15" s="105" t="s">
        <v>206</v>
      </c>
      <c r="F15" s="108" t="s">
        <v>798</v>
      </c>
      <c r="G15" s="110" t="s">
        <v>321</v>
      </c>
      <c r="H15" s="107" t="s">
        <v>844</v>
      </c>
      <c r="I15" s="105" t="s">
        <v>768</v>
      </c>
    </row>
    <row r="16" spans="1:9" x14ac:dyDescent="0.25">
      <c r="A16" s="108">
        <v>2024</v>
      </c>
      <c r="B16" s="108" t="s">
        <v>69</v>
      </c>
      <c r="C16" s="108" t="s">
        <v>284</v>
      </c>
      <c r="D16" s="105" t="s">
        <v>650</v>
      </c>
      <c r="E16" s="105" t="s">
        <v>222</v>
      </c>
      <c r="F16" s="108" t="s">
        <v>798</v>
      </c>
      <c r="G16" s="110" t="s">
        <v>419</v>
      </c>
      <c r="H16" s="107"/>
      <c r="I16" s="105" t="s">
        <v>269</v>
      </c>
    </row>
    <row r="17" spans="1:9" ht="48" x14ac:dyDescent="0.25">
      <c r="A17" s="108">
        <v>2024</v>
      </c>
      <c r="B17" s="108" t="s">
        <v>69</v>
      </c>
      <c r="C17" s="108" t="s">
        <v>353</v>
      </c>
      <c r="D17" s="105" t="s">
        <v>647</v>
      </c>
      <c r="E17" s="105" t="s">
        <v>249</v>
      </c>
      <c r="F17" s="108" t="s">
        <v>798</v>
      </c>
      <c r="G17" s="110" t="s">
        <v>360</v>
      </c>
      <c r="H17" s="107" t="s">
        <v>843</v>
      </c>
      <c r="I17" s="105" t="s">
        <v>768</v>
      </c>
    </row>
    <row r="18" spans="1:9" ht="24" x14ac:dyDescent="0.25">
      <c r="A18" s="108">
        <v>2024</v>
      </c>
      <c r="B18" s="108" t="s">
        <v>69</v>
      </c>
      <c r="C18" s="108" t="s">
        <v>284</v>
      </c>
      <c r="D18" s="105" t="s">
        <v>637</v>
      </c>
      <c r="E18" s="112" t="s">
        <v>634</v>
      </c>
      <c r="F18" s="108" t="s">
        <v>798</v>
      </c>
      <c r="G18" s="110" t="s">
        <v>360</v>
      </c>
      <c r="H18" s="107" t="s">
        <v>842</v>
      </c>
      <c r="I18" s="105" t="s">
        <v>768</v>
      </c>
    </row>
    <row r="19" spans="1:9" x14ac:dyDescent="0.25">
      <c r="A19" s="108">
        <v>2024</v>
      </c>
      <c r="B19" s="108" t="s">
        <v>290</v>
      </c>
      <c r="C19" s="108" t="s">
        <v>353</v>
      </c>
      <c r="D19" s="105" t="s">
        <v>627</v>
      </c>
      <c r="E19" s="105" t="s">
        <v>625</v>
      </c>
      <c r="F19" s="108" t="s">
        <v>798</v>
      </c>
      <c r="G19" s="108" t="s">
        <v>360</v>
      </c>
      <c r="H19" s="107"/>
      <c r="I19" s="105" t="s">
        <v>269</v>
      </c>
    </row>
    <row r="20" spans="1:9" ht="24" x14ac:dyDescent="0.25">
      <c r="A20" s="108">
        <v>2024</v>
      </c>
      <c r="B20" s="108" t="s">
        <v>290</v>
      </c>
      <c r="C20" s="108" t="s">
        <v>353</v>
      </c>
      <c r="D20" s="108" t="s">
        <v>618</v>
      </c>
      <c r="E20" s="108" t="s">
        <v>377</v>
      </c>
      <c r="F20" s="108" t="s">
        <v>798</v>
      </c>
      <c r="G20" s="108" t="s">
        <v>321</v>
      </c>
      <c r="H20" s="107" t="s">
        <v>841</v>
      </c>
      <c r="I20" s="105" t="s">
        <v>768</v>
      </c>
    </row>
    <row r="21" spans="1:9" ht="24" x14ac:dyDescent="0.25">
      <c r="A21" s="108">
        <v>2025</v>
      </c>
      <c r="B21" s="105" t="s">
        <v>69</v>
      </c>
      <c r="C21" s="108" t="s">
        <v>284</v>
      </c>
      <c r="D21" s="105" t="s">
        <v>840</v>
      </c>
      <c r="E21" s="108" t="s">
        <v>166</v>
      </c>
      <c r="F21" s="108" t="s">
        <v>798</v>
      </c>
      <c r="G21" s="108" t="s">
        <v>360</v>
      </c>
      <c r="H21" s="107" t="s">
        <v>839</v>
      </c>
      <c r="I21" s="105" t="s">
        <v>768</v>
      </c>
    </row>
    <row r="22" spans="1:9" ht="48" x14ac:dyDescent="0.25">
      <c r="A22" s="108">
        <v>2025</v>
      </c>
      <c r="B22" s="108" t="s">
        <v>137</v>
      </c>
      <c r="C22" s="108" t="s">
        <v>284</v>
      </c>
      <c r="D22" s="105" t="s">
        <v>838</v>
      </c>
      <c r="E22" s="108" t="s">
        <v>166</v>
      </c>
      <c r="F22" s="108" t="s">
        <v>798</v>
      </c>
      <c r="G22" s="108" t="s">
        <v>360</v>
      </c>
      <c r="H22" s="107"/>
      <c r="I22" s="105" t="s">
        <v>269</v>
      </c>
    </row>
    <row r="23" spans="1:9" ht="24" x14ac:dyDescent="0.25">
      <c r="A23" s="108">
        <v>2025</v>
      </c>
      <c r="B23" s="108" t="s">
        <v>137</v>
      </c>
      <c r="C23" s="108" t="s">
        <v>284</v>
      </c>
      <c r="D23" s="108" t="s">
        <v>147</v>
      </c>
      <c r="E23" s="108" t="s">
        <v>146</v>
      </c>
      <c r="F23" s="108" t="s">
        <v>798</v>
      </c>
      <c r="G23" s="108" t="s">
        <v>436</v>
      </c>
      <c r="H23" s="107" t="s">
        <v>837</v>
      </c>
      <c r="I23" s="105" t="s">
        <v>834</v>
      </c>
    </row>
    <row r="24" spans="1:9" ht="24" x14ac:dyDescent="0.25">
      <c r="A24" s="108">
        <v>2025</v>
      </c>
      <c r="B24" s="108" t="s">
        <v>137</v>
      </c>
      <c r="C24" s="108" t="s">
        <v>284</v>
      </c>
      <c r="D24" s="108" t="s">
        <v>602</v>
      </c>
      <c r="E24" s="111" t="s">
        <v>185</v>
      </c>
      <c r="F24" s="108" t="s">
        <v>798</v>
      </c>
      <c r="G24" s="108" t="s">
        <v>360</v>
      </c>
      <c r="H24" s="107" t="s">
        <v>836</v>
      </c>
      <c r="I24" s="105" t="s">
        <v>834</v>
      </c>
    </row>
    <row r="25" spans="1:9" x14ac:dyDescent="0.25">
      <c r="A25" s="108">
        <v>2025</v>
      </c>
      <c r="B25" s="108" t="s">
        <v>69</v>
      </c>
      <c r="C25" s="108" t="s">
        <v>353</v>
      </c>
      <c r="D25" s="108" t="s">
        <v>172</v>
      </c>
      <c r="E25" s="108" t="s">
        <v>171</v>
      </c>
      <c r="F25" s="108" t="s">
        <v>798</v>
      </c>
      <c r="G25" s="108" t="s">
        <v>360</v>
      </c>
      <c r="H25" s="107"/>
      <c r="I25" s="105" t="s">
        <v>269</v>
      </c>
    </row>
    <row r="26" spans="1:9" x14ac:dyDescent="0.25">
      <c r="A26" s="108">
        <v>2025</v>
      </c>
      <c r="B26" s="108" t="s">
        <v>69</v>
      </c>
      <c r="C26" s="108" t="s">
        <v>284</v>
      </c>
      <c r="D26" s="105" t="s">
        <v>176</v>
      </c>
      <c r="E26" s="108" t="s">
        <v>175</v>
      </c>
      <c r="F26" s="108" t="s">
        <v>802</v>
      </c>
      <c r="G26" s="109" t="s">
        <v>360</v>
      </c>
      <c r="H26" s="107"/>
      <c r="I26" s="105" t="s">
        <v>269</v>
      </c>
    </row>
    <row r="27" spans="1:9" x14ac:dyDescent="0.25">
      <c r="A27" s="108">
        <v>2025</v>
      </c>
      <c r="B27" s="108" t="s">
        <v>69</v>
      </c>
      <c r="C27" s="108" t="s">
        <v>284</v>
      </c>
      <c r="D27" s="108" t="s">
        <v>183</v>
      </c>
      <c r="E27" s="108" t="s">
        <v>182</v>
      </c>
      <c r="F27" s="108" t="s">
        <v>798</v>
      </c>
      <c r="G27" s="110" t="s">
        <v>360</v>
      </c>
      <c r="H27" s="107"/>
      <c r="I27" s="105" t="s">
        <v>269</v>
      </c>
    </row>
    <row r="28" spans="1:9" ht="24" x14ac:dyDescent="0.25">
      <c r="A28" s="108">
        <v>2025</v>
      </c>
      <c r="B28" s="108" t="s">
        <v>69</v>
      </c>
      <c r="C28" s="108" t="s">
        <v>284</v>
      </c>
      <c r="D28" s="108" t="s">
        <v>186</v>
      </c>
      <c r="E28" s="108" t="s">
        <v>185</v>
      </c>
      <c r="F28" s="108" t="s">
        <v>798</v>
      </c>
      <c r="G28" s="108" t="s">
        <v>436</v>
      </c>
      <c r="H28" s="107"/>
      <c r="I28" s="105" t="s">
        <v>269</v>
      </c>
    </row>
    <row r="29" spans="1:9" x14ac:dyDescent="0.25">
      <c r="A29" s="108">
        <v>2025</v>
      </c>
      <c r="B29" s="108" t="s">
        <v>69</v>
      </c>
      <c r="C29" s="108" t="s">
        <v>284</v>
      </c>
      <c r="D29" s="105" t="s">
        <v>180</v>
      </c>
      <c r="E29" s="108" t="s">
        <v>175</v>
      </c>
      <c r="F29" s="108" t="s">
        <v>802</v>
      </c>
      <c r="G29" s="109" t="s">
        <v>360</v>
      </c>
      <c r="H29" s="105"/>
      <c r="I29" s="105" t="s">
        <v>269</v>
      </c>
    </row>
    <row r="30" spans="1:9" x14ac:dyDescent="0.25">
      <c r="A30" s="108">
        <v>2025</v>
      </c>
      <c r="B30" s="108" t="s">
        <v>137</v>
      </c>
      <c r="C30" s="108" t="s">
        <v>526</v>
      </c>
      <c r="D30" s="108" t="s">
        <v>151</v>
      </c>
      <c r="E30" s="108" t="s">
        <v>150</v>
      </c>
      <c r="F30" s="108" t="s">
        <v>798</v>
      </c>
      <c r="G30" s="108" t="s">
        <v>419</v>
      </c>
      <c r="H30" s="105"/>
      <c r="I30" s="105" t="s">
        <v>269</v>
      </c>
    </row>
    <row r="31" spans="1:9" ht="24" x14ac:dyDescent="0.25">
      <c r="A31" s="108">
        <v>2025</v>
      </c>
      <c r="B31" s="108" t="s">
        <v>137</v>
      </c>
      <c r="C31" s="108" t="s">
        <v>526</v>
      </c>
      <c r="D31" s="108" t="s">
        <v>568</v>
      </c>
      <c r="E31" s="108" t="s">
        <v>566</v>
      </c>
      <c r="F31" s="108" t="s">
        <v>798</v>
      </c>
      <c r="G31" s="108" t="s">
        <v>436</v>
      </c>
      <c r="H31" s="107" t="s">
        <v>835</v>
      </c>
      <c r="I31" s="105" t="s">
        <v>834</v>
      </c>
    </row>
    <row r="32" spans="1:9" x14ac:dyDescent="0.25">
      <c r="A32" s="105">
        <v>2025</v>
      </c>
      <c r="B32" s="108" t="s">
        <v>69</v>
      </c>
      <c r="C32" s="108" t="s">
        <v>284</v>
      </c>
      <c r="D32" s="108" t="s">
        <v>191</v>
      </c>
      <c r="E32" s="105" t="s">
        <v>190</v>
      </c>
      <c r="F32" s="108" t="s">
        <v>798</v>
      </c>
      <c r="G32" s="108" t="s">
        <v>360</v>
      </c>
      <c r="H32" s="105"/>
      <c r="I32" s="105" t="s">
        <v>269</v>
      </c>
    </row>
    <row r="33" spans="1:9" x14ac:dyDescent="0.25">
      <c r="A33" s="105">
        <v>2025</v>
      </c>
      <c r="B33" s="108" t="s">
        <v>69</v>
      </c>
      <c r="C33" s="108" t="s">
        <v>284</v>
      </c>
      <c r="D33" s="108" t="s">
        <v>194</v>
      </c>
      <c r="E33" s="105" t="s">
        <v>193</v>
      </c>
      <c r="F33" s="108" t="s">
        <v>798</v>
      </c>
      <c r="G33" s="108" t="s">
        <v>360</v>
      </c>
      <c r="H33" s="105"/>
      <c r="I33" s="105" t="s">
        <v>269</v>
      </c>
    </row>
    <row r="34" spans="1:9" x14ac:dyDescent="0.25">
      <c r="A34" s="108">
        <v>2025</v>
      </c>
      <c r="B34" s="108" t="s">
        <v>69</v>
      </c>
      <c r="C34" s="105" t="s">
        <v>284</v>
      </c>
      <c r="D34" s="105" t="s">
        <v>197</v>
      </c>
      <c r="E34" s="105" t="s">
        <v>196</v>
      </c>
      <c r="F34" s="105" t="s">
        <v>798</v>
      </c>
      <c r="G34" s="105" t="s">
        <v>360</v>
      </c>
      <c r="H34" s="105"/>
      <c r="I34" s="105" t="s">
        <v>269</v>
      </c>
    </row>
    <row r="35" spans="1:9" x14ac:dyDescent="0.25">
      <c r="A35" s="108">
        <v>2025</v>
      </c>
      <c r="B35" s="108" t="s">
        <v>69</v>
      </c>
      <c r="C35" s="105" t="s">
        <v>284</v>
      </c>
      <c r="D35" s="105" t="s">
        <v>199</v>
      </c>
      <c r="E35" s="105" t="s">
        <v>193</v>
      </c>
      <c r="F35" s="105" t="s">
        <v>798</v>
      </c>
      <c r="G35" s="105" t="s">
        <v>360</v>
      </c>
      <c r="H35" s="105"/>
      <c r="I35" s="105" t="s">
        <v>269</v>
      </c>
    </row>
    <row r="36" spans="1:9" ht="24" x14ac:dyDescent="0.25">
      <c r="A36" s="105">
        <v>2025</v>
      </c>
      <c r="B36" s="108" t="s">
        <v>69</v>
      </c>
      <c r="C36" s="108" t="s">
        <v>284</v>
      </c>
      <c r="D36" s="108" t="s">
        <v>547</v>
      </c>
      <c r="E36" s="105" t="s">
        <v>544</v>
      </c>
      <c r="F36" s="108" t="s">
        <v>798</v>
      </c>
      <c r="G36" s="108" t="s">
        <v>360</v>
      </c>
      <c r="H36" s="107" t="s">
        <v>833</v>
      </c>
      <c r="I36" s="105" t="s">
        <v>768</v>
      </c>
    </row>
    <row r="37" spans="1:9" x14ac:dyDescent="0.25">
      <c r="A37" s="108">
        <v>2025</v>
      </c>
      <c r="B37" s="108" t="s">
        <v>69</v>
      </c>
      <c r="C37" s="105" t="s">
        <v>287</v>
      </c>
      <c r="D37" s="105" t="s">
        <v>156</v>
      </c>
      <c r="E37" s="105" t="s">
        <v>155</v>
      </c>
      <c r="F37" s="105" t="s">
        <v>798</v>
      </c>
      <c r="G37" s="105" t="s">
        <v>360</v>
      </c>
      <c r="H37" s="107"/>
      <c r="I37" s="105" t="s">
        <v>269</v>
      </c>
    </row>
    <row r="38" spans="1:9" x14ac:dyDescent="0.25">
      <c r="A38" s="108">
        <v>2025</v>
      </c>
      <c r="B38" s="108" t="s">
        <v>137</v>
      </c>
      <c r="C38" s="105" t="s">
        <v>287</v>
      </c>
      <c r="D38" s="105" t="s">
        <v>156</v>
      </c>
      <c r="E38" s="105" t="s">
        <v>155</v>
      </c>
      <c r="F38" s="105" t="s">
        <v>798</v>
      </c>
      <c r="G38" s="105" t="s">
        <v>360</v>
      </c>
      <c r="H38" s="105"/>
      <c r="I38" s="105" t="s">
        <v>269</v>
      </c>
    </row>
    <row r="39" spans="1:9" x14ac:dyDescent="0.25">
      <c r="A39" s="105">
        <v>2025</v>
      </c>
      <c r="B39" s="108" t="s">
        <v>69</v>
      </c>
      <c r="C39" s="105" t="s">
        <v>284</v>
      </c>
      <c r="D39" s="105" t="s">
        <v>201</v>
      </c>
      <c r="E39" s="105" t="s">
        <v>160</v>
      </c>
      <c r="F39" s="105" t="s">
        <v>798</v>
      </c>
      <c r="G39" s="108" t="s">
        <v>360</v>
      </c>
      <c r="H39" s="107"/>
      <c r="I39" s="105" t="s">
        <v>269</v>
      </c>
    </row>
    <row r="40" spans="1:9" x14ac:dyDescent="0.25">
      <c r="A40" s="108">
        <v>2025</v>
      </c>
      <c r="B40" s="108" t="s">
        <v>69</v>
      </c>
      <c r="C40" s="105" t="s">
        <v>287</v>
      </c>
      <c r="D40" s="105" t="s">
        <v>203</v>
      </c>
      <c r="E40" s="105" t="s">
        <v>175</v>
      </c>
      <c r="F40" s="105" t="s">
        <v>802</v>
      </c>
      <c r="G40" s="105" t="s">
        <v>360</v>
      </c>
      <c r="H40" s="105"/>
      <c r="I40" s="105" t="s">
        <v>269</v>
      </c>
    </row>
    <row r="41" spans="1:9" x14ac:dyDescent="0.25">
      <c r="A41" s="108">
        <v>2025</v>
      </c>
      <c r="B41" s="108" t="s">
        <v>69</v>
      </c>
      <c r="C41" s="105" t="s">
        <v>287</v>
      </c>
      <c r="D41" s="105" t="s">
        <v>533</v>
      </c>
      <c r="E41" s="105" t="s">
        <v>235</v>
      </c>
      <c r="F41" s="105" t="s">
        <v>798</v>
      </c>
      <c r="G41" s="105" t="s">
        <v>360</v>
      </c>
      <c r="H41" s="107"/>
      <c r="I41" s="105" t="s">
        <v>269</v>
      </c>
    </row>
    <row r="42" spans="1:9" ht="24" x14ac:dyDescent="0.25">
      <c r="A42" s="105">
        <v>2025</v>
      </c>
      <c r="B42" s="108" t="s">
        <v>69</v>
      </c>
      <c r="C42" s="108" t="s">
        <v>284</v>
      </c>
      <c r="D42" s="105" t="s">
        <v>529</v>
      </c>
      <c r="E42" s="105" t="s">
        <v>160</v>
      </c>
      <c r="F42" s="108" t="s">
        <v>798</v>
      </c>
      <c r="G42" s="108" t="s">
        <v>360</v>
      </c>
      <c r="H42" s="107" t="s">
        <v>832</v>
      </c>
      <c r="I42" s="105" t="s">
        <v>768</v>
      </c>
    </row>
    <row r="43" spans="1:9" ht="60" x14ac:dyDescent="0.25">
      <c r="A43" s="108">
        <v>2025</v>
      </c>
      <c r="B43" s="108" t="s">
        <v>137</v>
      </c>
      <c r="C43" s="108" t="s">
        <v>526</v>
      </c>
      <c r="D43" s="105" t="s">
        <v>161</v>
      </c>
      <c r="E43" s="105" t="s">
        <v>160</v>
      </c>
      <c r="F43" s="105" t="s">
        <v>798</v>
      </c>
      <c r="G43" s="105" t="s">
        <v>489</v>
      </c>
      <c r="H43" s="107"/>
      <c r="I43" s="105" t="s">
        <v>269</v>
      </c>
    </row>
    <row r="44" spans="1:9" x14ac:dyDescent="0.25">
      <c r="A44" s="108">
        <v>2025</v>
      </c>
      <c r="B44" s="108" t="s">
        <v>69</v>
      </c>
      <c r="C44" s="105" t="s">
        <v>284</v>
      </c>
      <c r="D44" s="105" t="s">
        <v>207</v>
      </c>
      <c r="E44" s="105" t="s">
        <v>206</v>
      </c>
      <c r="F44" s="105" t="s">
        <v>798</v>
      </c>
      <c r="G44" s="105" t="s">
        <v>360</v>
      </c>
      <c r="H44" s="105"/>
      <c r="I44" s="105" t="s">
        <v>269</v>
      </c>
    </row>
    <row r="45" spans="1:9" ht="24" x14ac:dyDescent="0.25">
      <c r="A45" s="108">
        <v>2025</v>
      </c>
      <c r="B45" s="108" t="s">
        <v>69</v>
      </c>
      <c r="C45" s="108" t="s">
        <v>284</v>
      </c>
      <c r="D45" s="108" t="s">
        <v>520</v>
      </c>
      <c r="E45" s="108" t="s">
        <v>517</v>
      </c>
      <c r="F45" s="108" t="s">
        <v>798</v>
      </c>
      <c r="G45" s="108" t="s">
        <v>360</v>
      </c>
      <c r="H45" s="107" t="s">
        <v>831</v>
      </c>
      <c r="I45" s="105" t="s">
        <v>768</v>
      </c>
    </row>
    <row r="46" spans="1:9" x14ac:dyDescent="0.25">
      <c r="A46" s="108">
        <v>2025</v>
      </c>
      <c r="B46" s="108" t="s">
        <v>69</v>
      </c>
      <c r="C46" s="105" t="s">
        <v>284</v>
      </c>
      <c r="D46" s="105" t="s">
        <v>165</v>
      </c>
      <c r="E46" s="105" t="s">
        <v>155</v>
      </c>
      <c r="F46" s="105" t="s">
        <v>798</v>
      </c>
      <c r="G46" s="105" t="s">
        <v>360</v>
      </c>
      <c r="H46" s="105"/>
      <c r="I46" s="105" t="s">
        <v>269</v>
      </c>
    </row>
    <row r="47" spans="1:9" x14ac:dyDescent="0.25">
      <c r="A47" s="108">
        <v>2025</v>
      </c>
      <c r="B47" s="108" t="s">
        <v>137</v>
      </c>
      <c r="C47" s="105" t="s">
        <v>284</v>
      </c>
      <c r="D47" s="105" t="s">
        <v>165</v>
      </c>
      <c r="E47" s="105" t="s">
        <v>155</v>
      </c>
      <c r="F47" s="105" t="s">
        <v>798</v>
      </c>
      <c r="G47" s="105" t="s">
        <v>360</v>
      </c>
      <c r="H47" s="105"/>
      <c r="I47" s="105" t="s">
        <v>269</v>
      </c>
    </row>
    <row r="48" spans="1:9" x14ac:dyDescent="0.25">
      <c r="A48" s="105">
        <v>2025</v>
      </c>
      <c r="B48" s="108" t="s">
        <v>69</v>
      </c>
      <c r="C48" s="108" t="s">
        <v>460</v>
      </c>
      <c r="D48" s="108" t="s">
        <v>212</v>
      </c>
      <c r="E48" s="105" t="s">
        <v>502</v>
      </c>
      <c r="F48" s="108" t="s">
        <v>798</v>
      </c>
      <c r="G48" s="108" t="s">
        <v>813</v>
      </c>
      <c r="H48" s="107"/>
      <c r="I48" s="105" t="s">
        <v>269</v>
      </c>
    </row>
    <row r="49" spans="1:9" x14ac:dyDescent="0.25">
      <c r="A49" s="108">
        <v>2025</v>
      </c>
      <c r="B49" s="108" t="s">
        <v>69</v>
      </c>
      <c r="C49" s="105" t="s">
        <v>284</v>
      </c>
      <c r="D49" s="105" t="s">
        <v>214</v>
      </c>
      <c r="E49" s="105" t="s">
        <v>206</v>
      </c>
      <c r="F49" s="105" t="s">
        <v>798</v>
      </c>
      <c r="G49" s="105" t="s">
        <v>360</v>
      </c>
      <c r="H49" s="105"/>
      <c r="I49" s="105" t="s">
        <v>269</v>
      </c>
    </row>
    <row r="50" spans="1:9" x14ac:dyDescent="0.25">
      <c r="A50" s="108">
        <v>2025</v>
      </c>
      <c r="B50" s="108" t="s">
        <v>69</v>
      </c>
      <c r="C50" s="105" t="s">
        <v>284</v>
      </c>
      <c r="D50" s="105" t="s">
        <v>217</v>
      </c>
      <c r="E50" s="105" t="s">
        <v>175</v>
      </c>
      <c r="F50" s="105" t="s">
        <v>802</v>
      </c>
      <c r="G50" s="105" t="s">
        <v>360</v>
      </c>
      <c r="H50" s="105"/>
      <c r="I50" s="105" t="s">
        <v>269</v>
      </c>
    </row>
    <row r="51" spans="1:9" ht="60" x14ac:dyDescent="0.25">
      <c r="A51" s="108">
        <v>2025</v>
      </c>
      <c r="B51" s="108" t="s">
        <v>69</v>
      </c>
      <c r="C51" s="105" t="s">
        <v>284</v>
      </c>
      <c r="D51" s="105" t="s">
        <v>220</v>
      </c>
      <c r="E51" s="105" t="s">
        <v>219</v>
      </c>
      <c r="F51" s="105" t="s">
        <v>798</v>
      </c>
      <c r="G51" s="105" t="s">
        <v>489</v>
      </c>
      <c r="H51" s="105"/>
      <c r="I51" s="105" t="s">
        <v>269</v>
      </c>
    </row>
    <row r="52" spans="1:9" ht="24" x14ac:dyDescent="0.25">
      <c r="A52" s="108">
        <v>2025</v>
      </c>
      <c r="B52" s="108" t="s">
        <v>69</v>
      </c>
      <c r="C52" s="105" t="s">
        <v>287</v>
      </c>
      <c r="D52" s="105" t="s">
        <v>223</v>
      </c>
      <c r="E52" s="105" t="s">
        <v>222</v>
      </c>
      <c r="F52" s="105" t="s">
        <v>798</v>
      </c>
      <c r="G52" s="105" t="s">
        <v>486</v>
      </c>
      <c r="H52" s="105"/>
      <c r="I52" s="105" t="s">
        <v>269</v>
      </c>
    </row>
    <row r="53" spans="1:9" ht="72" x14ac:dyDescent="0.25">
      <c r="A53" s="108">
        <v>2025</v>
      </c>
      <c r="B53" s="108" t="s">
        <v>69</v>
      </c>
      <c r="C53" s="105" t="s">
        <v>287</v>
      </c>
      <c r="D53" s="105" t="s">
        <v>228</v>
      </c>
      <c r="E53" s="105" t="s">
        <v>227</v>
      </c>
      <c r="F53" s="105" t="s">
        <v>798</v>
      </c>
      <c r="G53" s="105" t="s">
        <v>483</v>
      </c>
      <c r="H53" s="105"/>
      <c r="I53" s="105" t="s">
        <v>269</v>
      </c>
    </row>
    <row r="54" spans="1:9" ht="24" x14ac:dyDescent="0.25">
      <c r="A54" s="108">
        <v>2025</v>
      </c>
      <c r="B54" s="105" t="s">
        <v>69</v>
      </c>
      <c r="C54" s="108" t="s">
        <v>284</v>
      </c>
      <c r="D54" s="105" t="s">
        <v>167</v>
      </c>
      <c r="E54" s="108" t="s">
        <v>166</v>
      </c>
      <c r="F54" s="108" t="s">
        <v>798</v>
      </c>
      <c r="G54" s="108" t="s">
        <v>360</v>
      </c>
      <c r="H54" s="107" t="s">
        <v>830</v>
      </c>
      <c r="I54" s="105" t="s">
        <v>768</v>
      </c>
    </row>
    <row r="55" spans="1:9" ht="24" x14ac:dyDescent="0.25">
      <c r="A55" s="108">
        <v>2025</v>
      </c>
      <c r="B55" s="108" t="s">
        <v>69</v>
      </c>
      <c r="C55" s="108" t="s">
        <v>284</v>
      </c>
      <c r="D55" s="108" t="s">
        <v>829</v>
      </c>
      <c r="E55" s="108" t="s">
        <v>166</v>
      </c>
      <c r="F55" s="108" t="s">
        <v>798</v>
      </c>
      <c r="G55" s="108" t="s">
        <v>360</v>
      </c>
      <c r="H55" s="107" t="s">
        <v>828</v>
      </c>
      <c r="I55" s="105" t="s">
        <v>768</v>
      </c>
    </row>
    <row r="56" spans="1:9" ht="24" x14ac:dyDescent="0.25">
      <c r="A56" s="108">
        <v>2025</v>
      </c>
      <c r="B56" s="108" t="s">
        <v>69</v>
      </c>
      <c r="C56" s="105" t="s">
        <v>287</v>
      </c>
      <c r="D56" s="105" t="s">
        <v>827</v>
      </c>
      <c r="E56" s="105" t="s">
        <v>166</v>
      </c>
      <c r="F56" s="105" t="s">
        <v>798</v>
      </c>
      <c r="G56" s="105" t="s">
        <v>360</v>
      </c>
      <c r="H56" s="107"/>
      <c r="I56" s="105" t="s">
        <v>269</v>
      </c>
    </row>
    <row r="57" spans="1:9" x14ac:dyDescent="0.25">
      <c r="A57" s="105">
        <v>2025</v>
      </c>
      <c r="B57" s="108" t="s">
        <v>69</v>
      </c>
      <c r="C57" s="105" t="s">
        <v>460</v>
      </c>
      <c r="D57" s="105" t="s">
        <v>236</v>
      </c>
      <c r="E57" s="105" t="s">
        <v>235</v>
      </c>
      <c r="F57" s="105" t="s">
        <v>798</v>
      </c>
      <c r="G57" s="105" t="s">
        <v>826</v>
      </c>
      <c r="H57" s="105"/>
      <c r="I57" s="105" t="s">
        <v>269</v>
      </c>
    </row>
    <row r="58" spans="1:9" x14ac:dyDescent="0.25">
      <c r="A58" s="108">
        <v>2025</v>
      </c>
      <c r="B58" s="108" t="s">
        <v>290</v>
      </c>
      <c r="C58" s="105" t="s">
        <v>287</v>
      </c>
      <c r="D58" s="105" t="s">
        <v>37</v>
      </c>
      <c r="E58" s="105" t="s">
        <v>351</v>
      </c>
      <c r="F58" s="105" t="s">
        <v>798</v>
      </c>
      <c r="G58" s="105" t="s">
        <v>321</v>
      </c>
      <c r="H58" s="105"/>
      <c r="I58" s="105" t="s">
        <v>269</v>
      </c>
    </row>
    <row r="59" spans="1:9" x14ac:dyDescent="0.25">
      <c r="A59" s="108">
        <v>2025</v>
      </c>
      <c r="B59" s="108" t="s">
        <v>290</v>
      </c>
      <c r="C59" s="105" t="s">
        <v>353</v>
      </c>
      <c r="D59" s="105" t="s">
        <v>83</v>
      </c>
      <c r="E59" s="105" t="s">
        <v>454</v>
      </c>
      <c r="F59" s="105" t="s">
        <v>798</v>
      </c>
      <c r="G59" s="105" t="s">
        <v>360</v>
      </c>
      <c r="H59" s="105"/>
      <c r="I59" s="105" t="s">
        <v>269</v>
      </c>
    </row>
    <row r="60" spans="1:9" ht="24" x14ac:dyDescent="0.25">
      <c r="A60" s="108">
        <v>2025</v>
      </c>
      <c r="B60" s="108" t="s">
        <v>290</v>
      </c>
      <c r="C60" s="108" t="s">
        <v>353</v>
      </c>
      <c r="D60" s="108" t="s">
        <v>449</v>
      </c>
      <c r="E60" s="108" t="s">
        <v>190</v>
      </c>
      <c r="F60" s="108" t="s">
        <v>798</v>
      </c>
      <c r="G60" s="108" t="s">
        <v>321</v>
      </c>
      <c r="H60" s="107" t="s">
        <v>825</v>
      </c>
      <c r="I60" s="105" t="s">
        <v>768</v>
      </c>
    </row>
    <row r="61" spans="1:9" ht="24" x14ac:dyDescent="0.25">
      <c r="A61" s="108">
        <v>2025</v>
      </c>
      <c r="B61" s="108" t="s">
        <v>290</v>
      </c>
      <c r="C61" s="105" t="s">
        <v>353</v>
      </c>
      <c r="D61" s="105" t="s">
        <v>444</v>
      </c>
      <c r="E61" s="105" t="s">
        <v>442</v>
      </c>
      <c r="F61" s="105" t="s">
        <v>798</v>
      </c>
      <c r="G61" s="105" t="s">
        <v>436</v>
      </c>
      <c r="H61" s="105"/>
      <c r="I61" s="105" t="s">
        <v>269</v>
      </c>
    </row>
    <row r="62" spans="1:9" ht="24" x14ac:dyDescent="0.25">
      <c r="A62" s="108">
        <v>2025</v>
      </c>
      <c r="B62" s="108" t="s">
        <v>290</v>
      </c>
      <c r="C62" s="108" t="s">
        <v>353</v>
      </c>
      <c r="D62" s="105" t="s">
        <v>90</v>
      </c>
      <c r="E62" s="108" t="s">
        <v>206</v>
      </c>
      <c r="F62" s="108" t="s">
        <v>798</v>
      </c>
      <c r="G62" s="108" t="s">
        <v>360</v>
      </c>
      <c r="H62" s="107" t="s">
        <v>824</v>
      </c>
      <c r="I62" s="105" t="s">
        <v>768</v>
      </c>
    </row>
    <row r="63" spans="1:9" x14ac:dyDescent="0.25">
      <c r="A63" s="108">
        <v>2025</v>
      </c>
      <c r="B63" s="108" t="s">
        <v>290</v>
      </c>
      <c r="C63" s="105" t="s">
        <v>353</v>
      </c>
      <c r="D63" s="105" t="s">
        <v>425</v>
      </c>
      <c r="E63" s="105" t="s">
        <v>150</v>
      </c>
      <c r="F63" s="105" t="s">
        <v>798</v>
      </c>
      <c r="G63" s="105" t="s">
        <v>419</v>
      </c>
      <c r="H63" s="107"/>
      <c r="I63" s="105" t="s">
        <v>269</v>
      </c>
    </row>
    <row r="64" spans="1:9" ht="24" x14ac:dyDescent="0.25">
      <c r="A64" s="108">
        <v>2025</v>
      </c>
      <c r="B64" s="108" t="s">
        <v>290</v>
      </c>
      <c r="C64" s="105" t="s">
        <v>353</v>
      </c>
      <c r="D64" s="105" t="s">
        <v>94</v>
      </c>
      <c r="E64" s="105" t="s">
        <v>416</v>
      </c>
      <c r="F64" s="105" t="s">
        <v>798</v>
      </c>
      <c r="G64" s="105" t="s">
        <v>412</v>
      </c>
      <c r="H64" s="105"/>
      <c r="I64" s="105" t="s">
        <v>269</v>
      </c>
    </row>
    <row r="65" spans="1:9" ht="36" x14ac:dyDescent="0.25">
      <c r="A65" s="108">
        <v>2025</v>
      </c>
      <c r="B65" s="108" t="s">
        <v>290</v>
      </c>
      <c r="C65" s="105" t="s">
        <v>353</v>
      </c>
      <c r="D65" s="105" t="s">
        <v>97</v>
      </c>
      <c r="E65" s="105" t="s">
        <v>408</v>
      </c>
      <c r="F65" s="105" t="s">
        <v>798</v>
      </c>
      <c r="G65" s="105" t="s">
        <v>403</v>
      </c>
      <c r="H65" s="105"/>
      <c r="I65" s="105" t="s">
        <v>269</v>
      </c>
    </row>
    <row r="66" spans="1:9" x14ac:dyDescent="0.25">
      <c r="A66" s="108">
        <v>2025</v>
      </c>
      <c r="B66" s="108" t="s">
        <v>290</v>
      </c>
      <c r="C66" s="105" t="s">
        <v>353</v>
      </c>
      <c r="D66" s="105" t="s">
        <v>101</v>
      </c>
      <c r="E66" s="105" t="s">
        <v>193</v>
      </c>
      <c r="F66" s="105" t="s">
        <v>798</v>
      </c>
      <c r="G66" s="105" t="s">
        <v>321</v>
      </c>
      <c r="H66" s="105"/>
      <c r="I66" s="105" t="s">
        <v>269</v>
      </c>
    </row>
    <row r="67" spans="1:9" x14ac:dyDescent="0.25">
      <c r="A67" s="108">
        <v>2025</v>
      </c>
      <c r="B67" s="108" t="s">
        <v>290</v>
      </c>
      <c r="C67" s="105" t="s">
        <v>353</v>
      </c>
      <c r="D67" s="105" t="s">
        <v>118</v>
      </c>
      <c r="E67" s="105" t="s">
        <v>190</v>
      </c>
      <c r="F67" s="105" t="s">
        <v>798</v>
      </c>
      <c r="G67" s="105" t="s">
        <v>360</v>
      </c>
      <c r="H67" s="105"/>
      <c r="I67" s="105" t="s">
        <v>269</v>
      </c>
    </row>
    <row r="68" spans="1:9" x14ac:dyDescent="0.25">
      <c r="A68" s="108">
        <v>2025</v>
      </c>
      <c r="B68" s="108" t="s">
        <v>290</v>
      </c>
      <c r="C68" s="105" t="s">
        <v>353</v>
      </c>
      <c r="D68" s="105" t="s">
        <v>105</v>
      </c>
      <c r="E68" s="105" t="s">
        <v>193</v>
      </c>
      <c r="F68" s="105" t="s">
        <v>798</v>
      </c>
      <c r="G68" s="105" t="s">
        <v>360</v>
      </c>
      <c r="H68" s="105"/>
      <c r="I68" s="105" t="s">
        <v>269</v>
      </c>
    </row>
    <row r="69" spans="1:9" x14ac:dyDescent="0.25">
      <c r="A69" s="108">
        <v>2025</v>
      </c>
      <c r="B69" s="108" t="s">
        <v>290</v>
      </c>
      <c r="C69" s="105" t="s">
        <v>353</v>
      </c>
      <c r="D69" s="105" t="s">
        <v>379</v>
      </c>
      <c r="E69" s="105" t="s">
        <v>377</v>
      </c>
      <c r="F69" s="105" t="s">
        <v>798</v>
      </c>
      <c r="G69" s="105" t="s">
        <v>360</v>
      </c>
      <c r="H69" s="105"/>
      <c r="I69" s="105" t="s">
        <v>269</v>
      </c>
    </row>
    <row r="70" spans="1:9" ht="24" x14ac:dyDescent="0.25">
      <c r="A70" s="108">
        <v>2025</v>
      </c>
      <c r="B70" s="108" t="s">
        <v>290</v>
      </c>
      <c r="C70" s="108" t="s">
        <v>353</v>
      </c>
      <c r="D70" s="108" t="s">
        <v>369</v>
      </c>
      <c r="E70" s="108" t="s">
        <v>190</v>
      </c>
      <c r="F70" s="108" t="s">
        <v>798</v>
      </c>
      <c r="G70" s="108" t="s">
        <v>360</v>
      </c>
      <c r="H70" s="107" t="s">
        <v>823</v>
      </c>
      <c r="I70" s="105" t="s">
        <v>768</v>
      </c>
    </row>
    <row r="71" spans="1:9" ht="24" x14ac:dyDescent="0.25">
      <c r="A71" s="108">
        <v>2025</v>
      </c>
      <c r="B71" s="108" t="s">
        <v>290</v>
      </c>
      <c r="C71" s="105" t="s">
        <v>353</v>
      </c>
      <c r="D71" s="105" t="s">
        <v>114</v>
      </c>
      <c r="E71" s="105" t="s">
        <v>351</v>
      </c>
      <c r="F71" s="105" t="s">
        <v>798</v>
      </c>
      <c r="G71" s="105" t="s">
        <v>348</v>
      </c>
      <c r="H71" s="105"/>
      <c r="I71" s="105" t="s">
        <v>269</v>
      </c>
    </row>
    <row r="72" spans="1:9" x14ac:dyDescent="0.25">
      <c r="A72" s="105">
        <v>2026</v>
      </c>
      <c r="B72" s="108" t="s">
        <v>69</v>
      </c>
      <c r="C72" s="105" t="s">
        <v>284</v>
      </c>
      <c r="D72" s="105" t="s">
        <v>129</v>
      </c>
      <c r="E72" s="105" t="s">
        <v>340</v>
      </c>
      <c r="F72" s="105" t="s">
        <v>798</v>
      </c>
      <c r="G72" s="105" t="s">
        <v>321</v>
      </c>
      <c r="H72" s="105"/>
      <c r="I72" s="105" t="s">
        <v>269</v>
      </c>
    </row>
    <row r="73" spans="1:9" x14ac:dyDescent="0.25">
      <c r="A73" s="105">
        <v>2026</v>
      </c>
      <c r="B73" s="108" t="s">
        <v>69</v>
      </c>
      <c r="C73" s="105" t="s">
        <v>329</v>
      </c>
      <c r="D73" s="105" t="s">
        <v>71</v>
      </c>
      <c r="E73" s="105" t="s">
        <v>206</v>
      </c>
      <c r="F73" s="105" t="s">
        <v>798</v>
      </c>
      <c r="G73" s="108" t="s">
        <v>360</v>
      </c>
      <c r="H73" s="105"/>
      <c r="I73" s="105" t="s">
        <v>269</v>
      </c>
    </row>
    <row r="74" spans="1:9" ht="24" x14ac:dyDescent="0.25">
      <c r="A74" s="105">
        <v>2026</v>
      </c>
      <c r="B74" s="108" t="s">
        <v>69</v>
      </c>
      <c r="C74" s="105" t="s">
        <v>329</v>
      </c>
      <c r="D74" s="105" t="s">
        <v>77</v>
      </c>
      <c r="E74" s="105" t="s">
        <v>227</v>
      </c>
      <c r="F74" s="105" t="s">
        <v>798</v>
      </c>
      <c r="G74" s="108" t="s">
        <v>360</v>
      </c>
      <c r="H74" s="107"/>
      <c r="I74" s="105" t="s">
        <v>269</v>
      </c>
    </row>
    <row r="75" spans="1:9" x14ac:dyDescent="0.25">
      <c r="A75" s="105">
        <v>2026</v>
      </c>
      <c r="B75" s="108" t="s">
        <v>290</v>
      </c>
      <c r="C75" s="105" t="s">
        <v>353</v>
      </c>
      <c r="D75" s="105" t="s">
        <v>27</v>
      </c>
      <c r="E75" s="105" t="s">
        <v>160</v>
      </c>
      <c r="F75" s="105" t="s">
        <v>798</v>
      </c>
      <c r="G75" s="105" t="s">
        <v>321</v>
      </c>
      <c r="H75" s="107"/>
      <c r="I75" s="105" t="s">
        <v>269</v>
      </c>
    </row>
    <row r="76" spans="1:9" x14ac:dyDescent="0.25">
      <c r="A76" s="105">
        <v>2026</v>
      </c>
      <c r="B76" s="108" t="s">
        <v>290</v>
      </c>
      <c r="C76" s="105" t="s">
        <v>284</v>
      </c>
      <c r="D76" s="105" t="s">
        <v>43</v>
      </c>
      <c r="E76" s="105" t="s">
        <v>314</v>
      </c>
      <c r="F76" s="105" t="s">
        <v>798</v>
      </c>
      <c r="G76" s="108" t="s">
        <v>360</v>
      </c>
      <c r="H76" s="107"/>
      <c r="I76" s="105" t="s">
        <v>269</v>
      </c>
    </row>
    <row r="77" spans="1:9" x14ac:dyDescent="0.25">
      <c r="A77" s="105">
        <v>2026</v>
      </c>
      <c r="B77" s="108" t="s">
        <v>290</v>
      </c>
      <c r="C77" s="105" t="s">
        <v>284</v>
      </c>
      <c r="D77" s="105" t="s">
        <v>49</v>
      </c>
      <c r="E77" s="105" t="s">
        <v>311</v>
      </c>
      <c r="F77" s="105" t="s">
        <v>798</v>
      </c>
      <c r="G77" s="108" t="s">
        <v>321</v>
      </c>
      <c r="H77" s="107"/>
      <c r="I77" s="105" t="s">
        <v>269</v>
      </c>
    </row>
    <row r="78" spans="1:9" x14ac:dyDescent="0.25">
      <c r="A78" s="105">
        <v>2026</v>
      </c>
      <c r="B78" s="108" t="s">
        <v>290</v>
      </c>
      <c r="C78" s="105" t="s">
        <v>284</v>
      </c>
      <c r="D78" s="105" t="s">
        <v>55</v>
      </c>
      <c r="E78" s="105" t="s">
        <v>302</v>
      </c>
      <c r="F78" s="105" t="s">
        <v>798</v>
      </c>
      <c r="G78" s="108" t="s">
        <v>360</v>
      </c>
      <c r="H78" s="107"/>
      <c r="I78" s="105" t="s">
        <v>269</v>
      </c>
    </row>
    <row r="79" spans="1:9" x14ac:dyDescent="0.25">
      <c r="A79" s="105">
        <v>2026</v>
      </c>
      <c r="B79" s="108" t="s">
        <v>290</v>
      </c>
      <c r="C79" s="105" t="s">
        <v>284</v>
      </c>
      <c r="D79" s="105" t="s">
        <v>60</v>
      </c>
      <c r="E79" s="105" t="s">
        <v>305</v>
      </c>
      <c r="F79" s="105" t="s">
        <v>798</v>
      </c>
      <c r="G79" s="108" t="s">
        <v>360</v>
      </c>
      <c r="H79" s="107"/>
      <c r="I79" s="105" t="s">
        <v>269</v>
      </c>
    </row>
    <row r="80" spans="1:9" x14ac:dyDescent="0.25">
      <c r="A80" s="105">
        <v>2026</v>
      </c>
      <c r="B80" s="108" t="s">
        <v>69</v>
      </c>
      <c r="C80" s="105" t="s">
        <v>287</v>
      </c>
      <c r="D80" s="105" t="s">
        <v>81</v>
      </c>
      <c r="E80" s="105" t="s">
        <v>190</v>
      </c>
      <c r="F80" s="105" t="s">
        <v>798</v>
      </c>
      <c r="G80" s="108" t="s">
        <v>360</v>
      </c>
      <c r="H80" s="107"/>
      <c r="I80" s="105" t="s">
        <v>269</v>
      </c>
    </row>
    <row r="81" spans="1:9" x14ac:dyDescent="0.25">
      <c r="A81" s="105">
        <v>2026</v>
      </c>
      <c r="B81" s="108" t="s">
        <v>69</v>
      </c>
      <c r="C81" s="105" t="s">
        <v>287</v>
      </c>
      <c r="D81" s="105" t="s">
        <v>120</v>
      </c>
      <c r="E81" s="105" t="s">
        <v>302</v>
      </c>
      <c r="F81" s="105" t="s">
        <v>798</v>
      </c>
      <c r="G81" s="108" t="s">
        <v>820</v>
      </c>
      <c r="H81" s="107"/>
      <c r="I81" s="105" t="s">
        <v>269</v>
      </c>
    </row>
    <row r="82" spans="1:9" x14ac:dyDescent="0.25">
      <c r="A82" s="105">
        <v>2026</v>
      </c>
      <c r="B82" s="108" t="s">
        <v>69</v>
      </c>
      <c r="C82" s="105" t="s">
        <v>287</v>
      </c>
      <c r="D82" s="105" t="s">
        <v>135</v>
      </c>
      <c r="E82" s="105" t="s">
        <v>299</v>
      </c>
      <c r="F82" s="105" t="s">
        <v>798</v>
      </c>
      <c r="G82" s="108" t="s">
        <v>360</v>
      </c>
      <c r="H82" s="107"/>
      <c r="I82" s="105" t="s">
        <v>269</v>
      </c>
    </row>
    <row r="83" spans="1:9" x14ac:dyDescent="0.25">
      <c r="A83" s="105">
        <v>2026</v>
      </c>
      <c r="B83" s="108" t="s">
        <v>69</v>
      </c>
      <c r="C83" s="105" t="s">
        <v>287</v>
      </c>
      <c r="D83" s="105" t="s">
        <v>126</v>
      </c>
      <c r="E83" s="105" t="s">
        <v>253</v>
      </c>
      <c r="F83" s="105" t="s">
        <v>798</v>
      </c>
      <c r="G83" s="108" t="s">
        <v>360</v>
      </c>
      <c r="H83" s="107"/>
      <c r="I83" s="105" t="s">
        <v>269</v>
      </c>
    </row>
    <row r="84" spans="1:9" ht="36" x14ac:dyDescent="0.25">
      <c r="A84" s="105">
        <v>2026</v>
      </c>
      <c r="B84" s="108" t="s">
        <v>69</v>
      </c>
      <c r="C84" s="105" t="s">
        <v>287</v>
      </c>
      <c r="D84" s="105" t="s">
        <v>123</v>
      </c>
      <c r="E84" s="105" t="s">
        <v>166</v>
      </c>
      <c r="F84" s="105" t="s">
        <v>798</v>
      </c>
      <c r="G84" s="105" t="s">
        <v>822</v>
      </c>
      <c r="H84" s="107"/>
      <c r="I84" s="105" t="s">
        <v>269</v>
      </c>
    </row>
    <row r="85" spans="1:9" x14ac:dyDescent="0.25">
      <c r="A85" s="105">
        <v>2026</v>
      </c>
      <c r="B85" s="108" t="s">
        <v>290</v>
      </c>
      <c r="C85" s="105" t="s">
        <v>353</v>
      </c>
      <c r="D85" s="105" t="s">
        <v>64</v>
      </c>
      <c r="E85" s="105" t="s">
        <v>288</v>
      </c>
      <c r="F85" s="105" t="s">
        <v>798</v>
      </c>
      <c r="G85" s="108" t="s">
        <v>360</v>
      </c>
      <c r="H85" s="107"/>
      <c r="I85" s="105" t="s">
        <v>269</v>
      </c>
    </row>
    <row r="86" spans="1:9" x14ac:dyDescent="0.25">
      <c r="A86" s="105">
        <v>2026</v>
      </c>
      <c r="B86" s="108" t="s">
        <v>69</v>
      </c>
      <c r="C86" s="105" t="s">
        <v>287</v>
      </c>
      <c r="D86" s="105" t="s">
        <v>132</v>
      </c>
      <c r="E86" s="105" t="s">
        <v>244</v>
      </c>
      <c r="F86" s="105" t="s">
        <v>802</v>
      </c>
      <c r="G86" s="108" t="s">
        <v>360</v>
      </c>
      <c r="H86" s="107"/>
      <c r="I86" s="105" t="s">
        <v>269</v>
      </c>
    </row>
    <row r="87" spans="1:9" x14ac:dyDescent="0.25">
      <c r="A87" s="105">
        <v>2026</v>
      </c>
      <c r="B87" s="108" t="s">
        <v>69</v>
      </c>
      <c r="C87" s="105" t="s">
        <v>284</v>
      </c>
      <c r="D87" s="105" t="s">
        <v>245</v>
      </c>
      <c r="E87" s="105" t="s">
        <v>244</v>
      </c>
      <c r="F87" s="105" t="s">
        <v>802</v>
      </c>
      <c r="G87" s="108" t="s">
        <v>360</v>
      </c>
      <c r="H87" s="107"/>
      <c r="I87" s="105" t="s">
        <v>269</v>
      </c>
    </row>
    <row r="88" spans="1:9" x14ac:dyDescent="0.25">
      <c r="A88" s="105">
        <v>2026</v>
      </c>
      <c r="B88" s="108" t="s">
        <v>290</v>
      </c>
      <c r="C88" s="105" t="s">
        <v>353</v>
      </c>
      <c r="D88" s="105" t="s">
        <v>68</v>
      </c>
      <c r="E88" s="105" t="s">
        <v>280</v>
      </c>
      <c r="F88" s="105" t="s">
        <v>798</v>
      </c>
      <c r="G88" s="108" t="s">
        <v>360</v>
      </c>
      <c r="H88" s="107"/>
      <c r="I88" s="105" t="s">
        <v>269</v>
      </c>
    </row>
    <row r="89" spans="1:9" x14ac:dyDescent="0.25">
      <c r="A89" s="105">
        <v>2026</v>
      </c>
      <c r="B89" s="108" t="s">
        <v>290</v>
      </c>
      <c r="C89" s="105" t="s">
        <v>353</v>
      </c>
      <c r="D89" s="105" t="s">
        <v>279</v>
      </c>
      <c r="E89" s="105" t="s">
        <v>278</v>
      </c>
      <c r="F89" s="105" t="s">
        <v>798</v>
      </c>
      <c r="G89" s="108" t="s">
        <v>360</v>
      </c>
      <c r="H89" s="107"/>
      <c r="I89" s="105" t="s">
        <v>269</v>
      </c>
    </row>
    <row r="90" spans="1:9" x14ac:dyDescent="0.25">
      <c r="A90" s="105">
        <v>2026</v>
      </c>
      <c r="B90" s="108" t="s">
        <v>290</v>
      </c>
      <c r="C90" s="105" t="s">
        <v>353</v>
      </c>
      <c r="D90" s="105" t="s">
        <v>276</v>
      </c>
      <c r="E90" s="105" t="s">
        <v>819</v>
      </c>
      <c r="F90" s="105" t="s">
        <v>798</v>
      </c>
      <c r="G90" s="41" t="s">
        <v>321</v>
      </c>
      <c r="H90" s="107"/>
      <c r="I90" s="105" t="s">
        <v>269</v>
      </c>
    </row>
    <row r="91" spans="1:9" ht="24" x14ac:dyDescent="0.25">
      <c r="A91" s="105">
        <v>2026</v>
      </c>
      <c r="B91" s="108" t="s">
        <v>137</v>
      </c>
      <c r="C91" s="108" t="s">
        <v>526</v>
      </c>
      <c r="D91" s="105" t="s">
        <v>272</v>
      </c>
      <c r="E91" s="105" t="s">
        <v>273</v>
      </c>
      <c r="F91" s="105" t="s">
        <v>798</v>
      </c>
      <c r="G91" s="108" t="s">
        <v>821</v>
      </c>
      <c r="H91" s="107"/>
      <c r="I91" s="105" t="s">
        <v>269</v>
      </c>
    </row>
    <row r="92" spans="1:9" x14ac:dyDescent="0.25">
      <c r="A92" s="105">
        <v>2026</v>
      </c>
      <c r="B92" s="108" t="s">
        <v>137</v>
      </c>
      <c r="C92" s="108" t="s">
        <v>526</v>
      </c>
      <c r="D92" s="105" t="s">
        <v>240</v>
      </c>
      <c r="E92" s="105" t="s">
        <v>239</v>
      </c>
      <c r="F92" s="105" t="s">
        <v>798</v>
      </c>
      <c r="G92" s="108" t="s">
        <v>820</v>
      </c>
      <c r="H92" s="107"/>
      <c r="I92" s="105" t="s">
        <v>269</v>
      </c>
    </row>
    <row r="93" spans="1:9" x14ac:dyDescent="0.25">
      <c r="A93" s="105">
        <v>2026</v>
      </c>
      <c r="B93" s="108" t="s">
        <v>137</v>
      </c>
      <c r="C93" s="108" t="s">
        <v>526</v>
      </c>
      <c r="D93" s="105" t="s">
        <v>265</v>
      </c>
      <c r="E93" s="105" t="s">
        <v>819</v>
      </c>
      <c r="F93" s="105" t="s">
        <v>798</v>
      </c>
      <c r="G93" s="108" t="s">
        <v>360</v>
      </c>
      <c r="H93" s="107"/>
      <c r="I93" s="105" t="s">
        <v>269</v>
      </c>
    </row>
    <row r="94" spans="1:9" ht="24" hidden="1" x14ac:dyDescent="0.25">
      <c r="A94" s="105">
        <v>2026</v>
      </c>
      <c r="B94" s="108" t="s">
        <v>801</v>
      </c>
      <c r="C94" s="105" t="s">
        <v>801</v>
      </c>
      <c r="D94" s="105" t="s">
        <v>818</v>
      </c>
      <c r="E94" s="105" t="s">
        <v>817</v>
      </c>
      <c r="F94" s="105" t="s">
        <v>814</v>
      </c>
      <c r="G94" s="105" t="s">
        <v>813</v>
      </c>
      <c r="H94" s="107"/>
      <c r="I94" s="105" t="s">
        <v>269</v>
      </c>
    </row>
    <row r="95" spans="1:9" ht="24" hidden="1" x14ac:dyDescent="0.25">
      <c r="A95" s="105">
        <v>2026</v>
      </c>
      <c r="B95" s="108" t="s">
        <v>801</v>
      </c>
      <c r="C95" s="105" t="s">
        <v>801</v>
      </c>
      <c r="D95" s="105" t="s">
        <v>816</v>
      </c>
      <c r="E95" s="105" t="s">
        <v>815</v>
      </c>
      <c r="F95" s="105" t="s">
        <v>814</v>
      </c>
      <c r="G95" s="105" t="s">
        <v>813</v>
      </c>
      <c r="H95" s="107"/>
      <c r="I95" s="105" t="s">
        <v>269</v>
      </c>
    </row>
    <row r="96" spans="1:9" ht="24" hidden="1" x14ac:dyDescent="0.25">
      <c r="A96" s="105">
        <v>2026</v>
      </c>
      <c r="B96" s="108" t="s">
        <v>801</v>
      </c>
      <c r="C96" s="105" t="s">
        <v>801</v>
      </c>
      <c r="D96" s="105" t="s">
        <v>812</v>
      </c>
      <c r="E96" s="105" t="s">
        <v>811</v>
      </c>
      <c r="F96" s="105" t="s">
        <v>798</v>
      </c>
      <c r="G96" s="105" t="s">
        <v>360</v>
      </c>
      <c r="H96" s="107"/>
      <c r="I96" s="105" t="s">
        <v>269</v>
      </c>
    </row>
    <row r="97" spans="1:9" ht="24" hidden="1" x14ac:dyDescent="0.25">
      <c r="A97" s="105">
        <v>2026</v>
      </c>
      <c r="B97" s="108" t="s">
        <v>801</v>
      </c>
      <c r="C97" s="105" t="s">
        <v>801</v>
      </c>
      <c r="D97" s="105" t="s">
        <v>810</v>
      </c>
      <c r="E97" s="105" t="s">
        <v>227</v>
      </c>
      <c r="F97" s="105" t="s">
        <v>798</v>
      </c>
      <c r="G97" s="105" t="s">
        <v>360</v>
      </c>
      <c r="H97" s="107"/>
      <c r="I97" s="105" t="s">
        <v>269</v>
      </c>
    </row>
    <row r="98" spans="1:9" hidden="1" x14ac:dyDescent="0.25">
      <c r="A98" s="105">
        <v>2026</v>
      </c>
      <c r="B98" s="108" t="s">
        <v>801</v>
      </c>
      <c r="C98" s="105" t="s">
        <v>801</v>
      </c>
      <c r="D98" s="105" t="s">
        <v>809</v>
      </c>
      <c r="E98" s="105" t="s">
        <v>720</v>
      </c>
      <c r="F98" s="105" t="s">
        <v>798</v>
      </c>
      <c r="G98" s="105" t="s">
        <v>321</v>
      </c>
      <c r="H98" s="107"/>
      <c r="I98" s="105" t="s">
        <v>269</v>
      </c>
    </row>
    <row r="99" spans="1:9" hidden="1" x14ac:dyDescent="0.25">
      <c r="A99" s="105">
        <v>2026</v>
      </c>
      <c r="B99" s="108" t="s">
        <v>801</v>
      </c>
      <c r="C99" s="105" t="s">
        <v>801</v>
      </c>
      <c r="D99" s="105" t="s">
        <v>808</v>
      </c>
      <c r="E99" s="105" t="s">
        <v>807</v>
      </c>
      <c r="F99" s="105" t="s">
        <v>798</v>
      </c>
      <c r="G99" s="105" t="s">
        <v>321</v>
      </c>
      <c r="H99" s="107"/>
      <c r="I99" s="105" t="s">
        <v>269</v>
      </c>
    </row>
    <row r="100" spans="1:9" ht="24" hidden="1" x14ac:dyDescent="0.25">
      <c r="A100" s="105">
        <v>2026</v>
      </c>
      <c r="B100" s="108" t="s">
        <v>801</v>
      </c>
      <c r="C100" s="105" t="s">
        <v>801</v>
      </c>
      <c r="D100" s="105" t="s">
        <v>806</v>
      </c>
      <c r="E100" s="105" t="s">
        <v>805</v>
      </c>
      <c r="F100" s="105" t="s">
        <v>798</v>
      </c>
      <c r="G100" s="105" t="s">
        <v>321</v>
      </c>
      <c r="H100" s="107"/>
      <c r="I100" s="105" t="s">
        <v>269</v>
      </c>
    </row>
    <row r="101" spans="1:9" hidden="1" x14ac:dyDescent="0.25">
      <c r="A101" s="105">
        <v>2026</v>
      </c>
      <c r="B101" s="108" t="s">
        <v>801</v>
      </c>
      <c r="C101" s="105" t="s">
        <v>801</v>
      </c>
      <c r="D101" s="105" t="s">
        <v>804</v>
      </c>
      <c r="E101" s="105" t="s">
        <v>288</v>
      </c>
      <c r="F101" s="105" t="s">
        <v>798</v>
      </c>
      <c r="G101" s="105" t="s">
        <v>321</v>
      </c>
      <c r="H101" s="107"/>
      <c r="I101" s="105" t="s">
        <v>269</v>
      </c>
    </row>
    <row r="102" spans="1:9" hidden="1" x14ac:dyDescent="0.25">
      <c r="A102" s="105">
        <v>2026</v>
      </c>
      <c r="B102" s="108" t="s">
        <v>801</v>
      </c>
      <c r="C102" s="105" t="s">
        <v>801</v>
      </c>
      <c r="D102" s="105" t="s">
        <v>803</v>
      </c>
      <c r="E102" s="105" t="s">
        <v>244</v>
      </c>
      <c r="F102" s="105" t="s">
        <v>802</v>
      </c>
      <c r="G102" s="105" t="s">
        <v>321</v>
      </c>
      <c r="H102" s="107"/>
      <c r="I102" s="105" t="s">
        <v>269</v>
      </c>
    </row>
    <row r="103" spans="1:9" hidden="1" x14ac:dyDescent="0.25">
      <c r="A103" s="105">
        <v>2026</v>
      </c>
      <c r="B103" s="108" t="s">
        <v>801</v>
      </c>
      <c r="C103" s="105" t="s">
        <v>801</v>
      </c>
      <c r="D103" s="105" t="s">
        <v>800</v>
      </c>
      <c r="E103" s="105" t="s">
        <v>799</v>
      </c>
      <c r="F103" s="105" t="s">
        <v>798</v>
      </c>
      <c r="G103" s="105" t="s">
        <v>321</v>
      </c>
      <c r="H103" s="107"/>
      <c r="I103" s="105" t="s">
        <v>269</v>
      </c>
    </row>
    <row r="104" spans="1:9" ht="24" hidden="1" x14ac:dyDescent="0.25">
      <c r="A104" s="106">
        <v>2025</v>
      </c>
      <c r="B104" s="106" t="s">
        <v>774</v>
      </c>
      <c r="C104" s="106" t="s">
        <v>774</v>
      </c>
      <c r="D104" s="106" t="s">
        <v>797</v>
      </c>
      <c r="E104" s="105" t="s">
        <v>796</v>
      </c>
      <c r="F104" s="105" t="s">
        <v>771</v>
      </c>
      <c r="G104" s="105" t="s">
        <v>770</v>
      </c>
      <c r="H104" s="105" t="s">
        <v>795</v>
      </c>
      <c r="I104" s="105" t="s">
        <v>768</v>
      </c>
    </row>
    <row r="105" spans="1:9" ht="24" hidden="1" x14ac:dyDescent="0.25">
      <c r="A105" s="106">
        <v>2025</v>
      </c>
      <c r="B105" s="106" t="s">
        <v>774</v>
      </c>
      <c r="C105" s="106" t="s">
        <v>774</v>
      </c>
      <c r="D105" s="106" t="s">
        <v>794</v>
      </c>
      <c r="E105" s="105" t="s">
        <v>793</v>
      </c>
      <c r="F105" s="105" t="s">
        <v>771</v>
      </c>
      <c r="G105" s="105" t="s">
        <v>783</v>
      </c>
      <c r="H105" s="105" t="s">
        <v>792</v>
      </c>
      <c r="I105" s="105" t="s">
        <v>768</v>
      </c>
    </row>
    <row r="106" spans="1:9" ht="24" hidden="1" x14ac:dyDescent="0.25">
      <c r="A106" s="106">
        <v>2025</v>
      </c>
      <c r="B106" s="106" t="s">
        <v>774</v>
      </c>
      <c r="C106" s="106" t="s">
        <v>774</v>
      </c>
      <c r="D106" s="106" t="s">
        <v>791</v>
      </c>
      <c r="E106" s="105" t="s">
        <v>790</v>
      </c>
      <c r="F106" s="105" t="s">
        <v>771</v>
      </c>
      <c r="G106" s="105" t="s">
        <v>770</v>
      </c>
      <c r="H106" s="105" t="s">
        <v>789</v>
      </c>
      <c r="I106" s="105" t="s">
        <v>768</v>
      </c>
    </row>
    <row r="107" spans="1:9" ht="24" hidden="1" x14ac:dyDescent="0.25">
      <c r="A107" s="106">
        <v>2025</v>
      </c>
      <c r="B107" s="106" t="s">
        <v>774</v>
      </c>
      <c r="C107" s="106" t="s">
        <v>774</v>
      </c>
      <c r="D107" s="106" t="s">
        <v>788</v>
      </c>
      <c r="E107" s="105" t="s">
        <v>185</v>
      </c>
      <c r="F107" s="105" t="s">
        <v>771</v>
      </c>
      <c r="G107" s="105" t="s">
        <v>770</v>
      </c>
      <c r="H107" s="105" t="s">
        <v>787</v>
      </c>
      <c r="I107" s="105" t="s">
        <v>768</v>
      </c>
    </row>
    <row r="108" spans="1:9" ht="24" hidden="1" x14ac:dyDescent="0.25">
      <c r="A108" s="106">
        <v>2025</v>
      </c>
      <c r="B108" s="106" t="s">
        <v>774</v>
      </c>
      <c r="C108" s="106" t="s">
        <v>774</v>
      </c>
      <c r="D108" s="106" t="s">
        <v>786</v>
      </c>
      <c r="E108" s="105" t="s">
        <v>314</v>
      </c>
      <c r="F108" s="105" t="s">
        <v>771</v>
      </c>
      <c r="G108" s="105" t="s">
        <v>770</v>
      </c>
      <c r="H108" s="105" t="s">
        <v>785</v>
      </c>
      <c r="I108" s="105" t="s">
        <v>768</v>
      </c>
    </row>
    <row r="109" spans="1:9" ht="24" hidden="1" x14ac:dyDescent="0.25">
      <c r="A109" s="106">
        <v>2025</v>
      </c>
      <c r="B109" s="106" t="s">
        <v>774</v>
      </c>
      <c r="C109" s="106" t="s">
        <v>774</v>
      </c>
      <c r="D109" s="106" t="s">
        <v>784</v>
      </c>
      <c r="E109" s="105" t="s">
        <v>659</v>
      </c>
      <c r="F109" s="105" t="s">
        <v>771</v>
      </c>
      <c r="G109" s="105" t="s">
        <v>783</v>
      </c>
      <c r="H109" s="105" t="s">
        <v>782</v>
      </c>
      <c r="I109" s="105" t="s">
        <v>768</v>
      </c>
    </row>
    <row r="110" spans="1:9" ht="24" hidden="1" x14ac:dyDescent="0.25">
      <c r="A110" s="106">
        <v>2025</v>
      </c>
      <c r="B110" s="106" t="s">
        <v>774</v>
      </c>
      <c r="C110" s="106" t="s">
        <v>774</v>
      </c>
      <c r="D110" s="106" t="s">
        <v>781</v>
      </c>
      <c r="E110" s="105" t="s">
        <v>193</v>
      </c>
      <c r="F110" s="105" t="s">
        <v>771</v>
      </c>
      <c r="G110" s="105" t="s">
        <v>770</v>
      </c>
      <c r="H110" s="105" t="s">
        <v>780</v>
      </c>
      <c r="I110" s="105" t="s">
        <v>768</v>
      </c>
    </row>
    <row r="111" spans="1:9" ht="24" hidden="1" x14ac:dyDescent="0.25">
      <c r="A111" s="106">
        <v>2025</v>
      </c>
      <c r="B111" s="106" t="s">
        <v>774</v>
      </c>
      <c r="C111" s="106" t="s">
        <v>774</v>
      </c>
      <c r="D111" s="106" t="s">
        <v>779</v>
      </c>
      <c r="E111" s="105" t="s">
        <v>712</v>
      </c>
      <c r="F111" s="105" t="s">
        <v>771</v>
      </c>
      <c r="G111" s="105" t="s">
        <v>770</v>
      </c>
      <c r="H111" s="105" t="s">
        <v>778</v>
      </c>
      <c r="I111" s="105" t="s">
        <v>768</v>
      </c>
    </row>
    <row r="112" spans="1:9" ht="24" hidden="1" x14ac:dyDescent="0.25">
      <c r="A112" s="106">
        <v>2025</v>
      </c>
      <c r="B112" s="106" t="s">
        <v>774</v>
      </c>
      <c r="C112" s="106" t="s">
        <v>774</v>
      </c>
      <c r="D112" s="106" t="s">
        <v>777</v>
      </c>
      <c r="E112" s="105" t="s">
        <v>776</v>
      </c>
      <c r="F112" s="105" t="s">
        <v>771</v>
      </c>
      <c r="G112" s="105" t="s">
        <v>770</v>
      </c>
      <c r="H112" s="105" t="s">
        <v>775</v>
      </c>
      <c r="I112" s="105" t="s">
        <v>768</v>
      </c>
    </row>
    <row r="113" spans="1:9" ht="24" hidden="1" x14ac:dyDescent="0.25">
      <c r="A113" s="106">
        <v>2025</v>
      </c>
      <c r="B113" s="106" t="s">
        <v>774</v>
      </c>
      <c r="C113" s="106" t="s">
        <v>774</v>
      </c>
      <c r="D113" s="106" t="s">
        <v>773</v>
      </c>
      <c r="E113" s="105" t="s">
        <v>772</v>
      </c>
      <c r="F113" s="105" t="s">
        <v>771</v>
      </c>
      <c r="G113" s="105" t="s">
        <v>770</v>
      </c>
      <c r="H113" s="105" t="s">
        <v>769</v>
      </c>
      <c r="I113" s="105" t="s">
        <v>768</v>
      </c>
    </row>
  </sheetData>
  <autoFilter ref="A1:I113" xr:uid="{61AEB11D-8CA5-4759-B180-83FDE72F14F8}">
    <filterColumn colId="1">
      <filters>
        <filter val="AD"/>
        <filter val="Denuncia"/>
        <filter val="SNP"/>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D66"/>
  <sheetViews>
    <sheetView zoomScale="70" zoomScaleNormal="70" workbookViewId="0">
      <pane ySplit="2" topLeftCell="A48" activePane="bottomLeft" state="frozen"/>
      <selection pane="bottomLeft" activeCell="D3" sqref="D3"/>
    </sheetView>
  </sheetViews>
  <sheetFormatPr baseColWidth="10" defaultColWidth="8.85546875" defaultRowHeight="15" x14ac:dyDescent="0.25"/>
  <cols>
    <col min="1" max="1" width="6" style="1" customWidth="1"/>
    <col min="2" max="2" width="13" style="1" customWidth="1"/>
    <col min="3" max="3" width="29" style="1" customWidth="1"/>
    <col min="4" max="4" width="64.7109375" style="1" bestFit="1" customWidth="1"/>
    <col min="5" max="5" width="30.7109375" style="1" customWidth="1"/>
    <col min="6" max="6" width="32" style="1" customWidth="1"/>
    <col min="7" max="7" width="33" style="1" customWidth="1"/>
    <col min="8" max="8" width="18.5703125" style="1" customWidth="1"/>
    <col min="9" max="9" width="20.5703125" style="1" customWidth="1"/>
    <col min="10" max="10" width="24.28515625" style="1" customWidth="1"/>
    <col min="11" max="11" width="26" style="1" customWidth="1"/>
    <col min="12" max="12" width="24.85546875" style="1" customWidth="1"/>
    <col min="13" max="13" width="29.42578125" style="1" customWidth="1"/>
    <col min="14" max="14" width="24.28515625" style="1" customWidth="1"/>
    <col min="15" max="15" width="24.42578125" style="1" customWidth="1"/>
    <col min="16" max="16" width="29.7109375" style="1" customWidth="1"/>
    <col min="17" max="17" width="30.7109375" style="1" hidden="1" customWidth="1"/>
    <col min="18" max="19" width="24.28515625" style="1" hidden="1" customWidth="1"/>
    <col min="20" max="21" width="25.7109375" style="1" hidden="1" customWidth="1"/>
    <col min="22" max="22" width="29.85546875" style="1" customWidth="1"/>
    <col min="23" max="23" width="19.42578125" style="1" customWidth="1"/>
    <col min="24" max="28" width="22.85546875" style="1" customWidth="1"/>
    <col min="29" max="29" width="17" style="1" customWidth="1"/>
    <col min="30" max="30" width="49.42578125" style="1" customWidth="1"/>
  </cols>
  <sheetData>
    <row r="1" spans="1:30" s="2" customFormat="1" ht="29.25" customHeight="1" x14ac:dyDescent="0.25">
      <c r="A1" s="33" t="s">
        <v>0</v>
      </c>
      <c r="B1" s="34"/>
      <c r="C1" s="34"/>
      <c r="D1" s="34"/>
      <c r="E1" s="34"/>
      <c r="F1" s="35"/>
      <c r="G1" s="37" t="s">
        <v>1</v>
      </c>
      <c r="H1" s="38"/>
      <c r="I1" s="38"/>
      <c r="J1" s="38"/>
      <c r="K1" s="38"/>
      <c r="L1" s="38"/>
      <c r="M1" s="38"/>
      <c r="N1" s="38"/>
      <c r="O1" s="39"/>
      <c r="P1" s="36" t="s">
        <v>2</v>
      </c>
      <c r="Q1" s="34"/>
      <c r="R1" s="34"/>
      <c r="S1" s="34"/>
      <c r="T1" s="34"/>
      <c r="U1" s="34"/>
      <c r="V1" s="34"/>
      <c r="W1" s="34"/>
      <c r="X1" s="34"/>
      <c r="Y1" s="34"/>
      <c r="Z1" s="34"/>
      <c r="AA1" s="34"/>
      <c r="AB1" s="34"/>
      <c r="AC1" s="34"/>
      <c r="AD1" s="35"/>
    </row>
    <row r="2" spans="1:30" s="2" customFormat="1" ht="73.5" customHeight="1" x14ac:dyDescent="0.25">
      <c r="A2" s="4" t="s">
        <v>3</v>
      </c>
      <c r="B2" s="4" t="s">
        <v>4</v>
      </c>
      <c r="C2" s="4" t="s">
        <v>5</v>
      </c>
      <c r="D2" s="4" t="s">
        <v>6</v>
      </c>
      <c r="E2" s="4" t="s">
        <v>7</v>
      </c>
      <c r="F2" s="4" t="s">
        <v>8</v>
      </c>
      <c r="G2" s="5" t="s">
        <v>9</v>
      </c>
      <c r="H2" s="5" t="s">
        <v>10</v>
      </c>
      <c r="I2" s="5" t="s">
        <v>11</v>
      </c>
      <c r="J2" s="5" t="s">
        <v>12</v>
      </c>
      <c r="K2" s="10" t="s">
        <v>13</v>
      </c>
      <c r="L2" s="8" t="s">
        <v>14</v>
      </c>
      <c r="M2" s="10" t="s">
        <v>15</v>
      </c>
      <c r="N2" s="8" t="s">
        <v>16</v>
      </c>
      <c r="O2" s="8" t="s">
        <v>17</v>
      </c>
      <c r="P2" s="6" t="s">
        <v>18</v>
      </c>
      <c r="Q2" s="3" t="s">
        <v>19</v>
      </c>
      <c r="R2" s="3" t="s">
        <v>20</v>
      </c>
      <c r="S2" s="3" t="s">
        <v>21</v>
      </c>
      <c r="T2" s="3" t="s">
        <v>17</v>
      </c>
      <c r="U2" s="6" t="s">
        <v>22</v>
      </c>
      <c r="V2" s="6" t="s">
        <v>23</v>
      </c>
      <c r="W2" s="6" t="s">
        <v>24</v>
      </c>
      <c r="X2" s="6" t="s">
        <v>11</v>
      </c>
      <c r="Y2" s="6" t="s">
        <v>12</v>
      </c>
      <c r="Z2" s="6" t="s">
        <v>13</v>
      </c>
      <c r="AA2" s="15" t="s">
        <v>14</v>
      </c>
      <c r="AB2" s="9" t="s">
        <v>15</v>
      </c>
      <c r="AC2" s="9" t="s">
        <v>16</v>
      </c>
      <c r="AD2" s="9" t="s">
        <v>17</v>
      </c>
    </row>
    <row r="3" spans="1:30" ht="100.9" customHeight="1" x14ac:dyDescent="0.25">
      <c r="A3" s="7">
        <v>1</v>
      </c>
      <c r="B3" s="18">
        <v>2026</v>
      </c>
      <c r="C3" s="18" t="s">
        <v>25</v>
      </c>
      <c r="D3" s="18" t="s">
        <v>26</v>
      </c>
      <c r="E3" s="18" t="s">
        <v>27</v>
      </c>
      <c r="F3" s="18" t="s">
        <v>28</v>
      </c>
      <c r="G3" s="18" t="s">
        <v>29</v>
      </c>
      <c r="H3" s="19">
        <v>46048</v>
      </c>
      <c r="I3" s="18">
        <v>5</v>
      </c>
      <c r="J3" s="19">
        <f>WORKDAY.INTL(H3,I3,1,'Año 2026'!A3:A17)</f>
        <v>46055</v>
      </c>
      <c r="K3" s="18">
        <f t="shared" ref="K3:K9" ca="1" si="0">J3-TODAY()</f>
        <v>-137</v>
      </c>
      <c r="L3" s="11" t="str">
        <f t="array" aca="1" ref="L3" ca="1">_xlfn.IFS(N3="AJUSTES AL PLAZO","NUEVA FECHA",N3="ENTREGADO","CONCLUIDO",TRUE,_xlfn.IFS(J3&lt;TODAY(),"🚨 VENCIDO",J3-TODAY()&lt;=2,"⚠️POR VENCER",TRUE,"EN PLAZO"))</f>
        <v>NUEVA FECHA</v>
      </c>
      <c r="M3" s="14" t="str">
        <f t="array" aca="1" ref="M3" ca="1">_xlfn.IFS(N3="AJUSTES AL PLAZO","NUEVA FECHA",N3="ENTREGADO","CONCLUIDO",TRUE,IF(J3&lt;TODAY(),"❌ Vencido por "&amp;TODAY()-J3&amp;" días",IF(J3-TODAY()&lt;=2,"⏳ Faltan solo "&amp;J3-TODAY()&amp;" días","✅ En orden")))</f>
        <v>NUEVA FECHA</v>
      </c>
      <c r="N3" s="13" t="s">
        <v>30</v>
      </c>
      <c r="O3" s="12" t="s">
        <v>31</v>
      </c>
      <c r="P3" s="18" t="s">
        <v>32</v>
      </c>
      <c r="Q3" s="24">
        <v>46090</v>
      </c>
      <c r="R3" s="19" t="str">
        <f>IF(Q3="","PENDIENTE",IF(Q3&gt;J3,"EXTEMPORÁNEA","DENTRO DEL PLAZO"))</f>
        <v>EXTEMPORÁNEA</v>
      </c>
      <c r="S3" s="23">
        <f>Q3-J3+1</f>
        <v>36</v>
      </c>
      <c r="T3" s="19"/>
      <c r="U3" s="23" t="s">
        <v>32</v>
      </c>
      <c r="V3" s="18" t="s">
        <v>33</v>
      </c>
      <c r="W3" s="24">
        <v>46140</v>
      </c>
      <c r="X3" s="23">
        <v>3</v>
      </c>
      <c r="Y3" s="19" t="e">
        <f>WORKDAY.INTL(W3,X3,1,#REF!)</f>
        <v>#REF!</v>
      </c>
      <c r="Z3" s="18" t="e">
        <f t="shared" ref="Z3:Z11" ca="1" si="1">Y3-TODAY()</f>
        <v>#REF!</v>
      </c>
      <c r="AA3" s="11" t="str">
        <f t="array" aca="1" ref="AA3" ca="1">_xlfn.IFS(AC3="AJUSTES AL PLAZO","NUEVA FECHA",AC3="ENTREGADO","CONCLUIDO",TRUE,_xlfn.IFS(Y3&lt;TODAY(),"🚨 VENCIDO",Y3-TODAY()&lt;=2,"⚠️POR VENCER",TRUE,"EN PLAZO"))</f>
        <v>CONCLUIDO</v>
      </c>
      <c r="AB3" s="14" t="e">
        <f t="array" aca="1" ref="AB3" ca="1">_xlfn.IFS(AD3="AJUSTES AL PLAZO","NUEVA FECHA",AD3="ENTREGADO","CONCLUIDO",TRUE,IF(Y3&lt;TODAY(),"❌ Vencido por "&amp;TODAY()-Y3&amp;" días",IF(Y3-TODAY()&lt;=2,"⏳ Faltan solo "&amp;Y3-TODAY()&amp;" días","✅ En orden")))</f>
        <v>#REF!</v>
      </c>
      <c r="AC3" s="14" t="s">
        <v>34</v>
      </c>
      <c r="AD3" s="11" t="s">
        <v>35</v>
      </c>
    </row>
    <row r="4" spans="1:30" ht="100.9" customHeight="1" x14ac:dyDescent="0.25">
      <c r="A4" s="7">
        <v>2</v>
      </c>
      <c r="B4" s="18">
        <v>2026</v>
      </c>
      <c r="C4" s="18" t="s">
        <v>25</v>
      </c>
      <c r="D4" s="18" t="s">
        <v>36</v>
      </c>
      <c r="E4" s="18" t="s">
        <v>37</v>
      </c>
      <c r="F4" s="18" t="s">
        <v>38</v>
      </c>
      <c r="G4" s="18" t="s">
        <v>39</v>
      </c>
      <c r="H4" s="19">
        <v>46057</v>
      </c>
      <c r="I4" s="25">
        <v>2</v>
      </c>
      <c r="J4" s="19">
        <f>WORKDAY.INTL(H4,I4,1,'Año 2026'!A4:A18)</f>
        <v>46059</v>
      </c>
      <c r="K4" s="18">
        <f t="shared" ca="1" si="0"/>
        <v>-133</v>
      </c>
      <c r="L4" s="11" t="str">
        <f t="array" aca="1" ref="L4" ca="1">_xlfn.IFS(N4="AJUSTES AL PLAZO","NUEVA FECHA",N4="ENTREGADO","CONCLUIDO",TRUE,_xlfn.IFS(J4&lt;TODAY(),"🚨 VENCIDO",J4-TODAY()&lt;=2,"⚠️POR VENCER",TRUE,"EN PLAZO"))</f>
        <v>NUEVA FECHA</v>
      </c>
      <c r="M4" s="14" t="str">
        <f t="array" aca="1" ref="M4" ca="1">_xlfn.IFS(N4="AJUSTES AL PLAZO","NUEVA FECHA",N4="ENTREGADO","CONCLUIDO",TRUE,IF(J4&lt;TODAY(),"❌ Vencido por "&amp;TODAY()-J4&amp;" días",IF(J4-TODAY()&lt;=2,"⏳ Faltan solo "&amp;J4-TODAY()&amp;" días","✅ En orden")))</f>
        <v>NUEVA FECHA</v>
      </c>
      <c r="N4" s="13" t="s">
        <v>30</v>
      </c>
      <c r="O4" s="11"/>
      <c r="P4" s="18" t="s">
        <v>40</v>
      </c>
      <c r="Q4" s="24"/>
      <c r="R4" s="19"/>
      <c r="S4" s="23"/>
      <c r="T4" s="19"/>
      <c r="U4" s="23"/>
      <c r="V4" s="18" t="s">
        <v>41</v>
      </c>
      <c r="W4" s="24">
        <v>46092</v>
      </c>
      <c r="X4" s="23">
        <v>5</v>
      </c>
      <c r="Y4" s="19" t="e">
        <f>WORKDAY.INTL(W4,X4,1,#REF!)</f>
        <v>#REF!</v>
      </c>
      <c r="Z4" s="18" t="e">
        <f t="shared" ca="1" si="1"/>
        <v>#REF!</v>
      </c>
      <c r="AA4" s="11" t="e">
        <f t="array" aca="1" ref="AA4" ca="1">_xlfn.IFS(AD4="AJUSTES AL PLAZO","NUEVA FECHA",AD4="ENTREGADO","CONCLUIDO",TRUE,_xlfn.IFS(Y4&lt;TODAY(),"🚨 VENCIDO",Y4-TODAY()&lt;=2,"⚠️POR VENCER",TRUE,"EN PLAZO"))</f>
        <v>#REF!</v>
      </c>
      <c r="AB4" s="14" t="e">
        <f t="array" aca="1" ref="AB4" ca="1">_xlfn.IFS(AD4="AJUSTES AL PLAZO","NUEVA FECHA",AD4="ENTREGADO","CONCLUIDO",TRUE,IF(Y4&lt;TODAY(),"❌ Vencido por "&amp;TODAY()-Y4&amp;" días",IF(Y4-TODAY()&lt;=2,"⏳ Faltan solo "&amp;Y4-TODAY()&amp;" días","✅ En orden")))</f>
        <v>#REF!</v>
      </c>
      <c r="AC4" s="14" t="s">
        <v>34</v>
      </c>
      <c r="AD4" s="16"/>
    </row>
    <row r="5" spans="1:30" ht="60.75" customHeight="1" x14ac:dyDescent="0.25">
      <c r="A5" s="22">
        <v>3</v>
      </c>
      <c r="B5" s="18">
        <v>2026</v>
      </c>
      <c r="C5" s="18" t="s">
        <v>25</v>
      </c>
      <c r="D5" s="18" t="s">
        <v>42</v>
      </c>
      <c r="E5" s="18" t="s">
        <v>43</v>
      </c>
      <c r="F5" s="18" t="s">
        <v>44</v>
      </c>
      <c r="G5" s="18" t="s">
        <v>45</v>
      </c>
      <c r="H5" s="19">
        <v>46057</v>
      </c>
      <c r="I5" s="25">
        <v>2</v>
      </c>
      <c r="J5" s="19">
        <f>WORKDAY.INTL(H5,I5,1,'Año 2026'!A5:A19)</f>
        <v>46059</v>
      </c>
      <c r="K5" s="18">
        <f t="shared" ca="1" si="0"/>
        <v>-133</v>
      </c>
      <c r="L5" s="11" t="str">
        <f t="array" aca="1" ref="L5" ca="1">_xlfn.IFS(N5="AJUSTES AL PLAZO","NUEVA FECHA",N5="ENTREGADO","CONCLUIDO",TRUE,_xlfn.IFS(J5&lt;TODAY(),"🚨 VENCIDO",J5-TODAY()&lt;=2,"⚠️POR VENCER",TRUE,"EN PLAZO"))</f>
        <v>CONCLUIDO</v>
      </c>
      <c r="M5" s="14" t="str">
        <f t="array" aca="1" ref="M5" ca="1">_xlfn.IFS(N5="AJUSTES AL PLAZO","NUEVA FECHA",N5="ENTREGADO","CONCLUIDO",TRUE,IF(J5&lt;TODAY(),"❌ Vencido por "&amp;TODAY()-J5&amp;" días",IF(J5-TODAY()&lt;=2,"⏳ Faltan solo "&amp;J5-TODAY()&amp;" días","✅ En orden")))</f>
        <v>CONCLUIDO</v>
      </c>
      <c r="N5" s="13" t="s">
        <v>34</v>
      </c>
      <c r="O5" s="11"/>
      <c r="P5" s="18" t="s">
        <v>46</v>
      </c>
      <c r="Q5" s="18"/>
      <c r="R5" s="18"/>
      <c r="S5" s="18"/>
      <c r="T5" s="18"/>
      <c r="U5" s="18"/>
      <c r="V5" s="18" t="s">
        <v>47</v>
      </c>
      <c r="W5" s="19">
        <v>46094</v>
      </c>
      <c r="X5" s="18">
        <v>10</v>
      </c>
      <c r="Y5" s="19" t="e">
        <f>WORKDAY.INTL(W5,X5,1,#REF!)</f>
        <v>#REF!</v>
      </c>
      <c r="Z5" s="18" t="e">
        <f t="shared" ca="1" si="1"/>
        <v>#REF!</v>
      </c>
      <c r="AA5" s="11" t="e">
        <f t="array" aca="1" ref="AA5" ca="1">_xlfn.IFS(AD5="AJUSTES AL PLAZO","NUEVA FECHA",AD5="ENTREGADO","CONCLUIDO",TRUE,_xlfn.IFS(Y5&lt;TODAY(),"🚨 VENCIDO",Y5-TODAY()&lt;=2,"⚠️POR VENCER",TRUE,"EN PLAZO"))</f>
        <v>#REF!</v>
      </c>
      <c r="AB5" s="14" t="e">
        <f t="array" aca="1" ref="AB5" ca="1">_xlfn.IFS(AD5="AJUSTES AL PLAZO","NUEVA FECHA",AD5="ENTREGADO","CONCLUIDO",TRUE,IF(Y5&lt;TODAY(),"❌ Vencido por "&amp;TODAY()-Y5&amp;" días",IF(Y5-TODAY()&lt;=2,"⏳ Faltan solo "&amp;Y5-TODAY()&amp;" días","✅ En orden")))</f>
        <v>#REF!</v>
      </c>
      <c r="AC5" s="14" t="s">
        <v>34</v>
      </c>
      <c r="AD5" s="11"/>
    </row>
    <row r="6" spans="1:30" ht="45" customHeight="1" x14ac:dyDescent="0.25">
      <c r="A6" s="20">
        <v>4</v>
      </c>
      <c r="B6" s="18">
        <v>2026</v>
      </c>
      <c r="C6" s="18" t="s">
        <v>25</v>
      </c>
      <c r="D6" s="18" t="s">
        <v>48</v>
      </c>
      <c r="E6" s="18" t="s">
        <v>49</v>
      </c>
      <c r="F6" s="18" t="s">
        <v>50</v>
      </c>
      <c r="G6" s="18" t="s">
        <v>51</v>
      </c>
      <c r="H6" s="19">
        <v>46057</v>
      </c>
      <c r="I6" s="25">
        <v>5</v>
      </c>
      <c r="J6" s="19">
        <f>WORKDAY.INTL(H6,I6,1,'Año 2026'!A6:A20)</f>
        <v>46064</v>
      </c>
      <c r="K6" s="18">
        <f t="shared" ca="1" si="0"/>
        <v>-128</v>
      </c>
      <c r="L6" s="11" t="str">
        <f t="array" aca="1" ref="L6" ca="1">_xlfn.IFS(N6="AJUSTES AL PLAZO","NUEVA FECHA",N6="ENTREGADO","CONCLUIDO",TRUE,_xlfn.IFS(J6&lt;TODAY(),"🚨 VENCIDO",J6-TODAY()&lt;=2,"⚠️POR VENCER",TRUE,"EN PLAZO"))</f>
        <v>NUEVA FECHA</v>
      </c>
      <c r="M6" s="14" t="str">
        <f t="array" aca="1" ref="M6" ca="1">_xlfn.IFS(N6="AJUSTES AL PLAZO","NUEVA FECHA",N6="ENTREGADO","CONCLUIDO",TRUE,IF(J6&lt;TODAY(),"❌ Vencido por "&amp;TODAY()-J6&amp;" días",IF(J6-TODAY()&lt;=2,"⏳ Faltan solo "&amp;J6-TODAY()&amp;" días","✅ En orden")))</f>
        <v>NUEVA FECHA</v>
      </c>
      <c r="N6" s="13" t="s">
        <v>30</v>
      </c>
      <c r="O6" s="11"/>
      <c r="P6" s="18" t="s">
        <v>46</v>
      </c>
      <c r="Q6" s="18"/>
      <c r="R6" s="18"/>
      <c r="S6" s="18"/>
      <c r="T6" s="18"/>
      <c r="U6" s="18"/>
      <c r="V6" s="18" t="s">
        <v>52</v>
      </c>
      <c r="W6" s="24"/>
      <c r="X6" s="18">
        <v>3</v>
      </c>
      <c r="Y6" s="19" t="e">
        <f>WORKDAY.INTL(W6,X6,1,#REF!)</f>
        <v>#REF!</v>
      </c>
      <c r="Z6" s="18" t="e">
        <f t="shared" ca="1" si="1"/>
        <v>#REF!</v>
      </c>
      <c r="AA6" s="11" t="e">
        <f t="array" aca="1" ref="AA6" ca="1">_xlfn.IFS(AD6="AJUSTES AL PLAZO","NUEVA FECHA",AD6="ENTREGADO","CONCLUIDO",TRUE,_xlfn.IFS(Y6&lt;TODAY(),"🚨 VENCIDO",Y6-TODAY()&lt;=2,"⚠️POR VENCER",TRUE,"EN PLAZO"))</f>
        <v>#REF!</v>
      </c>
      <c r="AB6" s="14" t="e">
        <f t="array" aca="1" ref="AB6" ca="1">_xlfn.IFS(AD6="AJUSTES AL PLAZO","NUEVA FECHA",AD6="ENTREGADO","CONCLUIDO",TRUE,IF(Y6&lt;TODAY(),"❌ Vencido por "&amp;TODAY()-Y6&amp;" días",IF(Y6-TODAY()&lt;=2,"⏳ Faltan solo "&amp;Y6-TODAY()&amp;" días","✅ En orden")))</f>
        <v>#REF!</v>
      </c>
      <c r="AC6" s="14" t="s">
        <v>34</v>
      </c>
      <c r="AD6" s="21" t="s">
        <v>53</v>
      </c>
    </row>
    <row r="7" spans="1:30" ht="48" customHeight="1" x14ac:dyDescent="0.25">
      <c r="A7" s="20">
        <v>5</v>
      </c>
      <c r="B7" s="18">
        <v>2026</v>
      </c>
      <c r="C7" s="18" t="s">
        <v>25</v>
      </c>
      <c r="D7" s="18" t="s">
        <v>54</v>
      </c>
      <c r="E7" s="18" t="s">
        <v>55</v>
      </c>
      <c r="F7" s="18" t="s">
        <v>56</v>
      </c>
      <c r="G7" s="18" t="s">
        <v>57</v>
      </c>
      <c r="H7" s="19">
        <v>46084</v>
      </c>
      <c r="I7" s="25">
        <v>10</v>
      </c>
      <c r="J7" s="19">
        <f>WORKDAY.INTL(H7,I7,1,'Año 2026'!A7:A21)</f>
        <v>46098</v>
      </c>
      <c r="K7" s="18">
        <f t="shared" ca="1" si="0"/>
        <v>-94</v>
      </c>
      <c r="L7" s="11" t="str">
        <f t="array" aca="1" ref="L7" ca="1">_xlfn.IFS(N7="AJUSTES AL PLAZO","NUEVA FECHA",N7="ENTREGADO","CONCLUIDO",TRUE,_xlfn.IFS(J7&lt;TODAY(),"🚨 VENCIDO",J7-TODAY()&lt;=2,"⚠️POR VENCER",TRUE,"EN PLAZO"))</f>
        <v>NUEVA FECHA</v>
      </c>
      <c r="M7" s="14" t="str">
        <f t="array" aca="1" ref="M7" ca="1">_xlfn.IFS(N7="AJUSTES AL PLAZO","NUEVA FECHA",N7="ENTREGADO","CONCLUIDO",TRUE,IF(J7&lt;TODAY(),"❌ Vencido por "&amp;TODAY()-J7&amp;" días",IF(J7-TODAY()&lt;=2,"⏳ Faltan solo "&amp;J7-TODAY()&amp;" días","✅ En orden")))</f>
        <v>NUEVA FECHA</v>
      </c>
      <c r="N7" s="13" t="s">
        <v>30</v>
      </c>
      <c r="O7" s="11"/>
      <c r="P7" s="18" t="s">
        <v>46</v>
      </c>
      <c r="Q7" s="18"/>
      <c r="R7" s="18"/>
      <c r="S7" s="18"/>
      <c r="T7" s="18"/>
      <c r="U7" s="18"/>
      <c r="V7" s="18" t="s">
        <v>58</v>
      </c>
      <c r="W7" s="19">
        <v>46150</v>
      </c>
      <c r="X7" s="18">
        <v>10</v>
      </c>
      <c r="Y7" s="19" t="e">
        <f>WORKDAY.INTL(W7,X7,1,#REF!)</f>
        <v>#REF!</v>
      </c>
      <c r="Z7" s="18" t="e">
        <f t="shared" ca="1" si="1"/>
        <v>#REF!</v>
      </c>
      <c r="AA7" s="11" t="e" cm="1">
        <f t="array" aca="1" ref="AA7" ca="1">_xlfn.IFS(AD7="AJUSTES AL PLAZO","NUEVA FECHA",AD7="ENTREGADO","CONCLUIDO",TRUE,_xlfn.IFS(Y7&lt;TODAY(),"🚨 VENCIDO",Y7-TODAY()&lt;=2,"⚠️POR VENCER",TRUE,"EN PLAZO"))</f>
        <v>#REF!</v>
      </c>
      <c r="AB7" s="14" t="e">
        <f t="array" aca="1" ref="AB7" ca="1">_xlfn.IFS(AD7="AJUSTES AL PLAZO","NUEVA FECHA",AD7="ENTREGADO","CONCLUIDO",TRUE,IF(Y7&lt;TODAY(),"❌ Vencido por "&amp;TODAY()-Y7&amp;" días",IF(Y7-TODAY()&lt;=2,"⏳ Faltan solo "&amp;Y7-TODAY()&amp;" días","✅ En orden")))</f>
        <v>#REF!</v>
      </c>
      <c r="AC7" s="14"/>
      <c r="AD7" s="11"/>
    </row>
    <row r="8" spans="1:30" ht="51" customHeight="1" x14ac:dyDescent="0.25">
      <c r="A8" s="20">
        <v>6</v>
      </c>
      <c r="B8" s="18">
        <v>2026</v>
      </c>
      <c r="C8" s="18" t="s">
        <v>25</v>
      </c>
      <c r="D8" s="18" t="s">
        <v>59</v>
      </c>
      <c r="E8" s="18" t="s">
        <v>60</v>
      </c>
      <c r="F8" s="18" t="s">
        <v>61</v>
      </c>
      <c r="G8" s="18" t="s">
        <v>62</v>
      </c>
      <c r="H8" s="19">
        <v>46108</v>
      </c>
      <c r="I8" s="25">
        <v>5</v>
      </c>
      <c r="J8" s="19">
        <f>WORKDAY.INTL(H8,I8,1,'Año 2026'!A8:A22)</f>
        <v>46115</v>
      </c>
      <c r="K8" s="18">
        <f t="shared" ca="1" si="0"/>
        <v>-77</v>
      </c>
      <c r="L8" s="11" t="str">
        <f t="array" aca="1" ref="L8" ca="1">_xlfn.IFS(N8="AJUSTES AL PLAZO","NUEVA FECHA",N8="ENTREGADO","CONCLUIDO",TRUE,_xlfn.IFS(J8&lt;TODAY(),"🚨 VENCIDO",J8-TODAY()&lt;=2,"⚠️POR VENCER",TRUE,"EN PLAZO"))</f>
        <v>CONCLUIDO</v>
      </c>
      <c r="M8" s="14" t="str">
        <f t="array" aca="1" ref="M8" ca="1">_xlfn.IFS(N8="AJUSTES AL PLAZO","NUEVA FECHA",N8="ENTREGADO","CONCLUIDO",TRUE,IF(J8&lt;TODAY(),"❌ Vencido por "&amp;TODAY()-J8&amp;" días",IF(J8-TODAY()&lt;=2,"⏳ Faltan solo "&amp;J8-TODAY()&amp;" días","✅ En orden")))</f>
        <v>CONCLUIDO</v>
      </c>
      <c r="N8" s="13" t="s">
        <v>34</v>
      </c>
      <c r="O8" s="11"/>
      <c r="P8" s="18"/>
      <c r="Q8" s="18"/>
      <c r="R8" s="18"/>
      <c r="S8" s="18"/>
      <c r="T8" s="18"/>
      <c r="U8" s="18"/>
      <c r="V8" s="18"/>
      <c r="W8" s="18"/>
      <c r="X8" s="18"/>
      <c r="Y8" s="18"/>
      <c r="Z8" s="18">
        <f t="shared" ca="1" si="1"/>
        <v>-46192</v>
      </c>
      <c r="AA8" s="11" t="str">
        <f t="array" aca="1" ref="AA8" ca="1">_xlfn.IFS(AD8="AJUSTES AL PLAZO","NUEVA FECHA",AD8="ENTREGADO","CONCLUIDO",TRUE,_xlfn.IFS(Y8&lt;TODAY(),"🚨 VENCIDO",Y8-TODAY()&lt;=2,"⚠️POR VENCER",TRUE,"EN PLAZO"))</f>
        <v>🚨 VENCIDO</v>
      </c>
      <c r="AB8" s="14" t="str">
        <f t="array" aca="1" ref="AB8" ca="1">_xlfn.IFS(AD8="AJUSTES AL PLAZO","NUEVA FECHA",AD8="ENTREGADO","CONCLUIDO",TRUE,IF(Y8&lt;TODAY(),"❌ Vencido por "&amp;TODAY()-Y8&amp;" días",IF(Y8-TODAY()&lt;=2,"⏳ Faltan solo "&amp;Y8-TODAY()&amp;" días","✅ En orden")))</f>
        <v>❌ Vencido por 46192 días</v>
      </c>
      <c r="AC8" s="14"/>
      <c r="AD8" s="11"/>
    </row>
    <row r="9" spans="1:30" ht="48.75" customHeight="1" x14ac:dyDescent="0.25">
      <c r="A9" s="20">
        <v>7</v>
      </c>
      <c r="B9" s="18">
        <v>2026</v>
      </c>
      <c r="C9" s="18" t="s">
        <v>25</v>
      </c>
      <c r="D9" s="18" t="s">
        <v>63</v>
      </c>
      <c r="E9" s="18" t="s">
        <v>64</v>
      </c>
      <c r="F9" s="18" t="s">
        <v>65</v>
      </c>
      <c r="G9" s="18" t="s">
        <v>66</v>
      </c>
      <c r="H9" s="19">
        <v>46134</v>
      </c>
      <c r="I9" s="25">
        <v>10</v>
      </c>
      <c r="J9" s="19">
        <f>WORKDAY.INTL(H9,I9,1,'Año 2026'!A9:A23)</f>
        <v>46148</v>
      </c>
      <c r="K9" s="18">
        <f t="shared" ca="1" si="0"/>
        <v>-44</v>
      </c>
      <c r="L9" s="11" t="str">
        <f t="array" aca="1" ref="L9" ca="1">_xlfn.IFS(N9="AJUSTES AL PLAZO","NUEVA FECHA",N9="ENTREGADO","CONCLUIDO",TRUE,_xlfn.IFS(J9&lt;TODAY(),"🚨 VENCIDO",J9-TODAY()&lt;=2,"⚠️POR VENCER",TRUE,"EN PLAZO"))</f>
        <v>CONCLUIDO</v>
      </c>
      <c r="M9" s="14" t="str">
        <f t="array" aca="1" ref="M9" ca="1">_xlfn.IFS(N9="AJUSTES AL PLAZO","NUEVA FECHA",N9="ENTREGADO","CONCLUIDO",TRUE,IF(J9&lt;TODAY(),"❌ Vencido por "&amp;TODAY()-J9&amp;" días",IF(J9-TODAY()&lt;=2,"⏳ Faltan solo "&amp;J9-TODAY()&amp;" días","✅ En orden")))</f>
        <v>CONCLUIDO</v>
      </c>
      <c r="N9" s="13" t="s">
        <v>34</v>
      </c>
      <c r="O9" s="11"/>
      <c r="P9" s="18"/>
      <c r="Q9" s="18"/>
      <c r="R9" s="18"/>
      <c r="S9" s="18"/>
      <c r="T9" s="18"/>
      <c r="U9" s="18"/>
      <c r="V9" s="18"/>
      <c r="W9" s="18"/>
      <c r="X9" s="18"/>
      <c r="Y9" s="18">
        <f>WORKDAY.INTL(W9,X9,1,#REF!)</f>
        <v>0</v>
      </c>
      <c r="Z9" s="18">
        <f t="shared" ca="1" si="1"/>
        <v>-46192</v>
      </c>
      <c r="AA9" s="11" t="str">
        <f t="array" aca="1" ref="AA9" ca="1">_xlfn.IFS(AD9="AJUSTES AL PLAZO","NUEVA FECHA",AD9="ENTREGADO","CONCLUIDO",TRUE,_xlfn.IFS(Y9&lt;TODAY(),"🚨 VENCIDO",Y9-TODAY()&lt;=2,"⚠️POR VENCER",TRUE,"EN PLAZO"))</f>
        <v>🚨 VENCIDO</v>
      </c>
      <c r="AB9" s="14" t="str">
        <f t="array" aca="1" ref="AB9" ca="1">_xlfn.IFS(AD9="AJUSTES AL PLAZO","NUEVA FECHA",AD9="ENTREGADO","CONCLUIDO",TRUE,IF(Y9&lt;TODAY(),"❌ Vencido por "&amp;TODAY()-Y9&amp;" días",IF(Y9-TODAY()&lt;=2,"⏳ Faltan solo "&amp;Y9-TODAY()&amp;" días","✅ En orden")))</f>
        <v>❌ Vencido por 46192 días</v>
      </c>
      <c r="AC9" s="14"/>
      <c r="AD9" s="11"/>
    </row>
    <row r="10" spans="1:30" ht="48.75" customHeight="1" x14ac:dyDescent="0.25">
      <c r="A10" s="20"/>
      <c r="B10" s="18">
        <v>2026</v>
      </c>
      <c r="C10" s="18" t="s">
        <v>25</v>
      </c>
      <c r="D10" s="18" t="s">
        <v>67</v>
      </c>
      <c r="E10" s="18" t="s">
        <v>68</v>
      </c>
      <c r="F10" s="18"/>
      <c r="G10" s="18"/>
      <c r="H10" s="19"/>
      <c r="I10" s="25"/>
      <c r="J10" s="19"/>
      <c r="K10" s="18"/>
      <c r="L10" s="11"/>
      <c r="M10" s="14"/>
      <c r="N10" s="13"/>
      <c r="O10" s="11"/>
      <c r="P10" s="18"/>
      <c r="Q10" s="18"/>
      <c r="R10" s="18"/>
      <c r="S10" s="18"/>
      <c r="T10" s="18"/>
      <c r="U10" s="18"/>
      <c r="V10" s="18"/>
      <c r="W10" s="18"/>
      <c r="X10" s="18"/>
      <c r="Y10" s="18"/>
      <c r="Z10" s="18"/>
      <c r="AA10" s="11"/>
      <c r="AB10" s="14"/>
      <c r="AC10" s="14"/>
      <c r="AD10" s="11"/>
    </row>
    <row r="11" spans="1:30" ht="66" customHeight="1" x14ac:dyDescent="0.25">
      <c r="A11" s="20">
        <v>9</v>
      </c>
      <c r="B11" s="18">
        <v>2026</v>
      </c>
      <c r="C11" s="18" t="s">
        <v>69</v>
      </c>
      <c r="D11" s="18" t="s">
        <v>70</v>
      </c>
      <c r="E11" s="18" t="s">
        <v>71</v>
      </c>
      <c r="F11" s="18" t="s">
        <v>72</v>
      </c>
      <c r="G11" s="18" t="s">
        <v>73</v>
      </c>
      <c r="H11" s="19">
        <v>46099</v>
      </c>
      <c r="I11" s="25">
        <v>2</v>
      </c>
      <c r="J11" s="19">
        <f>WORKDAY.INTL(H11,I11,1,'Año 2026'!A11:A25)</f>
        <v>46101</v>
      </c>
      <c r="K11" s="18">
        <f ca="1">J11-TODAY()</f>
        <v>-91</v>
      </c>
      <c r="L11" s="11" t="str">
        <f t="array" aca="1" ref="L11" ca="1">_xlfn.IFS(N11="AJUSTES AL PLAZO","NUEVA FECHA",N11="ENTREGADO","CONCLUIDO",TRUE,_xlfn.IFS(J11&lt;TODAY(),"🚨 VENCIDO",J11-TODAY()&lt;=2,"⚠️POR VENCER",TRUE,"EN PLAZO"))</f>
        <v>NUEVA FECHA</v>
      </c>
      <c r="M11" s="14" t="str">
        <f t="array" aca="1" ref="M11" ca="1">_xlfn.IFS(N11="AJUSTES AL PLAZO","NUEVA FECHA",N11="ENTREGADO","CONCLUIDO",TRUE,IF(J11&lt;TODAY(),"❌ Vencido por "&amp;TODAY()-J11&amp;" días",IF(J11-TODAY()&lt;=2,"⏳ Faltan solo "&amp;J11-TODAY()&amp;" días","✅ En orden")))</f>
        <v>NUEVA FECHA</v>
      </c>
      <c r="N11" s="13" t="s">
        <v>30</v>
      </c>
      <c r="O11" s="11"/>
      <c r="P11" s="18" t="s">
        <v>40</v>
      </c>
      <c r="Q11" s="18"/>
      <c r="R11" s="18"/>
      <c r="S11" s="18"/>
      <c r="T11" s="18"/>
      <c r="U11" s="18"/>
      <c r="V11" s="18" t="s">
        <v>74</v>
      </c>
      <c r="W11" s="19">
        <v>46148</v>
      </c>
      <c r="X11" s="18">
        <v>10</v>
      </c>
      <c r="Y11" s="19" t="e">
        <f>WORKDAY.INTL(W11,X11,1,#REF!)</f>
        <v>#REF!</v>
      </c>
      <c r="Z11" s="18" t="e">
        <f t="shared" ca="1" si="1"/>
        <v>#REF!</v>
      </c>
      <c r="AA11" s="11" t="e" cm="1">
        <f t="array" aca="1" ref="AA11" ca="1">_xlfn.IFS(AD11="AJUSTES AL PLAZO","NUEVA FECHA",AD11="ENTREGADO","CONCLUIDO",TRUE,_xlfn.IFS(Y11&lt;TODAY(),"🚨 VENCIDO",Y11-TODAY()&lt;=2,"⚠️POR VENCER",TRUE,"EN PLAZO"))</f>
        <v>#REF!</v>
      </c>
      <c r="AB11" s="14" t="e">
        <f t="array" aca="1" ref="AB11" ca="1">_xlfn.IFS(AD11="AJUSTES AL PLAZO","NUEVA FECHA",AD11="ENTREGADO","CONCLUIDO",TRUE,IF(Y11&lt;TODAY(),"❌ Vencido por "&amp;TODAY()-Y11&amp;" días",IF(Y11-TODAY()&lt;=2,"⏳ Faltan solo "&amp;Y11-TODAY()&amp;" días","✅ En orden")))</f>
        <v>#REF!</v>
      </c>
      <c r="AC11" s="14"/>
      <c r="AD11" s="16" t="s">
        <v>75</v>
      </c>
    </row>
    <row r="12" spans="1:30" ht="65.25" customHeight="1" x14ac:dyDescent="0.25">
      <c r="A12" s="20">
        <v>10</v>
      </c>
      <c r="B12" s="18">
        <v>2026</v>
      </c>
      <c r="C12" s="18" t="s">
        <v>69</v>
      </c>
      <c r="D12" s="18" t="s">
        <v>76</v>
      </c>
      <c r="E12" s="18" t="s">
        <v>77</v>
      </c>
      <c r="F12" s="18" t="s">
        <v>72</v>
      </c>
      <c r="G12" s="18" t="s">
        <v>78</v>
      </c>
      <c r="H12" s="19"/>
      <c r="I12" s="25"/>
      <c r="J12" s="19">
        <f>WORKDAY.INTL(H12,I12,1,'Año 2026'!A12:A26)</f>
        <v>0</v>
      </c>
      <c r="K12" s="18">
        <f ca="1">J12-TODAY()</f>
        <v>-46192</v>
      </c>
      <c r="L12" s="11" t="str">
        <f t="array" aca="1" ref="L12" ca="1">_xlfn.IFS(N12="AJUSTES AL PLAZO","NUEVA FECHA",N12="ENTREGADO","CONCLUIDO",TRUE,_xlfn.IFS(J12&lt;TODAY(),"🚨 VENCIDO",J12-TODAY()&lt;=2,"⚠️POR VENCER",TRUE,"EN PLAZO"))</f>
        <v>🚨 VENCIDO</v>
      </c>
      <c r="M12" s="14" t="str">
        <f t="array" aca="1" ref="M12" ca="1">_xlfn.IFS(N12="AJUSTES AL PLAZO","NUEVA FECHA",N12="ENTREGADO","CONCLUIDO",TRUE,IF(J12&lt;TODAY(),"❌ Vencido por "&amp;TODAY()-J12&amp;" días",IF(J12-TODAY()&lt;=2,"⏳ Faltan solo "&amp;J12-TODAY()&amp;" días","✅ En orden")))</f>
        <v>❌ Vencido por 46192 días</v>
      </c>
      <c r="N12" s="13"/>
      <c r="O12" s="11"/>
      <c r="P12" s="18" t="s">
        <v>46</v>
      </c>
      <c r="Q12" s="18"/>
      <c r="R12" s="18"/>
      <c r="S12" s="18"/>
      <c r="T12" s="18"/>
      <c r="U12" s="18"/>
      <c r="V12" s="18" t="s">
        <v>79</v>
      </c>
      <c r="W12" s="19">
        <v>46185</v>
      </c>
      <c r="X12" s="18">
        <v>10</v>
      </c>
      <c r="Y12" s="19">
        <v>46199</v>
      </c>
      <c r="Z12" s="18">
        <f t="shared" ref="Z12:Z20" ca="1" si="2">Y12-TODAY()</f>
        <v>7</v>
      </c>
      <c r="AA12" s="11" t="str">
        <f t="array" aca="1" ref="AA12" ca="1">_xlfn.IFS(AD12="AJUSTES AL PLAZO","NUEVA FECHA",AD12="ENTREGADO","CONCLUIDO",TRUE,_xlfn.IFS(Y12&lt;TODAY(),"🚨 VENCIDO",Y12-TODAY()&lt;=2,"⚠️POR VENCER",TRUE,"EN PLAZO"))</f>
        <v>EN PLAZO</v>
      </c>
      <c r="AB12" s="14" t="str">
        <f t="array" aca="1" ref="AB12" ca="1">_xlfn.IFS(AD12="AJUSTES AL PLAZO","NUEVA FECHA",AD12="ENTREGADO","CONCLUIDO",TRUE,IF(Y12&lt;TODAY(),"❌ Vencido por "&amp;TODAY()-Y12&amp;" días",IF(Y12-TODAY()&lt;=2,"⏳ Faltan solo "&amp;Y12-TODAY()&amp;" días","✅ En orden")))</f>
        <v>✅ En orden</v>
      </c>
      <c r="AC12" s="14"/>
      <c r="AD12" s="11"/>
    </row>
    <row r="13" spans="1:30" ht="40.5" customHeight="1" x14ac:dyDescent="0.25">
      <c r="A13" s="20">
        <v>11</v>
      </c>
      <c r="B13" s="18">
        <v>2026</v>
      </c>
      <c r="C13" s="18" t="s">
        <v>69</v>
      </c>
      <c r="D13" s="18" t="s">
        <v>80</v>
      </c>
      <c r="E13" s="18" t="s">
        <v>81</v>
      </c>
      <c r="F13" s="18"/>
      <c r="G13" s="29"/>
      <c r="H13" s="18"/>
      <c r="I13" s="25"/>
      <c r="J13" s="19"/>
      <c r="K13" s="18"/>
      <c r="L13" s="11" t="str">
        <f t="array" aca="1" ref="L13" ca="1">_xlfn.IFS(N13="AJUSTES AL PLAZO","NUEVA FECHA",N13="ENTREGADO","CONCLUIDO",TRUE,_xlfn.IFS(J13&lt;TODAY(),"🚨 VENCIDO",J13-TODAY()&lt;=2,"⚠️POR VENCER",TRUE,"EN PLAZO"))</f>
        <v>🚨 VENCIDO</v>
      </c>
      <c r="M13" s="14" t="str">
        <f t="array" aca="1" ref="M13" ca="1">_xlfn.IFS(N13="AJUSTES AL PLAZO","NUEVA FECHA",N13="ENTREGADO","CONCLUIDO",TRUE,IF(J13&lt;TODAY(),"❌ Vencido por "&amp;TODAY()-J13&amp;" días",IF(J13-TODAY()&lt;=2,"⏳ Faltan solo "&amp;J13-TODAY()&amp;" días","✅ En orden")))</f>
        <v>❌ Vencido por 46192 días</v>
      </c>
      <c r="N13" s="13"/>
      <c r="O13" s="11"/>
      <c r="P13" s="18"/>
      <c r="Q13" s="18"/>
      <c r="R13" s="18"/>
      <c r="S13" s="18"/>
      <c r="T13" s="18"/>
      <c r="U13" s="18"/>
      <c r="V13" s="18"/>
      <c r="W13" s="18"/>
      <c r="X13" s="18"/>
      <c r="Y13" s="18">
        <f>WORKDAY.INTL(W13,X13,1,#REF!)</f>
        <v>0</v>
      </c>
      <c r="Z13" s="18">
        <f t="shared" ca="1" si="2"/>
        <v>-46192</v>
      </c>
      <c r="AA13" s="11" t="str">
        <f t="array" aca="1" ref="AA13" ca="1">_xlfn.IFS(AD13="AJUSTES AL PLAZO","NUEVA FECHA",AD13="ENTREGADO","CONCLUIDO",TRUE,_xlfn.IFS(Y13&lt;TODAY(),"🚨 VENCIDO",Y13-TODAY()&lt;=2,"⚠️POR VENCER",TRUE,"EN PLAZO"))</f>
        <v>🚨 VENCIDO</v>
      </c>
      <c r="AB13" s="14" t="str">
        <f t="array" aca="1" ref="AB13" ca="1">_xlfn.IFS(AD13="AJUSTES AL PLAZO","NUEVA FECHA",AD13="ENTREGADO","CONCLUIDO",TRUE,IF(Y13&lt;TODAY(),"❌ Vencido por "&amp;TODAY()-Y13&amp;" días",IF(Y13-TODAY()&lt;=2,"⏳ Faltan solo "&amp;Y13-TODAY()&amp;" días","✅ En orden")))</f>
        <v>❌ Vencido por 46192 días</v>
      </c>
      <c r="AC13" s="14"/>
      <c r="AD13" s="11"/>
    </row>
    <row r="14" spans="1:30" ht="40.5" customHeight="1" x14ac:dyDescent="0.25">
      <c r="A14" s="20">
        <v>12</v>
      </c>
      <c r="B14" s="18">
        <v>2025</v>
      </c>
      <c r="C14" s="18" t="s">
        <v>25</v>
      </c>
      <c r="D14" s="18" t="s">
        <v>82</v>
      </c>
      <c r="E14" s="18" t="s">
        <v>83</v>
      </c>
      <c r="F14" s="18"/>
      <c r="G14" s="18" t="s">
        <v>84</v>
      </c>
      <c r="H14" s="19">
        <v>45702</v>
      </c>
      <c r="I14" s="25">
        <v>2</v>
      </c>
      <c r="J14" s="19">
        <f>WORKDAY.INTL(H14,I14,1,'Año 2026'!A14:A28)</f>
        <v>45706</v>
      </c>
      <c r="K14" s="18">
        <f t="shared" ref="K14:K20" ca="1" si="3">J14-TODAY()</f>
        <v>-486</v>
      </c>
      <c r="L14" s="11" t="str">
        <f t="array" aca="1" ref="L14" ca="1">_xlfn.IFS(N14="AJUSTES AL PLAZO","NUEVA FECHA",N14="ENTREGADO","CONCLUIDO",TRUE,_xlfn.IFS(J14&lt;TODAY(),"🚨 VENCIDO",J14-TODAY()&lt;=2,"⚠️POR VENCER",TRUE,"EN PLAZO"))</f>
        <v>CONCLUIDO</v>
      </c>
      <c r="M14" s="14" t="str">
        <f t="array" aca="1" ref="M14" ca="1">_xlfn.IFS(N14="AJUSTES AL PLAZO","NUEVA FECHA",N14="ENTREGADO","CONCLUIDO",TRUE,IF(J14&lt;TODAY(),"❌ Vencido por "&amp;TODAY()-J14&amp;" días",IF(J14-TODAY()&lt;=2,"⏳ Faltan solo "&amp;J14-TODAY()&amp;" días","✅ En orden")))</f>
        <v>CONCLUIDO</v>
      </c>
      <c r="N14" s="13" t="s">
        <v>34</v>
      </c>
      <c r="O14" s="11"/>
      <c r="P14" s="18"/>
      <c r="Q14" s="18"/>
      <c r="R14" s="18"/>
      <c r="S14" s="18"/>
      <c r="T14" s="18"/>
      <c r="U14" s="18"/>
      <c r="V14" s="18"/>
      <c r="W14" s="18"/>
      <c r="X14" s="18"/>
      <c r="Y14" s="18">
        <f>WORKDAY.INTL(W14,X14,1,#REF!)</f>
        <v>0</v>
      </c>
      <c r="Z14" s="18">
        <f t="shared" ca="1" si="2"/>
        <v>-46192</v>
      </c>
      <c r="AA14" s="11" t="str">
        <f t="array" aca="1" ref="AA14" ca="1">_xlfn.IFS(AD14="AJUSTES AL PLAZO","NUEVA FECHA",AD14="ENTREGADO","CONCLUIDO",TRUE,_xlfn.IFS(Y14&lt;TODAY(),"🚨 VENCIDO",Y14-TODAY()&lt;=2,"⚠️POR VENCER",TRUE,"EN PLAZO"))</f>
        <v>🚨 VENCIDO</v>
      </c>
      <c r="AB14" s="14" t="str">
        <f t="array" aca="1" ref="AB14" ca="1">_xlfn.IFS(AD14="AJUSTES AL PLAZO","NUEVA FECHA",AD14="ENTREGADO","CONCLUIDO",TRUE,IF(Y14&lt;TODAY(),"❌ Vencido por "&amp;TODAY()-Y14&amp;" días",IF(Y14-TODAY()&lt;=2,"⏳ Faltan solo "&amp;Y14-TODAY()&amp;" días","✅ En orden")))</f>
        <v>❌ Vencido por 46192 días</v>
      </c>
      <c r="AC14" s="14"/>
      <c r="AD14" s="11"/>
    </row>
    <row r="15" spans="1:30" ht="40.5" customHeight="1" x14ac:dyDescent="0.25">
      <c r="A15" s="20"/>
      <c r="B15" s="18">
        <v>2025</v>
      </c>
      <c r="C15" s="18" t="s">
        <v>25</v>
      </c>
      <c r="D15" s="18" t="s">
        <v>85</v>
      </c>
      <c r="E15" s="18" t="s">
        <v>86</v>
      </c>
      <c r="F15" s="18" t="s">
        <v>87</v>
      </c>
      <c r="G15" s="18" t="s">
        <v>88</v>
      </c>
      <c r="H15" s="19">
        <v>45672</v>
      </c>
      <c r="I15" s="18">
        <v>5</v>
      </c>
      <c r="J15" s="19">
        <f>WORKDAY.INTL(H15,I15,1,'Año 2026'!A15:A29)</f>
        <v>45679</v>
      </c>
      <c r="K15" s="18">
        <f t="shared" ca="1" si="3"/>
        <v>-513</v>
      </c>
      <c r="L15" s="11" t="str">
        <f t="array" aca="1" ref="L15" ca="1">_xlfn.IFS(N15="AJUSTES AL PLAZO","NUEVA FECHA",N15="ENTREGADO","CONCLUIDO",TRUE,_xlfn.IFS(J15&lt;TODAY(),"🚨 VENCIDO",J15-TODAY()&lt;=2,"⚠️POR VENCER",TRUE,"EN PLAZO"))</f>
        <v>NUEVA FECHA</v>
      </c>
      <c r="M15" s="14" t="str">
        <f t="array" aca="1" ref="M15" ca="1">_xlfn.IFS(N15="AJUSTES AL PLAZO","NUEVA FECHA",N15="ENTREGADO","CONCLUIDO",TRUE,IF(J15&lt;TODAY(),"❌ Vencido por "&amp;TODAY()-J15&amp;" días",IF(J15-TODAY()&lt;=2,"⏳ Faltan solo "&amp;J15-TODAY()&amp;" días","✅ En orden")))</f>
        <v>NUEVA FECHA</v>
      </c>
      <c r="N15" s="13" t="s">
        <v>30</v>
      </c>
      <c r="O15" s="11"/>
      <c r="P15" s="18" t="s">
        <v>40</v>
      </c>
      <c r="Q15" s="18"/>
      <c r="R15" s="18"/>
      <c r="S15" s="18"/>
      <c r="T15" s="18"/>
      <c r="U15" s="18"/>
      <c r="V15" s="18" t="s">
        <v>89</v>
      </c>
      <c r="W15" s="19">
        <v>45966</v>
      </c>
      <c r="X15" s="18">
        <v>3</v>
      </c>
      <c r="Y15" s="19" t="e">
        <f>WORKDAY.INTL(W15,X15,1,#REF!)</f>
        <v>#REF!</v>
      </c>
      <c r="Z15" s="18" t="e">
        <f t="shared" ca="1" si="2"/>
        <v>#REF!</v>
      </c>
      <c r="AA15" s="11" t="e">
        <f t="array" aca="1" ref="AA15" ca="1">_xlfn.IFS(AD15="AJUSTES AL PLAZO","NUEVA FECHA",AD15="ENTREGADO","CONCLUIDO",TRUE,_xlfn.IFS(Y15&lt;TODAY(),"🚨 VENCIDO",Y15-TODAY()&lt;=2,"⚠️POR VENCER",TRUE,"EN PLAZO"))</f>
        <v>#REF!</v>
      </c>
      <c r="AB15" s="14" t="e">
        <f t="array" aca="1" ref="AB15" ca="1">_xlfn.IFS(AD15="AJUSTES AL PLAZO","NUEVA FECHA",AD15="ENTREGADO","CONCLUIDO",TRUE,IF(Y15&lt;TODAY(),"❌ Vencido por "&amp;TODAY()-Y15&amp;" días",IF(Y15-TODAY()&lt;=2,"⏳ Faltan solo "&amp;Y15-TODAY()&amp;" días","✅ En orden")))</f>
        <v>#REF!</v>
      </c>
      <c r="AC15" s="14" t="s">
        <v>34</v>
      </c>
      <c r="AD15" s="11"/>
    </row>
    <row r="16" spans="1:30" ht="40.5" customHeight="1" x14ac:dyDescent="0.25">
      <c r="A16" s="20"/>
      <c r="B16" s="18">
        <v>2025</v>
      </c>
      <c r="C16" s="18" t="s">
        <v>25</v>
      </c>
      <c r="D16" s="18" t="s">
        <v>70</v>
      </c>
      <c r="E16" s="18" t="s">
        <v>90</v>
      </c>
      <c r="F16" s="18" t="s">
        <v>91</v>
      </c>
      <c r="G16" s="18" t="s">
        <v>92</v>
      </c>
      <c r="H16" s="19">
        <v>45730</v>
      </c>
      <c r="I16" s="18">
        <v>10</v>
      </c>
      <c r="J16" s="19">
        <f>WORKDAY.INTL(H16,I16,1,'Año 2026'!A16:A30)</f>
        <v>45744</v>
      </c>
      <c r="K16" s="18">
        <f t="shared" ca="1" si="3"/>
        <v>-448</v>
      </c>
      <c r="L16" s="11" t="str">
        <f t="array" aca="1" ref="L16" ca="1">_xlfn.IFS(N16="AJUSTES AL PLAZO","NUEVA FECHA",N16="ENTREGADO","CONCLUIDO",TRUE,_xlfn.IFS(J16&lt;TODAY(),"🚨 VENCIDO",J16-TODAY()&lt;=2,"⚠️POR VENCER",TRUE,"EN PLAZO"))</f>
        <v>NUEVA FECHA</v>
      </c>
      <c r="M16" s="14" t="str">
        <f t="array" aca="1" ref="M16" ca="1">_xlfn.IFS(N16="AJUSTES AL PLAZO","NUEVA FECHA",N16="ENTREGADO","CONCLUIDO",TRUE,IF(J16&lt;TODAY(),"❌ Vencido por "&amp;TODAY()-J16&amp;" días",IF(J16-TODAY()&lt;=2,"⏳ Faltan solo "&amp;J16-TODAY()&amp;" días","✅ En orden")))</f>
        <v>NUEVA FECHA</v>
      </c>
      <c r="N16" s="13" t="s">
        <v>30</v>
      </c>
      <c r="O16" s="11"/>
      <c r="P16" s="18" t="s">
        <v>46</v>
      </c>
      <c r="Q16" s="18"/>
      <c r="R16" s="18"/>
      <c r="S16" s="18"/>
      <c r="T16" s="18"/>
      <c r="U16" s="18"/>
      <c r="V16" s="18" t="s">
        <v>79</v>
      </c>
      <c r="W16" s="19">
        <v>45820</v>
      </c>
      <c r="X16" s="18">
        <v>0</v>
      </c>
      <c r="Y16" s="19">
        <f>WORKDAY.INTL(W16,X16,1,#REF!)</f>
        <v>45820</v>
      </c>
      <c r="Z16" s="18">
        <f t="shared" ca="1" si="2"/>
        <v>-372</v>
      </c>
      <c r="AA16" s="11" t="str">
        <f t="array" aca="1" ref="AA16" ca="1">_xlfn.IFS(AD16="AJUSTES AL PLAZO","NUEVA FECHA",AD16="ENTREGADO","CONCLUIDO",TRUE,_xlfn.IFS(Y16&lt;TODAY(),"🚨 VENCIDO",Y16-TODAY()&lt;=2,"⚠️POR VENCER",TRUE,"EN PLAZO"))</f>
        <v>🚨 VENCIDO</v>
      </c>
      <c r="AB16" s="14" t="str">
        <f t="array" aca="1" ref="AB16" ca="1">_xlfn.IFS(AD16="AJUSTES AL PLAZO","NUEVA FECHA",AD16="ENTREGADO","CONCLUIDO",TRUE,IF(Y16&lt;TODAY(),"❌ Vencido por "&amp;TODAY()-Y16&amp;" días",IF(Y16-TODAY()&lt;=2,"⏳ Faltan solo "&amp;Y16-TODAY()&amp;" días","✅ En orden")))</f>
        <v>❌ Vencido por 372 días</v>
      </c>
      <c r="AC16" s="14" t="s">
        <v>34</v>
      </c>
      <c r="AD16" s="11"/>
    </row>
    <row r="17" spans="1:30" ht="40.5" customHeight="1" x14ac:dyDescent="0.25">
      <c r="A17" s="20"/>
      <c r="B17" s="18">
        <v>2025</v>
      </c>
      <c r="C17" s="18" t="s">
        <v>25</v>
      </c>
      <c r="D17" s="18" t="s">
        <v>93</v>
      </c>
      <c r="E17" s="18" t="s">
        <v>94</v>
      </c>
      <c r="F17" s="18"/>
      <c r="G17" s="18" t="s">
        <v>95</v>
      </c>
      <c r="H17" s="19">
        <v>45762</v>
      </c>
      <c r="I17" s="18">
        <v>5</v>
      </c>
      <c r="J17" s="19">
        <f>WORKDAY.INTL(H17,I17,1,'Año 2026'!A17:A30)</f>
        <v>45769</v>
      </c>
      <c r="K17" s="18">
        <f t="shared" ca="1" si="3"/>
        <v>-423</v>
      </c>
      <c r="L17" s="11" t="str">
        <f t="array" aca="1" ref="L17" ca="1">_xlfn.IFS(N17="AJUSTES AL PLAZO","NUEVA FECHA",N17="ENTREGADO","CONCLUIDO",TRUE,_xlfn.IFS(J17&lt;TODAY(),"🚨 VENCIDO",J17-TODAY()&lt;=2,"⚠️POR VENCER",TRUE,"EN PLAZO"))</f>
        <v>NUEVA FECHA</v>
      </c>
      <c r="M17" s="14" t="str">
        <f t="array" aca="1" ref="M17" ca="1">_xlfn.IFS(N17="AJUSTES AL PLAZO","NUEVA FECHA",N17="ENTREGADO","CONCLUIDO",TRUE,IF(J17&lt;TODAY(),"❌ Vencido por "&amp;TODAY()-J17&amp;" días",IF(J17-TODAY()&lt;=2,"⏳ Faltan solo "&amp;J17-TODAY()&amp;" días","✅ En orden")))</f>
        <v>NUEVA FECHA</v>
      </c>
      <c r="N17" s="13" t="s">
        <v>30</v>
      </c>
      <c r="O17" s="11"/>
      <c r="P17" s="18" t="s">
        <v>46</v>
      </c>
      <c r="Q17" s="18"/>
      <c r="R17" s="18"/>
      <c r="S17" s="18"/>
      <c r="T17" s="18"/>
      <c r="U17" s="18"/>
      <c r="V17" s="18" t="s">
        <v>79</v>
      </c>
      <c r="W17" s="19">
        <v>45842</v>
      </c>
      <c r="X17" s="18">
        <v>3</v>
      </c>
      <c r="Y17" s="19" t="e">
        <f>WORKDAY.INTL(W17,X17,1,#REF!)</f>
        <v>#REF!</v>
      </c>
      <c r="Z17" s="18" t="e">
        <f t="shared" ca="1" si="2"/>
        <v>#REF!</v>
      </c>
      <c r="AA17" s="11" t="e">
        <f t="array" aca="1" ref="AA17" ca="1">_xlfn.IFS(AD17="AJUSTES AL PLAZO","NUEVA FECHA",AD17="ENTREGADO","CONCLUIDO",TRUE,_xlfn.IFS(Y17&lt;TODAY(),"🚨 VENCIDO",Y17-TODAY()&lt;=2,"⚠️POR VENCER",TRUE,"EN PLAZO"))</f>
        <v>#REF!</v>
      </c>
      <c r="AB17" s="14" t="e">
        <f t="array" aca="1" ref="AB17" ca="1">_xlfn.IFS(AD17="AJUSTES AL PLAZO","NUEVA FECHA",AD17="ENTREGADO","CONCLUIDO",TRUE,IF(Y17&lt;TODAY(),"❌ Vencido por "&amp;TODAY()-Y17&amp;" días",IF(Y17-TODAY()&lt;=2,"⏳ Faltan solo "&amp;Y17-TODAY()&amp;" días","✅ En orden")))</f>
        <v>#REF!</v>
      </c>
      <c r="AC17" s="14" t="s">
        <v>34</v>
      </c>
      <c r="AD17" s="11"/>
    </row>
    <row r="18" spans="1:30" ht="40.5" customHeight="1" x14ac:dyDescent="0.25">
      <c r="A18" s="20"/>
      <c r="B18" s="18">
        <v>2025</v>
      </c>
      <c r="C18" s="18" t="s">
        <v>25</v>
      </c>
      <c r="D18" s="18" t="s">
        <v>96</v>
      </c>
      <c r="E18" s="18" t="s">
        <v>97</v>
      </c>
      <c r="F18" s="18" t="s">
        <v>98</v>
      </c>
      <c r="G18" s="18" t="s">
        <v>99</v>
      </c>
      <c r="H18" s="19">
        <v>45610</v>
      </c>
      <c r="I18" s="18">
        <v>5</v>
      </c>
      <c r="J18" s="19">
        <f>WORKDAY.INTL(H18,I18,1,'Año 2026'!A18:A30)</f>
        <v>45617</v>
      </c>
      <c r="K18" s="18">
        <f t="shared" ca="1" si="3"/>
        <v>-575</v>
      </c>
      <c r="L18" s="11" t="str">
        <f t="array" aca="1" ref="L18" ca="1">_xlfn.IFS(N18="AJUSTES AL PLAZO","NUEVA FECHA",N18="ENTREGADO","CONCLUIDO",TRUE,_xlfn.IFS(J18&lt;TODAY(),"🚨 VENCIDO",J18-TODAY()&lt;=2,"⚠️POR VENCER",TRUE,"EN PLAZO"))</f>
        <v>NUEVA FECHA</v>
      </c>
      <c r="M18" s="14" t="str">
        <f t="array" aca="1" ref="M18" ca="1">_xlfn.IFS(N18="AJUSTES AL PLAZO","NUEVA FECHA",N18="ENTREGADO","CONCLUIDO",TRUE,IF(J18&lt;TODAY(),"❌ Vencido por "&amp;TODAY()-J18&amp;" días",IF(J18-TODAY()&lt;=2,"⏳ Faltan solo "&amp;J18-TODAY()&amp;" días","✅ En orden")))</f>
        <v>NUEVA FECHA</v>
      </c>
      <c r="N18" s="13" t="s">
        <v>30</v>
      </c>
      <c r="O18" s="11"/>
      <c r="P18" s="18" t="s">
        <v>46</v>
      </c>
      <c r="Q18" s="18"/>
      <c r="R18" s="18"/>
      <c r="S18" s="18"/>
      <c r="T18" s="18"/>
      <c r="U18" s="18"/>
      <c r="V18" s="18" t="s">
        <v>79</v>
      </c>
      <c r="W18" s="19">
        <v>45974</v>
      </c>
      <c r="X18" s="18">
        <v>3</v>
      </c>
      <c r="Y18" s="19" t="e">
        <f>WORKDAY.INTL(W18,X18,1,#REF!)</f>
        <v>#REF!</v>
      </c>
      <c r="Z18" s="18" t="e">
        <f t="shared" ca="1" si="2"/>
        <v>#REF!</v>
      </c>
      <c r="AA18" s="11" t="e">
        <f t="array" aca="1" ref="AA18" ca="1">_xlfn.IFS(AD18="AJUSTES AL PLAZO","NUEVA FECHA",AD18="ENTREGADO","CONCLUIDO",TRUE,_xlfn.IFS(Y18&lt;TODAY(),"🚨 VENCIDO",Y18-TODAY()&lt;=2,"⚠️POR VENCER",TRUE,"EN PLAZO"))</f>
        <v>#REF!</v>
      </c>
      <c r="AB18" s="14" t="e">
        <f t="array" aca="1" ref="AB18" ca="1">_xlfn.IFS(AD18="AJUSTES AL PLAZO","NUEVA FECHA",AD18="ENTREGADO","CONCLUIDO",TRUE,IF(Y18&lt;TODAY(),"❌ Vencido por "&amp;TODAY()-Y18&amp;" días",IF(Y18-TODAY()&lt;=2,"⏳ Faltan solo "&amp;Y18-TODAY()&amp;" días","✅ En orden")))</f>
        <v>#REF!</v>
      </c>
      <c r="AC18" s="14" t="s">
        <v>34</v>
      </c>
      <c r="AD18" s="11"/>
    </row>
    <row r="19" spans="1:30" ht="40.5" customHeight="1" x14ac:dyDescent="0.25">
      <c r="A19" s="20"/>
      <c r="B19" s="18">
        <v>2025</v>
      </c>
      <c r="C19" s="18" t="s">
        <v>25</v>
      </c>
      <c r="D19" s="18" t="s">
        <v>100</v>
      </c>
      <c r="E19" s="18" t="s">
        <v>101</v>
      </c>
      <c r="F19" s="18" t="s">
        <v>102</v>
      </c>
      <c r="G19" s="18" t="s">
        <v>103</v>
      </c>
      <c r="H19" s="19">
        <v>45817</v>
      </c>
      <c r="I19" s="18">
        <v>5</v>
      </c>
      <c r="J19" s="19">
        <f>WORKDAY.INTL(H19,I19,1,'Año 2026'!A19:A30)</f>
        <v>45824</v>
      </c>
      <c r="K19" s="26">
        <f t="shared" ca="1" si="3"/>
        <v>-368</v>
      </c>
      <c r="L19" s="11" t="str" cm="1">
        <f t="array" aca="1" ref="L19" ca="1">_xlfn.IFS(N19="AJUSTES AL PLAZO","NUEVA FECHA",N19="ENTREGADO","CONCLUIDO",TRUE,_xlfn.IFS(J19&lt;TODAY(),"🚨 VENCIDO",J19-TODAY()&lt;=2,"⚠️POR VENCER",TRUE,"EN PLAZO"))</f>
        <v>NUEVA FECHA</v>
      </c>
      <c r="M19" s="14" t="str">
        <f t="array" aca="1" ref="M19" ca="1">_xlfn.IFS(N19="AJUSTES AL PLAZO","NUEVA FECHA",N19="ENTREGADO","CONCLUIDO",TRUE,IF(J19&lt;TODAY(),"❌ Vencido por "&amp;TODAY()-J19&amp;" días",IF(J19-TODAY()&lt;=2,"⏳ Faltan solo "&amp;J19-TODAY()&amp;" días","✅ En orden")))</f>
        <v>NUEVA FECHA</v>
      </c>
      <c r="N19" s="13" t="s">
        <v>30</v>
      </c>
      <c r="O19" s="11"/>
      <c r="P19" s="18" t="s">
        <v>46</v>
      </c>
      <c r="Q19" s="18"/>
      <c r="R19" s="18"/>
      <c r="S19" s="18"/>
      <c r="T19" s="18"/>
      <c r="U19" s="18"/>
      <c r="V19" s="18" t="s">
        <v>104</v>
      </c>
      <c r="W19" s="19">
        <v>45888</v>
      </c>
      <c r="X19" s="18">
        <v>5</v>
      </c>
      <c r="Y19" s="19" t="e">
        <f>WORKDAY.INTL(W19,X19,1,#REF!)</f>
        <v>#REF!</v>
      </c>
      <c r="Z19" s="18" t="e">
        <f t="shared" ca="1" si="2"/>
        <v>#REF!</v>
      </c>
      <c r="AA19" s="11" t="e">
        <f t="array" aca="1" ref="AA19" ca="1">_xlfn.IFS(AD19="AJUSTES AL PLAZO","NUEVA FECHA",AD19="ENTREGADO","CONCLUIDO",TRUE,_xlfn.IFS(Y19&lt;TODAY(),"🚨 VENCIDO",Y19-TODAY()&lt;=2,"⚠️POR VENCER",TRUE,"EN PLAZO"))</f>
        <v>#REF!</v>
      </c>
      <c r="AB19" s="14" t="e">
        <f t="array" aca="1" ref="AB19" ca="1">_xlfn.IFS(AD19="AJUSTES AL PLAZO","NUEVA FECHA",AD19="ENTREGADO","CONCLUIDO",TRUE,IF(Y19&lt;TODAY(),"❌ Vencido por "&amp;TODAY()-Y19&amp;" días",IF(Y19-TODAY()&lt;=2,"⏳ Faltan solo "&amp;Y19-TODAY()&amp;" días","✅ En orden")))</f>
        <v>#REF!</v>
      </c>
      <c r="AC19" s="14"/>
      <c r="AD19" s="11"/>
    </row>
    <row r="20" spans="1:30" ht="40.5" customHeight="1" x14ac:dyDescent="0.25">
      <c r="A20" s="20"/>
      <c r="B20" s="18">
        <v>2025</v>
      </c>
      <c r="C20" s="18" t="s">
        <v>25</v>
      </c>
      <c r="D20" s="18" t="s">
        <v>100</v>
      </c>
      <c r="E20" s="18" t="s">
        <v>105</v>
      </c>
      <c r="F20" s="18" t="s">
        <v>106</v>
      </c>
      <c r="G20" s="18" t="s">
        <v>107</v>
      </c>
      <c r="H20" s="19">
        <v>45838</v>
      </c>
      <c r="I20" s="18">
        <v>3</v>
      </c>
      <c r="J20" s="19" t="e">
        <f>WORKDAY.INTL(H20,I20,1,#REF!)</f>
        <v>#REF!</v>
      </c>
      <c r="K20" s="18" t="e">
        <f t="shared" ca="1" si="3"/>
        <v>#REF!</v>
      </c>
      <c r="L20" s="11" t="str">
        <f t="array" aca="1" ref="L20" ca="1">_xlfn.IFS(N20="AJUSTES AL PLAZO","NUEVA FECHA",N20="ENTREGADO","CONCLUIDO",TRUE,_xlfn.IFS(J20&lt;TODAY(),"🚨 VENCIDO",J20-TODAY()&lt;=2,"⚠️POR VENCER",TRUE,"EN PLAZO"))</f>
        <v>NUEVA FECHA</v>
      </c>
      <c r="M20" s="14" t="str">
        <f t="array" aca="1" ref="M20" ca="1">_xlfn.IFS(N20="AJUSTES AL PLAZO","NUEVA FECHA",N20="ENTREGADO","CONCLUIDO",TRUE,IF(J20&lt;TODAY(),"❌ Vencido por "&amp;TODAY()-J20&amp;" días",IF(J20-TODAY()&lt;=2,"⏳ Faltan solo "&amp;J20-TODAY()&amp;" días","✅ En orden")))</f>
        <v>NUEVA FECHA</v>
      </c>
      <c r="N20" s="13" t="s">
        <v>30</v>
      </c>
      <c r="O20" s="11"/>
      <c r="P20" s="18" t="s">
        <v>108</v>
      </c>
      <c r="Q20" s="18"/>
      <c r="R20" s="18"/>
      <c r="S20" s="18"/>
      <c r="T20" s="18"/>
      <c r="U20" s="18"/>
      <c r="V20" s="18" t="s">
        <v>109</v>
      </c>
      <c r="W20" s="19">
        <v>45887</v>
      </c>
      <c r="X20" s="18">
        <v>5</v>
      </c>
      <c r="Y20" s="19" t="e">
        <f>WORKDAY.INTL(W20,X20,1,#REF!)</f>
        <v>#REF!</v>
      </c>
      <c r="Z20" s="18" t="e">
        <f t="shared" ca="1" si="2"/>
        <v>#REF!</v>
      </c>
      <c r="AA20" s="11" t="e">
        <f t="array" aca="1" ref="AA20" ca="1">_xlfn.IFS(AD20="AJUSTES AL PLAZO","NUEVA FECHA",AD20="ENTREGADO","CONCLUIDO",TRUE,_xlfn.IFS(Y20&lt;TODAY(),"🚨 VENCIDO",Y20-TODAY()&lt;=2,"⚠️POR VENCER",TRUE,"EN PLAZO"))</f>
        <v>#REF!</v>
      </c>
      <c r="AB20" s="14" t="e">
        <f t="array" aca="1" ref="AB20" ca="1">_xlfn.IFS(AD20="AJUSTES AL PLAZO","NUEVA FECHA",AD20="ENTREGADO","CONCLUIDO",TRUE,IF(Y20&lt;TODAY(),"❌ Vencido por "&amp;TODAY()-Y20&amp;" días",IF(Y20-TODAY()&lt;=2,"⏳ Faltan solo "&amp;Y20-TODAY()&amp;" días","✅ En orden")))</f>
        <v>#REF!</v>
      </c>
      <c r="AC20" s="14" t="s">
        <v>34</v>
      </c>
      <c r="AD20" s="12" t="s">
        <v>110</v>
      </c>
    </row>
    <row r="21" spans="1:30" ht="40.5" customHeight="1" x14ac:dyDescent="0.25">
      <c r="A21" s="20"/>
      <c r="B21" s="18">
        <v>2025</v>
      </c>
      <c r="C21" s="18" t="s">
        <v>25</v>
      </c>
      <c r="D21" s="18" t="s">
        <v>111</v>
      </c>
      <c r="E21" s="18" t="s">
        <v>112</v>
      </c>
      <c r="F21" s="18" t="s">
        <v>113</v>
      </c>
      <c r="G21" s="18"/>
      <c r="H21" s="18"/>
      <c r="I21" s="18"/>
      <c r="J21" s="19">
        <f>WORKDAY.INTL(H21,I21,1,'Año 2026'!A21:A31)</f>
        <v>0</v>
      </c>
      <c r="K21" s="18">
        <f t="shared" ref="K21:K23" ca="1" si="4">J21-TODAY()</f>
        <v>-46192</v>
      </c>
      <c r="L21" s="11" t="str">
        <f t="array" aca="1" ref="L21" ca="1">_xlfn.IFS(N21="AJUSTES AL PLAZO","NUEVA FECHA",N21="ENTREGADO","CONCLUIDO",TRUE,_xlfn.IFS(J21&lt;TODAY(),"🚨 VENCIDO",J21-TODAY()&lt;=2,"⚠️POR VENCER",TRUE,"EN PLAZO"))</f>
        <v>🚨 VENCIDO</v>
      </c>
      <c r="M21" s="14" t="str">
        <f t="array" aca="1" ref="M21" ca="1">_xlfn.IFS(N21="AJUSTES AL PLAZO","NUEVA FECHA",N21="ENTREGADO","CONCLUIDO",TRUE,IF(J21&lt;TODAY(),"❌ Vencido por "&amp;TODAY()-J21&amp;" días",IF(J21-TODAY()&lt;=2,"⏳ Faltan solo "&amp;J21-TODAY()&amp;" días","✅ En orden")))</f>
        <v>❌ Vencido por 46192 días</v>
      </c>
      <c r="N21" s="13"/>
      <c r="O21" s="11"/>
      <c r="P21" s="18"/>
      <c r="Q21" s="18"/>
      <c r="R21" s="18"/>
      <c r="S21" s="18"/>
      <c r="T21" s="18"/>
      <c r="U21" s="18"/>
      <c r="V21" s="18"/>
      <c r="W21" s="18"/>
      <c r="X21" s="18"/>
      <c r="Y21" s="18"/>
      <c r="Z21" s="18"/>
      <c r="AA21" s="11"/>
      <c r="AB21" s="14"/>
      <c r="AC21" s="14"/>
      <c r="AD21" s="11"/>
    </row>
    <row r="22" spans="1:30" ht="40.5" customHeight="1" x14ac:dyDescent="0.25">
      <c r="A22" s="20"/>
      <c r="B22" s="18">
        <v>2025</v>
      </c>
      <c r="C22" s="18" t="s">
        <v>25</v>
      </c>
      <c r="D22" s="18" t="s">
        <v>36</v>
      </c>
      <c r="E22" s="18" t="s">
        <v>114</v>
      </c>
      <c r="F22" s="18"/>
      <c r="G22" s="18" t="s">
        <v>115</v>
      </c>
      <c r="H22" s="19">
        <v>45957</v>
      </c>
      <c r="I22" s="18">
        <v>10</v>
      </c>
      <c r="J22" s="19">
        <f>WORKDAY.INTL(H22,I22,1,'Año 2026'!A22:A32)</f>
        <v>45971</v>
      </c>
      <c r="K22" s="18">
        <f t="shared" ca="1" si="4"/>
        <v>-221</v>
      </c>
      <c r="L22" s="11" t="str">
        <f t="array" aca="1" ref="L22" ca="1">_xlfn.IFS(N22="AJUSTES AL PLAZO","NUEVA FECHA",N22="ENTREGADO","CONCLUIDO",TRUE,_xlfn.IFS(J22&lt;TODAY(),"🚨 VENCIDO",J22-TODAY()&lt;=2,"⚠️POR VENCER",TRUE,"EN PLAZO"))</f>
        <v>NUEVA FECHA</v>
      </c>
      <c r="M22" s="14" t="str">
        <f t="array" aca="1" ref="M22" ca="1">_xlfn.IFS(N22="AJUSTES AL PLAZO","NUEVA FECHA",N22="ENTREGADO","CONCLUIDO",TRUE,IF(J22&lt;TODAY(),"❌ Vencido por "&amp;TODAY()-J22&amp;" días",IF(J22-TODAY()&lt;=2,"⏳ Faltan solo "&amp;J22-TODAY()&amp;" días","✅ En orden")))</f>
        <v>NUEVA FECHA</v>
      </c>
      <c r="N22" s="13" t="s">
        <v>30</v>
      </c>
      <c r="O22" s="11"/>
      <c r="P22" s="18" t="s">
        <v>40</v>
      </c>
      <c r="Q22" s="18"/>
      <c r="R22" s="18"/>
      <c r="S22" s="18"/>
      <c r="T22" s="18"/>
      <c r="U22" s="18"/>
      <c r="V22" s="18" t="s">
        <v>116</v>
      </c>
      <c r="W22" s="19">
        <v>46034</v>
      </c>
      <c r="X22" s="18">
        <v>10</v>
      </c>
      <c r="Y22" s="19" t="e">
        <f>WORKDAY.INTL(W22,X22,1,#REF!)</f>
        <v>#REF!</v>
      </c>
      <c r="Z22" s="18" t="e">
        <f t="shared" ref="Z22" ca="1" si="5">Y22-TODAY()</f>
        <v>#REF!</v>
      </c>
      <c r="AA22" s="11" t="e">
        <f t="array" aca="1" ref="AA22" ca="1">_xlfn.IFS(AD22="AJUSTES AL PLAZO","NUEVA FECHA",AD22="ENTREGADO","CONCLUIDO",TRUE,_xlfn.IFS(Y22&lt;TODAY(),"🚨 VENCIDO",Y22-TODAY()&lt;=2,"⚠️POR VENCER",TRUE,"EN PLAZO"))</f>
        <v>#REF!</v>
      </c>
      <c r="AB22" s="14" t="e">
        <f t="array" aca="1" ref="AB22" ca="1">_xlfn.IFS(AD22="AJUSTES AL PLAZO","NUEVA FECHA",AD22="ENTREGADO","CONCLUIDO",TRUE,IF(Y22&lt;TODAY(),"❌ Vencido por "&amp;TODAY()-Y22&amp;" días",IF(Y22-TODAY()&lt;=2,"⏳ Faltan solo "&amp;Y22-TODAY()&amp;" días","✅ En orden")))</f>
        <v>#REF!</v>
      </c>
      <c r="AC22" s="14" t="s">
        <v>34</v>
      </c>
      <c r="AD22" s="11"/>
    </row>
    <row r="23" spans="1:30" ht="40.5" customHeight="1" x14ac:dyDescent="0.25">
      <c r="A23" s="20"/>
      <c r="B23" s="18">
        <v>2025</v>
      </c>
      <c r="C23" s="18" t="s">
        <v>25</v>
      </c>
      <c r="D23" s="18" t="s">
        <v>117</v>
      </c>
      <c r="E23" s="18" t="s">
        <v>118</v>
      </c>
      <c r="F23" s="18" t="s">
        <v>113</v>
      </c>
      <c r="G23" s="18"/>
      <c r="H23" s="18"/>
      <c r="I23" s="18"/>
      <c r="J23" s="19">
        <f>WORKDAY.INTL(H23,I23,1,'Año 2026'!A23:A33)</f>
        <v>0</v>
      </c>
      <c r="K23" s="18">
        <f t="shared" ca="1" si="4"/>
        <v>-46192</v>
      </c>
      <c r="L23" s="11" t="str">
        <f t="array" aca="1" ref="L23" ca="1">_xlfn.IFS(N23="AJUSTES AL PLAZO","NUEVA FECHA",N23="ENTREGADO","CONCLUIDO",TRUE,_xlfn.IFS(J23&lt;TODAY(),"🚨 VENCIDO",J23-TODAY()&lt;=2,"⚠️POR VENCER",TRUE,"EN PLAZO"))</f>
        <v>🚨 VENCIDO</v>
      </c>
      <c r="M23" s="14" t="str">
        <f t="array" aca="1" ref="M23" ca="1">_xlfn.IFS(N23="AJUSTES AL PLAZO","NUEVA FECHA",N23="ENTREGADO","CONCLUIDO",TRUE,IF(J23&lt;TODAY(),"❌ Vencido por "&amp;TODAY()-J23&amp;" días",IF(J23-TODAY()&lt;=2,"⏳ Faltan solo "&amp;J23-TODAY()&amp;" días","✅ En orden")))</f>
        <v>❌ Vencido por 46192 días</v>
      </c>
      <c r="N23" s="13"/>
      <c r="O23" s="11"/>
      <c r="P23" s="18"/>
      <c r="Q23" s="18"/>
      <c r="R23" s="18"/>
      <c r="S23" s="18"/>
      <c r="T23" s="18"/>
      <c r="U23" s="18"/>
      <c r="V23" s="18"/>
      <c r="W23" s="18"/>
      <c r="X23" s="18"/>
      <c r="Y23" s="18"/>
      <c r="Z23" s="18"/>
      <c r="AA23" s="11"/>
      <c r="AB23" s="14"/>
      <c r="AC23" s="14"/>
      <c r="AD23" s="11"/>
    </row>
    <row r="24" spans="1:30" ht="40.5" customHeight="1" x14ac:dyDescent="0.25">
      <c r="A24" s="20"/>
      <c r="B24" s="18">
        <v>2026</v>
      </c>
      <c r="C24" s="18" t="s">
        <v>69</v>
      </c>
      <c r="D24" s="18" t="s">
        <v>119</v>
      </c>
      <c r="E24" s="18" t="s">
        <v>120</v>
      </c>
      <c r="F24" s="18" t="s">
        <v>121</v>
      </c>
      <c r="G24" s="29"/>
      <c r="H24" s="18"/>
      <c r="I24" s="18"/>
      <c r="J24" s="19">
        <f>WORKDAY.INTL(H24,I24,1,'Año 2026'!A24:A34)</f>
        <v>0</v>
      </c>
      <c r="K24" s="18">
        <f t="shared" ref="K24:K29" ca="1" si="6">J24-TODAY()</f>
        <v>-46192</v>
      </c>
      <c r="L24" s="11" t="str">
        <f t="array" aca="1" ref="L24" ca="1">_xlfn.IFS(N24="AJUSTES AL PLAZO","NUEVA FECHA",N24="ENTREGADO","CONCLUIDO",TRUE,_xlfn.IFS(J24&lt;TODAY(),"🚨 VENCIDO",J24-TODAY()&lt;=2,"⚠️POR VENCER",TRUE,"EN PLAZO"))</f>
        <v>🚨 VENCIDO</v>
      </c>
      <c r="M24" s="14" t="str">
        <f t="array" aca="1" ref="M24" ca="1">_xlfn.IFS(N24="AJUSTES AL PLAZO","NUEVA FECHA",N24="ENTREGADO","CONCLUIDO",TRUE,IF(J24&lt;TODAY(),"❌ Vencido por "&amp;TODAY()-J24&amp;" días",IF(J24-TODAY()&lt;=2,"⏳ Faltan solo "&amp;J24-TODAY()&amp;" días","✅ En orden")))</f>
        <v>❌ Vencido por 46192 días</v>
      </c>
      <c r="N24" s="13"/>
      <c r="O24" s="11"/>
      <c r="P24" s="18"/>
      <c r="Q24" s="18"/>
      <c r="R24" s="18"/>
      <c r="S24" s="18"/>
      <c r="T24" s="18"/>
      <c r="U24" s="18"/>
      <c r="V24" s="18"/>
      <c r="W24" s="18"/>
      <c r="X24" s="18"/>
      <c r="Y24" s="18"/>
      <c r="Z24" s="18"/>
      <c r="AA24" s="11"/>
      <c r="AB24" s="14"/>
      <c r="AC24" s="14"/>
      <c r="AD24" s="11"/>
    </row>
    <row r="25" spans="1:30" ht="40.5" customHeight="1" x14ac:dyDescent="0.25">
      <c r="A25" s="20"/>
      <c r="B25" s="18">
        <v>2026</v>
      </c>
      <c r="C25" s="18" t="s">
        <v>69</v>
      </c>
      <c r="D25" s="18" t="s">
        <v>122</v>
      </c>
      <c r="E25" s="18" t="s">
        <v>123</v>
      </c>
      <c r="F25" s="18" t="s">
        <v>124</v>
      </c>
      <c r="G25" s="29"/>
      <c r="H25" s="18"/>
      <c r="I25" s="18"/>
      <c r="J25" s="19">
        <f>WORKDAY.INTL(H25,I25,1,'Año 2026'!A25:A35)</f>
        <v>0</v>
      </c>
      <c r="K25" s="18">
        <f t="shared" ca="1" si="6"/>
        <v>-46192</v>
      </c>
      <c r="L25" s="11" t="str">
        <f t="array" aca="1" ref="L25" ca="1">_xlfn.IFS(N25="AJUSTES AL PLAZO","NUEVA FECHA",N25="ENTREGADO","CONCLUIDO",TRUE,_xlfn.IFS(J25&lt;TODAY(),"🚨 VENCIDO",J25-TODAY()&lt;=2,"⚠️POR VENCER",TRUE,"EN PLAZO"))</f>
        <v>🚨 VENCIDO</v>
      </c>
      <c r="M25" s="14" t="str">
        <f t="array" aca="1" ref="M25" ca="1">_xlfn.IFS(N25="AJUSTES AL PLAZO","NUEVA FECHA",N25="ENTREGADO","CONCLUIDO",TRUE,IF(J25&lt;TODAY(),"❌ Vencido por "&amp;TODAY()-J25&amp;" días",IF(J25-TODAY()&lt;=2,"⏳ Faltan solo "&amp;J25-TODAY()&amp;" días","✅ En orden")))</f>
        <v>❌ Vencido por 46192 días</v>
      </c>
      <c r="N25" s="13"/>
      <c r="O25" s="11"/>
      <c r="P25" s="18"/>
      <c r="Q25" s="18"/>
      <c r="R25" s="18"/>
      <c r="S25" s="18"/>
      <c r="T25" s="18"/>
      <c r="U25" s="18"/>
      <c r="V25" s="18"/>
      <c r="W25" s="18"/>
      <c r="X25" s="18"/>
      <c r="Y25" s="18"/>
      <c r="Z25" s="18"/>
      <c r="AA25" s="11"/>
      <c r="AB25" s="14"/>
      <c r="AC25" s="14"/>
      <c r="AD25" s="11"/>
    </row>
    <row r="26" spans="1:30" ht="40.5" customHeight="1" x14ac:dyDescent="0.25">
      <c r="A26" s="20"/>
      <c r="B26" s="18">
        <v>2026</v>
      </c>
      <c r="C26" s="18" t="s">
        <v>69</v>
      </c>
      <c r="D26" s="18" t="s">
        <v>125</v>
      </c>
      <c r="E26" s="18" t="s">
        <v>126</v>
      </c>
      <c r="F26" s="18" t="s">
        <v>127</v>
      </c>
      <c r="G26" s="29"/>
      <c r="H26" s="18"/>
      <c r="I26" s="18"/>
      <c r="J26" s="19">
        <f>WORKDAY.INTL(H26,I26,1,'Año 2026'!A26:A36)</f>
        <v>0</v>
      </c>
      <c r="K26" s="18">
        <f t="shared" ca="1" si="6"/>
        <v>-46192</v>
      </c>
      <c r="L26" s="11" t="str">
        <f t="array" aca="1" ref="L26" ca="1">_xlfn.IFS(N26="AJUSTES AL PLAZO","NUEVA FECHA",N26="ENTREGADO","CONCLUIDO",TRUE,_xlfn.IFS(J26&lt;TODAY(),"🚨 VENCIDO",J26-TODAY()&lt;=2,"⚠️POR VENCER",TRUE,"EN PLAZO"))</f>
        <v>🚨 VENCIDO</v>
      </c>
      <c r="M26" s="14" t="str">
        <f t="array" aca="1" ref="M26" ca="1">_xlfn.IFS(N26="AJUSTES AL PLAZO","NUEVA FECHA",N26="ENTREGADO","CONCLUIDO",TRUE,IF(J26&lt;TODAY(),"❌ Vencido por "&amp;TODAY()-J26&amp;" días",IF(J26-TODAY()&lt;=2,"⏳ Faltan solo "&amp;J26-TODAY()&amp;" días","✅ En orden")))</f>
        <v>❌ Vencido por 46192 días</v>
      </c>
      <c r="N26" s="13"/>
      <c r="O26" s="11"/>
      <c r="P26" s="18"/>
      <c r="Q26" s="18"/>
      <c r="R26" s="18"/>
      <c r="S26" s="18"/>
      <c r="T26" s="18"/>
      <c r="U26" s="18"/>
      <c r="V26" s="18"/>
      <c r="W26" s="18"/>
      <c r="X26" s="18"/>
      <c r="Y26" s="18"/>
      <c r="Z26" s="18"/>
      <c r="AA26" s="11"/>
      <c r="AB26" s="14"/>
      <c r="AC26" s="14"/>
      <c r="AD26" s="11"/>
    </row>
    <row r="27" spans="1:30" ht="40.5" customHeight="1" x14ac:dyDescent="0.25">
      <c r="A27" s="20"/>
      <c r="B27" s="18">
        <v>2026</v>
      </c>
      <c r="C27" s="18" t="s">
        <v>69</v>
      </c>
      <c r="D27" s="18" t="s">
        <v>128</v>
      </c>
      <c r="E27" s="18" t="s">
        <v>129</v>
      </c>
      <c r="F27" s="18" t="s">
        <v>130</v>
      </c>
      <c r="G27" s="29"/>
      <c r="H27" s="18"/>
      <c r="I27" s="18"/>
      <c r="J27" s="19">
        <f>WORKDAY.INTL(H27,I27,1,'Año 2026'!A27:A37)</f>
        <v>0</v>
      </c>
      <c r="K27" s="18">
        <f t="shared" ca="1" si="6"/>
        <v>-46192</v>
      </c>
      <c r="L27" s="11" t="str">
        <f t="array" aca="1" ref="L27" ca="1">_xlfn.IFS(N27="AJUSTES AL PLAZO","NUEVA FECHA",N27="ENTREGADO","CONCLUIDO",TRUE,_xlfn.IFS(J27&lt;TODAY(),"🚨 VENCIDO",J27-TODAY()&lt;=2,"⚠️POR VENCER",TRUE,"EN PLAZO"))</f>
        <v>🚨 VENCIDO</v>
      </c>
      <c r="M27" s="14" t="str">
        <f t="array" aca="1" ref="M27" ca="1">_xlfn.IFS(N27="AJUSTES AL PLAZO","NUEVA FECHA",N27="ENTREGADO","CONCLUIDO",TRUE,IF(J27&lt;TODAY(),"❌ Vencido por "&amp;TODAY()-J27&amp;" días",IF(J27-TODAY()&lt;=2,"⏳ Faltan solo "&amp;J27-TODAY()&amp;" días","✅ En orden")))</f>
        <v>❌ Vencido por 46192 días</v>
      </c>
      <c r="N27" s="13"/>
      <c r="O27" s="11"/>
      <c r="P27" s="18"/>
      <c r="Q27" s="18"/>
      <c r="R27" s="18"/>
      <c r="S27" s="18"/>
      <c r="T27" s="18"/>
      <c r="U27" s="18"/>
      <c r="V27" s="18"/>
      <c r="W27" s="18"/>
      <c r="X27" s="18"/>
      <c r="Y27" s="18"/>
      <c r="Z27" s="18"/>
      <c r="AA27" s="11"/>
      <c r="AB27" s="14"/>
      <c r="AC27" s="14"/>
      <c r="AD27" s="11"/>
    </row>
    <row r="28" spans="1:30" ht="40.5" customHeight="1" x14ac:dyDescent="0.25">
      <c r="A28" s="20"/>
      <c r="B28" s="18">
        <v>2026</v>
      </c>
      <c r="C28" s="18" t="s">
        <v>69</v>
      </c>
      <c r="D28" s="18" t="s">
        <v>131</v>
      </c>
      <c r="E28" s="18" t="s">
        <v>132</v>
      </c>
      <c r="F28" s="18" t="s">
        <v>133</v>
      </c>
      <c r="G28" s="29"/>
      <c r="H28" s="18"/>
      <c r="I28" s="18"/>
      <c r="J28" s="19">
        <f>WORKDAY.INTL(H28,I28,1,'Año 2026'!A28:A38)</f>
        <v>0</v>
      </c>
      <c r="K28" s="18">
        <f t="shared" ca="1" si="6"/>
        <v>-46192</v>
      </c>
      <c r="L28" s="11" t="str">
        <f t="array" aca="1" ref="L28" ca="1">_xlfn.IFS(N28="AJUSTES AL PLAZO","NUEVA FECHA",N28="ENTREGADO","CONCLUIDO",TRUE,_xlfn.IFS(J28&lt;TODAY(),"🚨 VENCIDO",J28-TODAY()&lt;=2,"⚠️POR VENCER",TRUE,"EN PLAZO"))</f>
        <v>🚨 VENCIDO</v>
      </c>
      <c r="M28" s="14" t="str">
        <f t="array" aca="1" ref="M28" ca="1">_xlfn.IFS(N28="AJUSTES AL PLAZO","NUEVA FECHA",N28="ENTREGADO","CONCLUIDO",TRUE,IF(J28&lt;TODAY(),"❌ Vencido por "&amp;TODAY()-J28&amp;" días",IF(J28-TODAY()&lt;=2,"⏳ Faltan solo "&amp;J28-TODAY()&amp;" días","✅ En orden")))</f>
        <v>❌ Vencido por 46192 días</v>
      </c>
      <c r="N28" s="13"/>
      <c r="O28" s="11"/>
      <c r="P28" s="18"/>
      <c r="Q28" s="18"/>
      <c r="R28" s="18"/>
      <c r="S28" s="18"/>
      <c r="T28" s="18"/>
      <c r="U28" s="18"/>
      <c r="V28" s="18"/>
      <c r="W28" s="18"/>
      <c r="X28" s="18"/>
      <c r="Y28" s="18"/>
      <c r="Z28" s="18"/>
      <c r="AA28" s="11"/>
      <c r="AB28" s="14"/>
      <c r="AC28" s="14"/>
      <c r="AD28" s="11"/>
    </row>
    <row r="29" spans="1:30" ht="40.5" customHeight="1" x14ac:dyDescent="0.25">
      <c r="A29" s="20"/>
      <c r="B29" s="18">
        <v>2026</v>
      </c>
      <c r="C29" s="18" t="s">
        <v>69</v>
      </c>
      <c r="D29" s="18" t="s">
        <v>134</v>
      </c>
      <c r="E29" s="18" t="s">
        <v>135</v>
      </c>
      <c r="F29" s="18" t="s">
        <v>136</v>
      </c>
      <c r="G29" s="29"/>
      <c r="H29" s="18"/>
      <c r="I29" s="18"/>
      <c r="J29" s="19">
        <f>WORKDAY.INTL(H29,I29,1,'Año 2026'!A29:A39)</f>
        <v>0</v>
      </c>
      <c r="K29" s="18">
        <f t="shared" ca="1" si="6"/>
        <v>-46192</v>
      </c>
      <c r="L29" s="11" t="str">
        <f t="array" aca="1" ref="L29" ca="1">_xlfn.IFS(N29="AJUSTES AL PLAZO","NUEVA FECHA",N29="ENTREGADO","CONCLUIDO",TRUE,_xlfn.IFS(J29&lt;TODAY(),"🚨 VENCIDO",J29-TODAY()&lt;=2,"⚠️POR VENCER",TRUE,"EN PLAZO"))</f>
        <v>🚨 VENCIDO</v>
      </c>
      <c r="M29" s="14" t="str">
        <f t="array" aca="1" ref="M29" ca="1">_xlfn.IFS(N29="AJUSTES AL PLAZO","NUEVA FECHA",N29="ENTREGADO","CONCLUIDO",TRUE,IF(J29&lt;TODAY(),"❌ Vencido por "&amp;TODAY()-J29&amp;" días",IF(J29-TODAY()&lt;=2,"⏳ Faltan solo "&amp;J29-TODAY()&amp;" días","✅ En orden")))</f>
        <v>❌ Vencido por 46192 días</v>
      </c>
      <c r="N29" s="13"/>
      <c r="O29" s="11"/>
      <c r="P29" s="18"/>
      <c r="Q29" s="18"/>
      <c r="R29" s="18"/>
      <c r="S29" s="18"/>
      <c r="T29" s="18"/>
      <c r="U29" s="18"/>
      <c r="V29" s="18"/>
      <c r="W29" s="18"/>
      <c r="X29" s="18"/>
      <c r="Y29" s="18"/>
      <c r="Z29" s="18"/>
      <c r="AA29" s="11"/>
      <c r="AB29" s="14"/>
      <c r="AC29" s="14"/>
      <c r="AD29" s="11"/>
    </row>
    <row r="30" spans="1:30" ht="55.5" customHeight="1" x14ac:dyDescent="0.25">
      <c r="A30" s="20"/>
      <c r="B30" s="18">
        <v>2026</v>
      </c>
      <c r="C30" s="18" t="s">
        <v>137</v>
      </c>
      <c r="D30" s="18" t="s">
        <v>138</v>
      </c>
      <c r="E30" s="18" t="s">
        <v>139</v>
      </c>
      <c r="F30" s="18" t="s">
        <v>140</v>
      </c>
      <c r="G30" s="18" t="s">
        <v>141</v>
      </c>
      <c r="H30" s="19">
        <v>46085</v>
      </c>
      <c r="I30" s="18">
        <v>7</v>
      </c>
      <c r="J30" s="19">
        <v>46094</v>
      </c>
      <c r="K30" s="18">
        <f t="shared" ref="K30:K31" ca="1" si="7">J30-TODAY()</f>
        <v>-98</v>
      </c>
      <c r="L30" s="11" t="str" cm="1">
        <f t="array" aca="1" ref="L30" ca="1">_xlfn.IFS(N30="AJUSTES AL PLAZO","NUEVA FECHA",N30="ENTREGADO","CONCLUIDO",TRUE,_xlfn.IFS(J30&lt;TODAY(),"🚨 VENCIDO",J30-TODAY()&lt;=2,"⚠️POR VENCER",TRUE,"EN PLAZO"))</f>
        <v>NUEVA FECHA</v>
      </c>
      <c r="M30" s="14" t="str" cm="1">
        <f t="array" aca="1" ref="M30" ca="1">_xlfn.IFS(N30="AJUSTES AL PLAZO","NUEVA FECHA",N30="ENTREGADO","CONCLUIDO",TRUE,IF(J30&lt;TODAY(),"❌ Vencido por "&amp;TODAY()-J30&amp;" días",IF(J30-TODAY()&lt;=2,"⏳ Faltan solo "&amp;J30-TODAY()&amp;" días","✅ En orden")))</f>
        <v>NUEVA FECHA</v>
      </c>
      <c r="N30" s="13" t="s">
        <v>30</v>
      </c>
      <c r="O30" s="11" t="s">
        <v>142</v>
      </c>
      <c r="P30" s="18" t="s">
        <v>143</v>
      </c>
      <c r="Q30" s="18"/>
      <c r="R30" s="18"/>
      <c r="S30" s="18"/>
      <c r="T30" s="18"/>
      <c r="U30" s="18"/>
      <c r="V30" s="18" t="s">
        <v>144</v>
      </c>
      <c r="W30" s="19">
        <v>46146</v>
      </c>
      <c r="X30" s="18">
        <v>3</v>
      </c>
      <c r="Y30" s="19">
        <v>46149</v>
      </c>
      <c r="Z30" s="18">
        <f t="shared" ref="Z30:Z32" ca="1" si="8">Y30-TODAY()</f>
        <v>-43</v>
      </c>
      <c r="AA30" s="11" t="str" cm="1">
        <f t="array" aca="1" ref="AA30" ca="1">_xlfn.IFS(AD30="AJUSTES AL PLAZO","NUEVA FECHA",AD30="ENTREGADO","CONCLUIDO",TRUE,_xlfn.IFS(Y30&lt;TODAY(),"🚨 VENCIDO",Y30-TODAY()&lt;=2,"⚠️POR VENCER",TRUE,"EN PLAZO"))</f>
        <v>🚨 VENCIDO</v>
      </c>
      <c r="AB30" s="14" t="str">
        <f t="array" aca="1" ref="AB30" ca="1">_xlfn.IFS(AD30="AJUSTES AL PLAZO","NUEVA FECHA",AD30="ENTREGADO","CONCLUIDO",TRUE,IF(Y30&lt;TODAY(),"❌ Vencido por "&amp;TODAY()-Y30&amp;" días",IF(Y30-TODAY()&lt;=2,"⏳ Faltan solo "&amp;Y30-TODAY()&amp;" días","✅ En orden")))</f>
        <v>❌ Vencido por 43 días</v>
      </c>
      <c r="AC30" s="14"/>
      <c r="AD30" s="11" t="s">
        <v>145</v>
      </c>
    </row>
    <row r="31" spans="1:30" ht="55.5" customHeight="1" x14ac:dyDescent="0.25">
      <c r="A31" s="20"/>
      <c r="B31" s="18">
        <v>2025</v>
      </c>
      <c r="C31" s="18" t="s">
        <v>137</v>
      </c>
      <c r="D31" s="18" t="s">
        <v>146</v>
      </c>
      <c r="E31" s="18" t="s">
        <v>147</v>
      </c>
      <c r="F31" s="18" t="s">
        <v>148</v>
      </c>
      <c r="G31" s="18" t="s">
        <v>149</v>
      </c>
      <c r="H31" s="19">
        <v>45814</v>
      </c>
      <c r="I31" s="18">
        <v>3</v>
      </c>
      <c r="J31" s="19">
        <f>WORKDAY.INTL(H31,I31,1,'Año 2026'!A31:A45)</f>
        <v>45819</v>
      </c>
      <c r="K31" s="18">
        <f t="shared" ca="1" si="7"/>
        <v>-373</v>
      </c>
      <c r="L31" s="11" t="str">
        <f t="array" aca="1" ref="L31" ca="1">_xlfn.IFS(N31="AJUSTES AL PLAZO","NUEVA FECHA",N31="ENTREGADO","CONCLUIDO",TRUE,_xlfn.IFS(J31&lt;TODAY(),"🚨 VENCIDO",J31-TODAY()&lt;=2,"⚠️POR VENCER",TRUE,"EN PLAZO"))</f>
        <v>NUEVA FECHA</v>
      </c>
      <c r="M31" s="14" t="str">
        <f t="array" aca="1" ref="M31" ca="1">_xlfn.IFS(N31="AJUSTES AL PLAZO","NUEVA FECHA",N31="ENTREGADO","CONCLUIDO",TRUE,IF(J31&lt;TODAY(),"❌ Vencido por "&amp;TODAY()-J31&amp;" días",IF(J31-TODAY()&lt;=2,"⏳ Faltan solo "&amp;J31-TODAY()&amp;" días","✅ En orden")))</f>
        <v>NUEVA FECHA</v>
      </c>
      <c r="N31" s="13" t="s">
        <v>30</v>
      </c>
      <c r="O31" s="11"/>
      <c r="P31" s="18" t="s">
        <v>46</v>
      </c>
      <c r="Q31" s="18"/>
      <c r="R31" s="18"/>
      <c r="S31" s="18"/>
      <c r="T31" s="18"/>
      <c r="U31" s="18"/>
      <c r="V31" s="18" t="s">
        <v>107</v>
      </c>
      <c r="W31" s="19">
        <v>45821</v>
      </c>
      <c r="X31" s="18">
        <v>3</v>
      </c>
      <c r="Y31" s="19" t="e">
        <f>WORKDAY.INTL(W31,X31,1,#REF!)</f>
        <v>#REF!</v>
      </c>
      <c r="Z31" s="18" t="e">
        <f t="shared" ca="1" si="8"/>
        <v>#REF!</v>
      </c>
      <c r="AA31" s="11" t="e" cm="1">
        <f t="array" aca="1" ref="AA31" ca="1">_xlfn.IFS(AD31="AJUSTES AL PLAZO","NUEVA FECHA",AD31="ENTREGADO","CONCLUIDO",TRUE,_xlfn.IFS(Y31&lt;TODAY(),"🚨 VENCIDO",Y31-TODAY()&lt;=2,"⚠️POR VENCER",TRUE,"EN PLAZO"))</f>
        <v>#REF!</v>
      </c>
      <c r="AB31" s="14" t="e">
        <f t="array" aca="1" ref="AB31" ca="1">_xlfn.IFS(AD31="AJUSTES AL PLAZO","NUEVA FECHA",AD31="ENTREGADO","CONCLUIDO",TRUE,IF(Y31&lt;TODAY(),"❌ Vencido por "&amp;TODAY()-Y31&amp;" días",IF(Y31-TODAY()&lt;=2,"⏳ Faltan solo "&amp;Y31-TODAY()&amp;" días","✅ En orden")))</f>
        <v>#REF!</v>
      </c>
      <c r="AC31" s="14" t="s">
        <v>34</v>
      </c>
      <c r="AD31" s="11"/>
    </row>
    <row r="32" spans="1:30" ht="55.5" customHeight="1" x14ac:dyDescent="0.25">
      <c r="A32" s="20"/>
      <c r="B32" s="18">
        <v>2025</v>
      </c>
      <c r="C32" s="18" t="s">
        <v>137</v>
      </c>
      <c r="D32" s="18" t="s">
        <v>150</v>
      </c>
      <c r="E32" s="18" t="s">
        <v>151</v>
      </c>
      <c r="F32" s="18" t="s">
        <v>152</v>
      </c>
      <c r="G32" s="18" t="s">
        <v>153</v>
      </c>
      <c r="H32" s="19">
        <v>45805</v>
      </c>
      <c r="I32" s="18">
        <v>5</v>
      </c>
      <c r="J32" s="19">
        <f>WORKDAY.INTL(H32,I32,1,'Año 2026'!A32:A46)</f>
        <v>45812</v>
      </c>
      <c r="K32" s="18">
        <f t="shared" ref="K32:K33" ca="1" si="9">J32-TODAY()</f>
        <v>-380</v>
      </c>
      <c r="L32" s="11" t="str">
        <f t="array" aca="1" ref="L32" ca="1">_xlfn.IFS(N32="AJUSTES AL PLAZO","NUEVA FECHA",N32="ENTREGADO","CONCLUIDO",TRUE,_xlfn.IFS(J32&lt;TODAY(),"🚨 VENCIDO",J32-TODAY()&lt;=2,"⚠️POR VENCER",TRUE,"EN PLAZO"))</f>
        <v>NUEVA FECHA</v>
      </c>
      <c r="M32" s="14" t="str">
        <f t="array" aca="1" ref="M32" ca="1">_xlfn.IFS(N32="AJUSTES AL PLAZO","NUEVA FECHA",N32="ENTREGADO","CONCLUIDO",TRUE,IF(J32&lt;TODAY(),"❌ Vencido por "&amp;TODAY()-J32&amp;" días",IF(J32-TODAY()&lt;=2,"⏳ Faltan solo "&amp;J32-TODAY()&amp;" días","✅ En orden")))</f>
        <v>NUEVA FECHA</v>
      </c>
      <c r="N32" s="13" t="s">
        <v>30</v>
      </c>
      <c r="O32" s="11"/>
      <c r="P32" s="18" t="s">
        <v>108</v>
      </c>
      <c r="Q32" s="18"/>
      <c r="R32" s="18"/>
      <c r="S32" s="18"/>
      <c r="T32" s="18"/>
      <c r="U32" s="18"/>
      <c r="V32" s="18" t="s">
        <v>154</v>
      </c>
      <c r="W32" s="19">
        <v>46147</v>
      </c>
      <c r="X32" s="18">
        <v>5</v>
      </c>
      <c r="Y32" s="19" t="e">
        <f>WORKDAY.INTL(W32,X32,1,#REF!)</f>
        <v>#REF!</v>
      </c>
      <c r="Z32" s="18" t="e">
        <f t="shared" ca="1" si="8"/>
        <v>#REF!</v>
      </c>
      <c r="AA32" s="11" t="e" cm="1">
        <f t="array" aca="1" ref="AA32" ca="1">_xlfn.IFS(AD32="AJUSTES AL PLAZO","NUEVA FECHA",AD32="ENTREGADO","CONCLUIDO",TRUE,_xlfn.IFS(Y32&lt;TODAY(),"🚨 VENCIDO",Y32-TODAY()&lt;=2,"⚠️POR VENCER",TRUE,"EN PLAZO"))</f>
        <v>#REF!</v>
      </c>
      <c r="AB32" s="14" t="e">
        <f t="array" aca="1" ref="AB32" ca="1">_xlfn.IFS(AD32="AJUSTES AL PLAZO","NUEVA FECHA",AD32="ENTREGADO","CONCLUIDO",TRUE,IF(Y32&lt;TODAY(),"❌ Vencido por "&amp;TODAY()-Y32&amp;" días",IF(Y32-TODAY()&lt;=2,"⏳ Faltan solo "&amp;Y32-TODAY()&amp;" días","✅ En orden")))</f>
        <v>#REF!</v>
      </c>
      <c r="AC32" s="14" t="s">
        <v>34</v>
      </c>
      <c r="AD32" s="11"/>
    </row>
    <row r="33" spans="1:30" ht="55.5" customHeight="1" x14ac:dyDescent="0.25">
      <c r="A33" s="20"/>
      <c r="B33" s="18">
        <v>2025</v>
      </c>
      <c r="C33" s="18" t="s">
        <v>137</v>
      </c>
      <c r="D33" s="18" t="s">
        <v>155</v>
      </c>
      <c r="E33" s="18" t="s">
        <v>156</v>
      </c>
      <c r="F33" s="18" t="s">
        <v>157</v>
      </c>
      <c r="G33" s="18" t="s">
        <v>158</v>
      </c>
      <c r="H33" s="19">
        <v>46029</v>
      </c>
      <c r="I33" s="18">
        <v>5</v>
      </c>
      <c r="J33" s="19">
        <v>46094</v>
      </c>
      <c r="K33" s="18">
        <f t="shared" ca="1" si="9"/>
        <v>-98</v>
      </c>
      <c r="L33" s="11" t="str" cm="1">
        <f t="array" aca="1" ref="L33" ca="1">_xlfn.IFS(N33="AJUSTES AL PLAZO","NUEVA FECHA",N33="ENTREGADO","CONCLUIDO",TRUE,_xlfn.IFS(J33&lt;TODAY(),"🚨 VENCIDO",J33-TODAY()&lt;=2,"⚠️POR VENCER",TRUE,"EN PLAZO"))</f>
        <v>NUEVA FECHA</v>
      </c>
      <c r="M33" s="14" t="str" cm="1">
        <f t="array" aca="1" ref="M33" ca="1">_xlfn.IFS(N33="AJUSTES AL PLAZO","NUEVA FECHA",N33="ENTREGADO","CONCLUIDO",TRUE,IF(J33&lt;TODAY(),"❌ Vencido por "&amp;TODAY()-J33&amp;" días",IF(J33-TODAY()&lt;=2,"⏳ Faltan solo "&amp;J33-TODAY()&amp;" días","✅ En orden")))</f>
        <v>NUEVA FECHA</v>
      </c>
      <c r="N33" s="13" t="s">
        <v>30</v>
      </c>
      <c r="O33" s="11"/>
      <c r="P33" s="18" t="s">
        <v>40</v>
      </c>
      <c r="Q33" s="18"/>
      <c r="R33" s="18"/>
      <c r="S33" s="18"/>
      <c r="T33" s="18"/>
      <c r="U33" s="18"/>
      <c r="V33" s="18"/>
      <c r="W33" s="18"/>
      <c r="X33" s="18"/>
      <c r="Y33" s="18"/>
      <c r="Z33" s="18"/>
      <c r="AA33" s="11"/>
      <c r="AB33" s="14"/>
      <c r="AC33" s="14" t="s">
        <v>34</v>
      </c>
      <c r="AD33" s="11" t="s">
        <v>159</v>
      </c>
    </row>
    <row r="34" spans="1:30" ht="55.5" customHeight="1" x14ac:dyDescent="0.25">
      <c r="A34" s="20"/>
      <c r="B34" s="18">
        <v>2025</v>
      </c>
      <c r="C34" s="18" t="s">
        <v>137</v>
      </c>
      <c r="D34" s="18" t="s">
        <v>160</v>
      </c>
      <c r="E34" s="18" t="s">
        <v>161</v>
      </c>
      <c r="F34" s="18" t="s">
        <v>162</v>
      </c>
      <c r="G34" s="18" t="s">
        <v>163</v>
      </c>
      <c r="H34" s="19">
        <v>45904</v>
      </c>
      <c r="I34" s="18">
        <v>3</v>
      </c>
      <c r="J34" s="19">
        <f>WORKDAY.INTL(H34,I34,1,'Año 2026'!A34:A48)</f>
        <v>45909</v>
      </c>
      <c r="K34" s="18">
        <f t="shared" ref="K34:K35" ca="1" si="10">J34-TODAY()</f>
        <v>-283</v>
      </c>
      <c r="L34" s="11" t="str">
        <f t="array" aca="1" ref="L34" ca="1">_xlfn.IFS(N34="AJUSTES AL PLAZO","NUEVA FECHA",N34="ENTREGADO","CONCLUIDO",TRUE,_xlfn.IFS(J34&lt;TODAY(),"🚨 VENCIDO",J34-TODAY()&lt;=2,"⚠️POR VENCER",TRUE,"EN PLAZO"))</f>
        <v>NUEVA FECHA</v>
      </c>
      <c r="M34" s="14" t="str">
        <f t="array" aca="1" ref="M34" ca="1">_xlfn.IFS(N34="AJUSTES AL PLAZO","NUEVA FECHA",N34="ENTREGADO","CONCLUIDO",TRUE,IF(J34&lt;TODAY(),"❌ Vencido por "&amp;TODAY()-J34&amp;" días",IF(J34-TODAY()&lt;=2,"⏳ Faltan solo "&amp;J34-TODAY()&amp;" días","✅ En orden")))</f>
        <v>NUEVA FECHA</v>
      </c>
      <c r="N34" s="13" t="s">
        <v>30</v>
      </c>
      <c r="O34" s="11"/>
      <c r="P34" s="18" t="s">
        <v>40</v>
      </c>
      <c r="Q34" s="18"/>
      <c r="R34" s="18"/>
      <c r="S34" s="18"/>
      <c r="T34" s="18"/>
      <c r="U34" s="18"/>
      <c r="V34" s="18" t="s">
        <v>164</v>
      </c>
      <c r="W34" s="19">
        <v>45945</v>
      </c>
      <c r="X34" s="18">
        <v>10</v>
      </c>
      <c r="Y34" s="19" t="e">
        <f>WORKDAY.INTL(W34,X34,1,#REF!)</f>
        <v>#REF!</v>
      </c>
      <c r="Z34" s="18" t="e">
        <f t="shared" ref="Z34" ca="1" si="11">Y34-TODAY()</f>
        <v>#REF!</v>
      </c>
      <c r="AA34" s="11" t="e" cm="1">
        <f t="array" aca="1" ref="AA34" ca="1">_xlfn.IFS(AD34="AJUSTES AL PLAZO","NUEVA FECHA",AD34="ENTREGADO","CONCLUIDO",TRUE,_xlfn.IFS(Y34&lt;TODAY(),"🚨 VENCIDO",Y34-TODAY()&lt;=2,"⚠️POR VENCER",TRUE,"EN PLAZO"))</f>
        <v>#REF!</v>
      </c>
      <c r="AB34" s="14" t="e">
        <f t="array" aca="1" ref="AB34" ca="1">_xlfn.IFS(AD34="AJUSTES AL PLAZO","NUEVA FECHA",AD34="ENTREGADO","CONCLUIDO",TRUE,IF(Y34&lt;TODAY(),"❌ Vencido por "&amp;TODAY()-Y34&amp;" días",IF(Y34-TODAY()&lt;=2,"⏳ Faltan solo "&amp;Y34-TODAY()&amp;" días","✅ En orden")))</f>
        <v>#REF!</v>
      </c>
      <c r="AC34" s="14" t="s">
        <v>34</v>
      </c>
      <c r="AD34" s="11"/>
    </row>
    <row r="35" spans="1:30" ht="55.5" customHeight="1" x14ac:dyDescent="0.25">
      <c r="A35" s="20"/>
      <c r="B35" s="18">
        <v>2025</v>
      </c>
      <c r="C35" s="18" t="s">
        <v>137</v>
      </c>
      <c r="D35" s="18" t="s">
        <v>155</v>
      </c>
      <c r="E35" s="18" t="s">
        <v>165</v>
      </c>
      <c r="F35" s="18" t="s">
        <v>157</v>
      </c>
      <c r="G35" s="18" t="s">
        <v>158</v>
      </c>
      <c r="H35" s="19">
        <v>46029</v>
      </c>
      <c r="I35" s="18">
        <v>5</v>
      </c>
      <c r="J35" s="19">
        <v>46094</v>
      </c>
      <c r="K35" s="18">
        <f t="shared" ca="1" si="10"/>
        <v>-98</v>
      </c>
      <c r="L35" s="11" t="str" cm="1">
        <f t="array" aca="1" ref="L35" ca="1">_xlfn.IFS(N35="AJUSTES AL PLAZO","NUEVA FECHA",N35="ENTREGADO","CONCLUIDO",TRUE,_xlfn.IFS(J35&lt;TODAY(),"🚨 VENCIDO",J35-TODAY()&lt;=2,"⚠️POR VENCER",TRUE,"EN PLAZO"))</f>
        <v>NUEVA FECHA</v>
      </c>
      <c r="M35" s="14" t="str" cm="1">
        <f t="array" aca="1" ref="M35" ca="1">_xlfn.IFS(N35="AJUSTES AL PLAZO","NUEVA FECHA",N35="ENTREGADO","CONCLUIDO",TRUE,IF(J35&lt;TODAY(),"❌ Vencido por "&amp;TODAY()-J35&amp;" días",IF(J35-TODAY()&lt;=2,"⏳ Faltan solo "&amp;J35-TODAY()&amp;" días","✅ En orden")))</f>
        <v>NUEVA FECHA</v>
      </c>
      <c r="N35" s="13" t="s">
        <v>30</v>
      </c>
      <c r="O35" s="11"/>
      <c r="P35" s="18" t="s">
        <v>40</v>
      </c>
      <c r="Q35" s="18"/>
      <c r="R35" s="18"/>
      <c r="S35" s="18"/>
      <c r="T35" s="18"/>
      <c r="U35" s="18"/>
      <c r="V35" s="18"/>
      <c r="W35" s="18"/>
      <c r="X35" s="18"/>
      <c r="Y35" s="18"/>
      <c r="Z35" s="18"/>
      <c r="AA35" s="11"/>
      <c r="AB35" s="14"/>
      <c r="AC35" s="14" t="s">
        <v>34</v>
      </c>
      <c r="AD35" s="11" t="s">
        <v>159</v>
      </c>
    </row>
    <row r="36" spans="1:30" ht="55.5" customHeight="1" x14ac:dyDescent="0.25">
      <c r="A36" s="20"/>
      <c r="B36" s="18">
        <v>2025</v>
      </c>
      <c r="C36" s="18" t="s">
        <v>137</v>
      </c>
      <c r="D36" s="18" t="s">
        <v>166</v>
      </c>
      <c r="E36" s="18" t="s">
        <v>167</v>
      </c>
      <c r="F36" s="18" t="s">
        <v>168</v>
      </c>
      <c r="G36" s="18" t="s">
        <v>169</v>
      </c>
      <c r="H36" s="19">
        <v>46057</v>
      </c>
      <c r="I36" s="18">
        <v>2</v>
      </c>
      <c r="J36" s="19">
        <v>46094</v>
      </c>
      <c r="K36" s="18">
        <f t="shared" ref="K36:K38" ca="1" si="12">J36-TODAY()</f>
        <v>-98</v>
      </c>
      <c r="L36" s="11" t="str" cm="1">
        <f t="array" aca="1" ref="L36" ca="1">_xlfn.IFS(N36="AJUSTES AL PLAZO","NUEVA FECHA",N36="ENTREGADO","CONCLUIDO",TRUE,_xlfn.IFS(J36&lt;TODAY(),"🚨 VENCIDO",J36-TODAY()&lt;=2,"⚠️POR VENCER",TRUE,"EN PLAZO"))</f>
        <v>NUEVA FECHA</v>
      </c>
      <c r="M36" s="14" t="str" cm="1">
        <f t="array" aca="1" ref="M36" ca="1">_xlfn.IFS(N36="AJUSTES AL PLAZO","NUEVA FECHA",N36="ENTREGADO","CONCLUIDO",TRUE,IF(J36&lt;TODAY(),"❌ Vencido por "&amp;TODAY()-J36&amp;" días",IF(J36-TODAY()&lt;=2,"⏳ Faltan solo "&amp;J36-TODAY()&amp;" días","✅ En orden")))</f>
        <v>NUEVA FECHA</v>
      </c>
      <c r="N36" s="13" t="s">
        <v>30</v>
      </c>
      <c r="O36" s="11"/>
      <c r="P36" s="18" t="s">
        <v>40</v>
      </c>
      <c r="Q36" s="18"/>
      <c r="R36" s="18"/>
      <c r="S36" s="18"/>
      <c r="T36" s="18"/>
      <c r="U36" s="18"/>
      <c r="V36" s="18" t="s">
        <v>170</v>
      </c>
      <c r="W36" s="19">
        <v>46090</v>
      </c>
      <c r="X36" s="18">
        <v>10</v>
      </c>
      <c r="Y36" s="19" t="e">
        <f>WORKDAY.INTL(W36,X36,1,#REF!)</f>
        <v>#REF!</v>
      </c>
      <c r="Z36" s="18" t="e">
        <f t="shared" ref="Z36" ca="1" si="13">Y36-TODAY()</f>
        <v>#REF!</v>
      </c>
      <c r="AA36" s="11" t="e" cm="1">
        <f t="array" aca="1" ref="AA36" ca="1">_xlfn.IFS(AD36="AJUSTES AL PLAZO","NUEVA FECHA",AD36="ENTREGADO","CONCLUIDO",TRUE,_xlfn.IFS(Y36&lt;TODAY(),"🚨 VENCIDO",Y36-TODAY()&lt;=2,"⚠️POR VENCER",TRUE,"EN PLAZO"))</f>
        <v>#REF!</v>
      </c>
      <c r="AB36" s="14" t="e">
        <f t="array" aca="1" ref="AB36" ca="1">_xlfn.IFS(AD36="AJUSTES AL PLAZO","NUEVA FECHA",AD36="ENTREGADO","CONCLUIDO",TRUE,IF(Y36&lt;TODAY(),"❌ Vencido por "&amp;TODAY()-Y36&amp;" días",IF(Y36-TODAY()&lt;=2,"⏳ Faltan solo "&amp;Y36-TODAY()&amp;" días","✅ En orden")))</f>
        <v>#REF!</v>
      </c>
      <c r="AC36" s="14" t="s">
        <v>34</v>
      </c>
      <c r="AD36" s="11"/>
    </row>
    <row r="37" spans="1:30" ht="55.5" customHeight="1" x14ac:dyDescent="0.25">
      <c r="A37" s="20"/>
      <c r="B37" s="18">
        <v>2025</v>
      </c>
      <c r="C37" s="18" t="s">
        <v>69</v>
      </c>
      <c r="D37" s="18" t="s">
        <v>171</v>
      </c>
      <c r="E37" s="18" t="s">
        <v>172</v>
      </c>
      <c r="F37" s="18" t="s">
        <v>173</v>
      </c>
      <c r="G37" s="18" t="s">
        <v>174</v>
      </c>
      <c r="H37" s="19">
        <v>46101</v>
      </c>
      <c r="I37" s="18">
        <v>5</v>
      </c>
      <c r="J37" s="19">
        <v>46101</v>
      </c>
      <c r="K37" s="18">
        <f t="shared" ca="1" si="12"/>
        <v>-91</v>
      </c>
      <c r="L37" s="11" t="str" cm="1">
        <f t="array" aca="1" ref="L37" ca="1">_xlfn.IFS(N37="AJUSTES AL PLAZO","NUEVA FECHA",N37="ENTREGADO","CONCLUIDO",TRUE,_xlfn.IFS(J37&lt;TODAY(),"🚨 VENCIDO",J37-TODAY()&lt;=2,"⚠️POR VENCER",TRUE,"EN PLAZO"))</f>
        <v>CONCLUIDO</v>
      </c>
      <c r="M37" s="14" t="str" cm="1">
        <f t="array" aca="1" ref="M37" ca="1">_xlfn.IFS(N37="AJUSTES AL PLAZO","NUEVA FECHA",N37="ENTREGADO","CONCLUIDO",TRUE,IF(J37&lt;TODAY(),"❌ Vencido por "&amp;TODAY()-J37&amp;" días",IF(J37-TODAY()&lt;=2,"⏳ Faltan solo "&amp;J37-TODAY()&amp;" días","✅ En orden")))</f>
        <v>CONCLUIDO</v>
      </c>
      <c r="N37" s="13" t="s">
        <v>34</v>
      </c>
      <c r="O37" s="11"/>
      <c r="P37" s="18"/>
      <c r="Q37" s="18"/>
      <c r="R37" s="18"/>
      <c r="S37" s="18"/>
      <c r="T37" s="18"/>
      <c r="U37" s="18"/>
      <c r="V37" s="18"/>
      <c r="W37" s="19"/>
      <c r="X37" s="18"/>
      <c r="Y37" s="19"/>
      <c r="Z37" s="18"/>
      <c r="AA37" s="11"/>
      <c r="AB37" s="14"/>
      <c r="AC37" s="14"/>
      <c r="AD37" s="11"/>
    </row>
    <row r="38" spans="1:30" ht="55.5" customHeight="1" x14ac:dyDescent="0.25">
      <c r="A38" s="20"/>
      <c r="B38" s="18">
        <v>2025</v>
      </c>
      <c r="C38" s="18" t="s">
        <v>69</v>
      </c>
      <c r="D38" s="18" t="s">
        <v>175</v>
      </c>
      <c r="E38" s="18" t="s">
        <v>176</v>
      </c>
      <c r="F38" s="18" t="s">
        <v>177</v>
      </c>
      <c r="G38" s="18" t="s">
        <v>178</v>
      </c>
      <c r="H38" s="19">
        <v>45909</v>
      </c>
      <c r="I38" s="18">
        <v>2</v>
      </c>
      <c r="J38" s="19">
        <f>WORKDAY.INTL(H38,I38,1,'Año 2026'!A38:A52)</f>
        <v>45911</v>
      </c>
      <c r="K38" s="18">
        <f t="shared" ca="1" si="12"/>
        <v>-281</v>
      </c>
      <c r="L38" s="11" t="str">
        <f t="array" aca="1" ref="L38" ca="1">_xlfn.IFS(N38="AJUSTES AL PLAZO","NUEVA FECHA",N38="ENTREGADO","CONCLUIDO",TRUE,_xlfn.IFS(J38&lt;TODAY(),"🚨 VENCIDO",J38-TODAY()&lt;=2,"⚠️POR VENCER",TRUE,"EN PLAZO"))</f>
        <v>NUEVA FECHA</v>
      </c>
      <c r="M38" s="14" t="str">
        <f t="array" aca="1" ref="M38" ca="1">_xlfn.IFS(N38="AJUSTES AL PLAZO","NUEVA FECHA",N38="ENTREGADO","CONCLUIDO",TRUE,IF(J38&lt;TODAY(),"❌ Vencido por "&amp;TODAY()-J38&amp;" días",IF(J38-TODAY()&lt;=2,"⏳ Faltan solo "&amp;J38-TODAY()&amp;" días","✅ En orden")))</f>
        <v>NUEVA FECHA</v>
      </c>
      <c r="N38" s="13" t="s">
        <v>30</v>
      </c>
      <c r="O38" s="11"/>
      <c r="P38" s="18" t="s">
        <v>40</v>
      </c>
      <c r="Q38" s="18"/>
      <c r="R38" s="18"/>
      <c r="S38" s="18"/>
      <c r="T38" s="18"/>
      <c r="U38" s="18"/>
      <c r="V38" s="18" t="s">
        <v>179</v>
      </c>
      <c r="W38" s="19">
        <v>45932</v>
      </c>
      <c r="X38" s="18">
        <v>3</v>
      </c>
      <c r="Y38" s="19" t="e">
        <f>WORKDAY.INTL(W38,X38,1,#REF!)</f>
        <v>#REF!</v>
      </c>
      <c r="Z38" s="18" t="e">
        <f t="shared" ref="Z38" ca="1" si="14">Y38-TODAY()</f>
        <v>#REF!</v>
      </c>
      <c r="AA38" s="11" t="e" cm="1">
        <f t="array" aca="1" ref="AA38" ca="1">_xlfn.IFS(AD38="AJUSTES AL PLAZO","NUEVA FECHA",AD38="ENTREGADO","CONCLUIDO",TRUE,_xlfn.IFS(Y38&lt;TODAY(),"🚨 VENCIDO",Y38-TODAY()&lt;=2,"⚠️POR VENCER",TRUE,"EN PLAZO"))</f>
        <v>#REF!</v>
      </c>
      <c r="AB38" s="14" t="e">
        <f t="array" aca="1" ref="AB38" ca="1">_xlfn.IFS(AD38="AJUSTES AL PLAZO","NUEVA FECHA",AD38="ENTREGADO","CONCLUIDO",TRUE,IF(Y38&lt;TODAY(),"❌ Vencido por "&amp;TODAY()-Y38&amp;" días",IF(Y38-TODAY()&lt;=2,"⏳ Faltan solo "&amp;Y38-TODAY()&amp;" días","✅ En orden")))</f>
        <v>#REF!</v>
      </c>
      <c r="AC38" s="14" t="s">
        <v>34</v>
      </c>
      <c r="AD38" s="11"/>
    </row>
    <row r="39" spans="1:30" ht="55.5" customHeight="1" x14ac:dyDescent="0.25">
      <c r="A39" s="20"/>
      <c r="B39" s="18">
        <v>2025</v>
      </c>
      <c r="C39" s="18" t="s">
        <v>69</v>
      </c>
      <c r="D39" s="18" t="s">
        <v>175</v>
      </c>
      <c r="E39" s="18" t="s">
        <v>180</v>
      </c>
      <c r="F39" s="18" t="s">
        <v>181</v>
      </c>
      <c r="G39" s="18" t="s">
        <v>178</v>
      </c>
      <c r="H39" s="19">
        <v>45909</v>
      </c>
      <c r="I39" s="18">
        <v>2</v>
      </c>
      <c r="J39" s="19">
        <f>WORKDAY.INTL(H39,I39,1,'Año 2026'!A39:A53)</f>
        <v>45911</v>
      </c>
      <c r="K39" s="18">
        <f t="shared" ref="K39" ca="1" si="15">J39-TODAY()</f>
        <v>-281</v>
      </c>
      <c r="L39" s="11" t="str">
        <f t="array" aca="1" ref="L39" ca="1">_xlfn.IFS(N39="AJUSTES AL PLAZO","NUEVA FECHA",N39="ENTREGADO","CONCLUIDO",TRUE,_xlfn.IFS(J39&lt;TODAY(),"🚨 VENCIDO",J39-TODAY()&lt;=2,"⚠️POR VENCER",TRUE,"EN PLAZO"))</f>
        <v>NUEVA FECHA</v>
      </c>
      <c r="M39" s="14" t="str">
        <f t="array" aca="1" ref="M39" ca="1">_xlfn.IFS(N39="AJUSTES AL PLAZO","NUEVA FECHA",N39="ENTREGADO","CONCLUIDO",TRUE,IF(J39&lt;TODAY(),"❌ Vencido por "&amp;TODAY()-J39&amp;" días",IF(J39-TODAY()&lt;=2,"⏳ Faltan solo "&amp;J39-TODAY()&amp;" días","✅ En orden")))</f>
        <v>NUEVA FECHA</v>
      </c>
      <c r="N39" s="13" t="s">
        <v>30</v>
      </c>
      <c r="O39" s="11"/>
      <c r="P39" s="18" t="s">
        <v>40</v>
      </c>
      <c r="Q39" s="18"/>
      <c r="R39" s="18"/>
      <c r="S39" s="18"/>
      <c r="T39" s="18"/>
      <c r="U39" s="18"/>
      <c r="V39" s="18" t="s">
        <v>179</v>
      </c>
      <c r="W39" s="19">
        <v>45932</v>
      </c>
      <c r="X39" s="18">
        <v>3</v>
      </c>
      <c r="Y39" s="19" t="e">
        <f>WORKDAY.INTL(W39,X39,1,#REF!)</f>
        <v>#REF!</v>
      </c>
      <c r="Z39" s="18" t="e">
        <f t="shared" ref="Z39" ca="1" si="16">Y39-TODAY()</f>
        <v>#REF!</v>
      </c>
      <c r="AA39" s="11" t="e" cm="1">
        <f t="array" aca="1" ref="AA39" ca="1">_xlfn.IFS(AD39="AJUSTES AL PLAZO","NUEVA FECHA",AD39="ENTREGADO","CONCLUIDO",TRUE,_xlfn.IFS(Y39&lt;TODAY(),"🚨 VENCIDO",Y39-TODAY()&lt;=2,"⚠️POR VENCER",TRUE,"EN PLAZO"))</f>
        <v>#REF!</v>
      </c>
      <c r="AB39" s="14" t="e">
        <f t="array" aca="1" ref="AB39" ca="1">_xlfn.IFS(AD39="AJUSTES AL PLAZO","NUEVA FECHA",AD39="ENTREGADO","CONCLUIDO",TRUE,IF(Y39&lt;TODAY(),"❌ Vencido por "&amp;TODAY()-Y39&amp;" días",IF(Y39-TODAY()&lt;=2,"⏳ Faltan solo "&amp;Y39-TODAY()&amp;" días","✅ En orden")))</f>
        <v>#REF!</v>
      </c>
      <c r="AC39" s="14" t="s">
        <v>34</v>
      </c>
      <c r="AD39" s="11"/>
    </row>
    <row r="40" spans="1:30" ht="55.5" customHeight="1" x14ac:dyDescent="0.25">
      <c r="A40" s="20"/>
      <c r="B40" s="18">
        <v>2025</v>
      </c>
      <c r="C40" s="18" t="s">
        <v>69</v>
      </c>
      <c r="D40" s="18" t="s">
        <v>182</v>
      </c>
      <c r="E40" s="18" t="s">
        <v>183</v>
      </c>
      <c r="F40" s="18" t="s">
        <v>184</v>
      </c>
      <c r="G40" s="29"/>
      <c r="H40" s="19"/>
      <c r="I40" s="18"/>
      <c r="J40" s="19"/>
      <c r="K40" s="18"/>
      <c r="L40" s="11"/>
      <c r="M40" s="14"/>
      <c r="N40" s="13"/>
      <c r="O40" s="11"/>
      <c r="P40" s="18"/>
      <c r="Q40" s="18"/>
      <c r="R40" s="18"/>
      <c r="S40" s="18"/>
      <c r="T40" s="18"/>
      <c r="U40" s="18"/>
      <c r="V40" s="18"/>
      <c r="W40" s="19"/>
      <c r="X40" s="18"/>
      <c r="Y40" s="19"/>
      <c r="Z40" s="18"/>
      <c r="AA40" s="11"/>
      <c r="AB40" s="14"/>
      <c r="AC40" s="14"/>
      <c r="AD40" s="11"/>
    </row>
    <row r="41" spans="1:30" ht="55.5" customHeight="1" x14ac:dyDescent="0.25">
      <c r="A41" s="20"/>
      <c r="B41" s="18">
        <v>2025</v>
      </c>
      <c r="C41" s="18" t="s">
        <v>69</v>
      </c>
      <c r="D41" s="18" t="s">
        <v>185</v>
      </c>
      <c r="E41" s="18" t="s">
        <v>186</v>
      </c>
      <c r="F41" s="18" t="s">
        <v>187</v>
      </c>
      <c r="G41" s="18" t="s">
        <v>188</v>
      </c>
      <c r="H41" s="19">
        <v>45839</v>
      </c>
      <c r="I41" s="18">
        <v>5</v>
      </c>
      <c r="J41" s="19">
        <f>WORKDAY.INTL(H41,I41,1,'Año 2026'!A41:A55)</f>
        <v>45846</v>
      </c>
      <c r="K41" s="18">
        <f t="shared" ref="K41" ca="1" si="17">J41-TODAY()</f>
        <v>-346</v>
      </c>
      <c r="L41" s="11" t="str">
        <f t="array" aca="1" ref="L41" ca="1">_xlfn.IFS(N41="AJUSTES AL PLAZO","NUEVA FECHA",N41="ENTREGADO","CONCLUIDO",TRUE,_xlfn.IFS(J41&lt;TODAY(),"🚨 VENCIDO",J41-TODAY()&lt;=2,"⚠️POR VENCER",TRUE,"EN PLAZO"))</f>
        <v>NUEVA FECHA</v>
      </c>
      <c r="M41" s="14" t="str">
        <f t="array" aca="1" ref="M41" ca="1">_xlfn.IFS(N41="AJUSTES AL PLAZO","NUEVA FECHA",N41="ENTREGADO","CONCLUIDO",TRUE,IF(J41&lt;TODAY(),"❌ Vencido por "&amp;TODAY()-J41&amp;" días",IF(J41-TODAY()&lt;=2,"⏳ Faltan solo "&amp;J41-TODAY()&amp;" días","✅ En orden")))</f>
        <v>NUEVA FECHA</v>
      </c>
      <c r="N41" s="13" t="s">
        <v>30</v>
      </c>
      <c r="O41" s="11"/>
      <c r="P41" s="18" t="s">
        <v>40</v>
      </c>
      <c r="Q41" s="18"/>
      <c r="R41" s="18"/>
      <c r="S41" s="18"/>
      <c r="T41" s="18"/>
      <c r="U41" s="18"/>
      <c r="V41" s="18" t="s">
        <v>189</v>
      </c>
      <c r="W41" s="19">
        <v>45855</v>
      </c>
      <c r="X41" s="18">
        <v>6</v>
      </c>
      <c r="Y41" s="19" t="e">
        <f>WORKDAY.INTL(W41,X41,1,#REF!)</f>
        <v>#REF!</v>
      </c>
      <c r="Z41" s="18" t="e">
        <f t="shared" ref="Z41" ca="1" si="18">Y41-TODAY()</f>
        <v>#REF!</v>
      </c>
      <c r="AA41" s="11" t="e" cm="1">
        <f t="array" aca="1" ref="AA41" ca="1">_xlfn.IFS(AD41="AJUSTES AL PLAZO","NUEVA FECHA",AD41="ENTREGADO","CONCLUIDO",TRUE,_xlfn.IFS(Y41&lt;TODAY(),"🚨 VENCIDO",Y41-TODAY()&lt;=2,"⚠️POR VENCER",TRUE,"EN PLAZO"))</f>
        <v>#REF!</v>
      </c>
      <c r="AB41" s="14" t="e">
        <f t="array" aca="1" ref="AB41" ca="1">_xlfn.IFS(AD41="AJUSTES AL PLAZO","NUEVA FECHA",AD41="ENTREGADO","CONCLUIDO",TRUE,IF(Y41&lt;TODAY(),"❌ Vencido por "&amp;TODAY()-Y41&amp;" días",IF(Y41-TODAY()&lt;=2,"⏳ Faltan solo "&amp;Y41-TODAY()&amp;" días","✅ En orden")))</f>
        <v>#REF!</v>
      </c>
      <c r="AC41" s="14" t="s">
        <v>34</v>
      </c>
      <c r="AD41" s="11"/>
    </row>
    <row r="42" spans="1:30" ht="55.5" customHeight="1" x14ac:dyDescent="0.25">
      <c r="A42" s="20"/>
      <c r="B42" s="18">
        <v>2025</v>
      </c>
      <c r="C42" s="18" t="s">
        <v>69</v>
      </c>
      <c r="D42" s="18" t="s">
        <v>190</v>
      </c>
      <c r="E42" s="18" t="s">
        <v>191</v>
      </c>
      <c r="F42" s="18" t="s">
        <v>192</v>
      </c>
      <c r="G42" s="29"/>
      <c r="H42" s="19"/>
      <c r="I42" s="18"/>
      <c r="J42" s="19"/>
      <c r="K42" s="18"/>
      <c r="L42" s="11"/>
      <c r="M42" s="14"/>
      <c r="N42" s="13"/>
      <c r="O42" s="11"/>
      <c r="P42" s="18"/>
      <c r="Q42" s="18"/>
      <c r="R42" s="18"/>
      <c r="S42" s="18"/>
      <c r="T42" s="18"/>
      <c r="U42" s="18"/>
      <c r="V42" s="18"/>
      <c r="W42" s="19"/>
      <c r="X42" s="18"/>
      <c r="Y42" s="19"/>
      <c r="Z42" s="18"/>
      <c r="AA42" s="11"/>
      <c r="AB42" s="14"/>
      <c r="AC42" s="14"/>
      <c r="AD42" s="11"/>
    </row>
    <row r="43" spans="1:30" ht="55.5" customHeight="1" x14ac:dyDescent="0.25">
      <c r="A43" s="20"/>
      <c r="B43" s="18">
        <v>2025</v>
      </c>
      <c r="C43" s="18" t="s">
        <v>69</v>
      </c>
      <c r="D43" s="18" t="s">
        <v>193</v>
      </c>
      <c r="E43" s="18" t="s">
        <v>194</v>
      </c>
      <c r="F43" s="18" t="s">
        <v>195</v>
      </c>
      <c r="G43" s="29"/>
      <c r="H43" s="19"/>
      <c r="I43" s="18"/>
      <c r="J43" s="19"/>
      <c r="K43" s="18"/>
      <c r="L43" s="11"/>
      <c r="M43" s="14"/>
      <c r="N43" s="13"/>
      <c r="O43" s="11"/>
      <c r="P43" s="18"/>
      <c r="Q43" s="18"/>
      <c r="R43" s="18"/>
      <c r="S43" s="18"/>
      <c r="T43" s="18"/>
      <c r="U43" s="18"/>
      <c r="V43" s="18"/>
      <c r="W43" s="19"/>
      <c r="X43" s="18"/>
      <c r="Y43" s="19"/>
      <c r="Z43" s="18"/>
      <c r="AA43" s="11"/>
      <c r="AB43" s="14"/>
      <c r="AC43" s="14"/>
      <c r="AD43" s="11"/>
    </row>
    <row r="44" spans="1:30" ht="55.5" customHeight="1" x14ac:dyDescent="0.25">
      <c r="A44" s="20"/>
      <c r="B44" s="18">
        <v>2025</v>
      </c>
      <c r="C44" s="18" t="s">
        <v>69</v>
      </c>
      <c r="D44" s="18" t="s">
        <v>196</v>
      </c>
      <c r="E44" s="18" t="s">
        <v>197</v>
      </c>
      <c r="F44" s="18" t="s">
        <v>198</v>
      </c>
      <c r="G44" s="29"/>
      <c r="H44" s="19"/>
      <c r="I44" s="18"/>
      <c r="J44" s="19"/>
      <c r="K44" s="18"/>
      <c r="L44" s="11"/>
      <c r="M44" s="14"/>
      <c r="N44" s="13"/>
      <c r="O44" s="11"/>
      <c r="P44" s="18"/>
      <c r="Q44" s="18"/>
      <c r="R44" s="18"/>
      <c r="S44" s="18"/>
      <c r="T44" s="18"/>
      <c r="U44" s="18"/>
      <c r="V44" s="18"/>
      <c r="W44" s="19"/>
      <c r="X44" s="18"/>
      <c r="Y44" s="19"/>
      <c r="Z44" s="18"/>
      <c r="AA44" s="11"/>
      <c r="AB44" s="14"/>
      <c r="AC44" s="14"/>
      <c r="AD44" s="11"/>
    </row>
    <row r="45" spans="1:30" ht="55.5" customHeight="1" x14ac:dyDescent="0.25">
      <c r="A45" s="20"/>
      <c r="B45" s="18">
        <v>2025</v>
      </c>
      <c r="C45" s="18" t="s">
        <v>69</v>
      </c>
      <c r="D45" s="18" t="s">
        <v>193</v>
      </c>
      <c r="E45" s="18" t="s">
        <v>199</v>
      </c>
      <c r="F45" s="18" t="s">
        <v>200</v>
      </c>
      <c r="G45" s="29"/>
      <c r="H45" s="19"/>
      <c r="I45" s="18"/>
      <c r="J45" s="19"/>
      <c r="K45" s="18"/>
      <c r="L45" s="11"/>
      <c r="M45" s="14"/>
      <c r="N45" s="13"/>
      <c r="O45" s="11"/>
      <c r="P45" s="18"/>
      <c r="Q45" s="18"/>
      <c r="R45" s="18"/>
      <c r="S45" s="18"/>
      <c r="T45" s="18"/>
      <c r="U45" s="18"/>
      <c r="V45" s="18"/>
      <c r="W45" s="19"/>
      <c r="X45" s="18"/>
      <c r="Y45" s="19"/>
      <c r="Z45" s="18"/>
      <c r="AA45" s="11"/>
      <c r="AB45" s="14"/>
      <c r="AC45" s="14"/>
      <c r="AD45" s="11"/>
    </row>
    <row r="46" spans="1:30" ht="55.5" customHeight="1" x14ac:dyDescent="0.25">
      <c r="A46" s="20"/>
      <c r="B46" s="18">
        <v>2025</v>
      </c>
      <c r="C46" s="18" t="s">
        <v>69</v>
      </c>
      <c r="D46" s="18" t="s">
        <v>160</v>
      </c>
      <c r="E46" s="18" t="s">
        <v>201</v>
      </c>
      <c r="F46" s="18" t="s">
        <v>202</v>
      </c>
      <c r="G46" s="29"/>
      <c r="H46" s="19"/>
      <c r="I46" s="18"/>
      <c r="J46" s="19"/>
      <c r="K46" s="18"/>
      <c r="L46" s="11"/>
      <c r="M46" s="14"/>
      <c r="N46" s="13"/>
      <c r="O46" s="11"/>
      <c r="P46" s="18"/>
      <c r="Q46" s="18"/>
      <c r="R46" s="18"/>
      <c r="S46" s="18"/>
      <c r="T46" s="18"/>
      <c r="U46" s="18"/>
      <c r="V46" s="18"/>
      <c r="W46" s="19"/>
      <c r="X46" s="18"/>
      <c r="Y46" s="19"/>
      <c r="Z46" s="18"/>
      <c r="AA46" s="11"/>
      <c r="AB46" s="14"/>
      <c r="AC46" s="14"/>
      <c r="AD46" s="11"/>
    </row>
    <row r="47" spans="1:30" ht="55.5" customHeight="1" x14ac:dyDescent="0.25">
      <c r="A47" s="20"/>
      <c r="B47" s="18">
        <v>2025</v>
      </c>
      <c r="C47" s="18" t="s">
        <v>69</v>
      </c>
      <c r="D47" s="18" t="s">
        <v>175</v>
      </c>
      <c r="E47" s="18" t="s">
        <v>203</v>
      </c>
      <c r="F47" s="18" t="s">
        <v>204</v>
      </c>
      <c r="G47" s="18" t="s">
        <v>205</v>
      </c>
      <c r="H47" s="19">
        <v>45945</v>
      </c>
      <c r="I47" s="18">
        <v>3</v>
      </c>
      <c r="J47" s="19">
        <f>WORKDAY.INTL(H47,I47,1,'Año 2026'!A47:A61)</f>
        <v>45950</v>
      </c>
      <c r="K47" s="18">
        <f t="shared" ref="K47" ca="1" si="19">J47-TODAY()</f>
        <v>-242</v>
      </c>
      <c r="L47" s="11" t="str">
        <f t="array" aca="1" ref="L47" ca="1">_xlfn.IFS(N47="AJUSTES AL PLAZO","NUEVA FECHA",N47="ENTREGADO","CONCLUIDO",TRUE,_xlfn.IFS(J47&lt;TODAY(),"🚨 VENCIDO",J47-TODAY()&lt;=2,"⚠️POR VENCER",TRUE,"EN PLAZO"))</f>
        <v>CONCLUIDO</v>
      </c>
      <c r="M47" s="14" t="str">
        <f t="array" aca="1" ref="M47" ca="1">_xlfn.IFS(N47="AJUSTES AL PLAZO","NUEVA FECHA",N47="ENTREGADO","CONCLUIDO",TRUE,IF(J47&lt;TODAY(),"❌ Vencido por "&amp;TODAY()-J47&amp;" días",IF(J47-TODAY()&lt;=2,"⏳ Faltan solo "&amp;J47-TODAY()&amp;" días","✅ En orden")))</f>
        <v>CONCLUIDO</v>
      </c>
      <c r="N47" s="13" t="s">
        <v>34</v>
      </c>
      <c r="O47" s="11"/>
      <c r="P47" s="18" t="s">
        <v>40</v>
      </c>
      <c r="Q47" s="18"/>
      <c r="R47" s="18"/>
      <c r="S47" s="18"/>
      <c r="T47" s="18"/>
      <c r="U47" s="18"/>
      <c r="V47" s="18"/>
      <c r="W47" s="19"/>
      <c r="X47" s="18">
        <v>6</v>
      </c>
      <c r="Y47" s="19" t="e">
        <f>WORKDAY.INTL(W47,X47,1,#REF!)</f>
        <v>#REF!</v>
      </c>
      <c r="Z47" s="18" t="e">
        <f t="shared" ref="Z47:Z48" ca="1" si="20">Y47-TODAY()</f>
        <v>#REF!</v>
      </c>
      <c r="AA47" s="11" t="e" cm="1">
        <f t="array" aca="1" ref="AA47" ca="1">_xlfn.IFS(AD47="AJUSTES AL PLAZO","NUEVA FECHA",AD47="ENTREGADO","CONCLUIDO",TRUE,_xlfn.IFS(Y47&lt;TODAY(),"🚨 VENCIDO",Y47-TODAY()&lt;=2,"⚠️POR VENCER",TRUE,"EN PLAZO"))</f>
        <v>#REF!</v>
      </c>
      <c r="AB47" s="14" t="e">
        <f t="array" aca="1" ref="AB47" ca="1">_xlfn.IFS(AD47="AJUSTES AL PLAZO","NUEVA FECHA",AD47="ENTREGADO","CONCLUIDO",TRUE,IF(Y47&lt;TODAY(),"❌ Vencido por "&amp;TODAY()-Y47&amp;" días",IF(Y47-TODAY()&lt;=2,"⏳ Faltan solo "&amp;Y47-TODAY()&amp;" días","✅ En orden")))</f>
        <v>#REF!</v>
      </c>
      <c r="AC47" s="14" t="s">
        <v>34</v>
      </c>
      <c r="AD47" s="11"/>
    </row>
    <row r="48" spans="1:30" ht="55.5" customHeight="1" x14ac:dyDescent="0.25">
      <c r="A48" s="20"/>
      <c r="B48" s="18">
        <v>2025</v>
      </c>
      <c r="C48" s="18" t="s">
        <v>69</v>
      </c>
      <c r="D48" s="18" t="s">
        <v>206</v>
      </c>
      <c r="E48" s="18" t="s">
        <v>207</v>
      </c>
      <c r="F48" s="18" t="s">
        <v>208</v>
      </c>
      <c r="G48" s="18" t="s">
        <v>209</v>
      </c>
      <c r="H48" s="19">
        <v>46179</v>
      </c>
      <c r="I48" s="18">
        <v>2</v>
      </c>
      <c r="J48" s="19">
        <f>WORKDAY.INTL(H48,I48,1,'Año 2026'!A48:A62)</f>
        <v>46182</v>
      </c>
      <c r="K48" s="18">
        <f t="shared" ref="K48" ca="1" si="21">J48-TODAY()</f>
        <v>-10</v>
      </c>
      <c r="L48" s="11" t="str">
        <f t="array" aca="1" ref="L48" ca="1">_xlfn.IFS(N48="AJUSTES AL PLAZO","NUEVA FECHA",N48="ENTREGADO","CONCLUIDO",TRUE,_xlfn.IFS(J48&lt;TODAY(),"🚨 VENCIDO",J48-TODAY()&lt;=2,"⚠️POR VENCER",TRUE,"EN PLAZO"))</f>
        <v>CONCLUIDO</v>
      </c>
      <c r="M48" s="14" t="str">
        <f t="array" aca="1" ref="M48" ca="1">_xlfn.IFS(N48="AJUSTES AL PLAZO","NUEVA FECHA",N48="ENTREGADO","CONCLUIDO",TRUE,IF(J48&lt;TODAY(),"❌ Vencido por "&amp;TODAY()-J48&amp;" días",IF(J48-TODAY()&lt;=2,"⏳ Faltan solo "&amp;J48-TODAY()&amp;" días","✅ En orden")))</f>
        <v>CONCLUIDO</v>
      </c>
      <c r="N48" s="13" t="s">
        <v>34</v>
      </c>
      <c r="O48" s="11"/>
      <c r="P48" s="18" t="s">
        <v>32</v>
      </c>
      <c r="Q48" s="18"/>
      <c r="R48" s="18"/>
      <c r="S48" s="18"/>
      <c r="T48" s="18"/>
      <c r="U48" s="18"/>
      <c r="V48" s="18" t="s">
        <v>210</v>
      </c>
      <c r="W48" s="19">
        <v>46148</v>
      </c>
      <c r="X48" s="18">
        <v>3</v>
      </c>
      <c r="Y48" s="19" t="e">
        <f>WORKDAY.INTL(W48,X48,1,#REF!)</f>
        <v>#REF!</v>
      </c>
      <c r="Z48" s="18" t="e">
        <f t="shared" ca="1" si="20"/>
        <v>#REF!</v>
      </c>
      <c r="AA48" s="11" t="e" cm="1">
        <f t="array" aca="1" ref="AA48" ca="1">_xlfn.IFS(AD48="AJUSTES AL PLAZO","NUEVA FECHA",AD48="ENTREGADO","CONCLUIDO",TRUE,_xlfn.IFS(Y48&lt;TODAY(),"🚨 VENCIDO",Y48-TODAY()&lt;=2,"⚠️POR VENCER",TRUE,"EN PLAZO"))</f>
        <v>#REF!</v>
      </c>
      <c r="AB48" s="14" t="e">
        <f t="array" aca="1" ref="AB48" ca="1">_xlfn.IFS(AD48="AJUSTES AL PLAZO","NUEVA FECHA",AD48="ENTREGADO","CONCLUIDO",TRUE,IF(Y48&lt;TODAY(),"❌ Vencido por "&amp;TODAY()-Y48&amp;" días",IF(Y48-TODAY()&lt;=2,"⏳ Faltan solo "&amp;Y48-TODAY()&amp;" días","✅ En orden")))</f>
        <v>#REF!</v>
      </c>
      <c r="AC48" s="14"/>
      <c r="AD48" s="11"/>
    </row>
    <row r="49" spans="1:30" ht="55.5" customHeight="1" x14ac:dyDescent="0.25">
      <c r="A49" s="20"/>
      <c r="B49" s="18">
        <v>2025</v>
      </c>
      <c r="C49" s="18" t="s">
        <v>69</v>
      </c>
      <c r="D49" s="18" t="s">
        <v>155</v>
      </c>
      <c r="E49" s="18" t="s">
        <v>165</v>
      </c>
      <c r="F49" s="18" t="s">
        <v>211</v>
      </c>
      <c r="G49" s="29"/>
      <c r="H49" s="19"/>
      <c r="I49" s="18"/>
      <c r="J49" s="19"/>
      <c r="K49" s="18"/>
      <c r="L49" s="11"/>
      <c r="M49" s="14"/>
      <c r="N49" s="13"/>
      <c r="O49" s="11"/>
      <c r="P49" s="18"/>
      <c r="Q49" s="18"/>
      <c r="R49" s="18"/>
      <c r="S49" s="18"/>
      <c r="T49" s="18"/>
      <c r="U49" s="18"/>
      <c r="V49" s="18"/>
      <c r="W49" s="19"/>
      <c r="X49" s="18"/>
      <c r="Y49" s="19"/>
      <c r="Z49" s="18"/>
      <c r="AA49" s="11"/>
      <c r="AB49" s="14"/>
      <c r="AC49" s="14"/>
      <c r="AD49" s="11"/>
    </row>
    <row r="50" spans="1:30" ht="55.5" customHeight="1" x14ac:dyDescent="0.25">
      <c r="A50" s="20"/>
      <c r="B50" s="18">
        <v>2025</v>
      </c>
      <c r="C50" s="18" t="s">
        <v>69</v>
      </c>
      <c r="D50" s="18" t="s">
        <v>190</v>
      </c>
      <c r="E50" s="18" t="s">
        <v>212</v>
      </c>
      <c r="F50" s="18" t="s">
        <v>213</v>
      </c>
      <c r="G50" s="29"/>
      <c r="H50" s="19"/>
      <c r="I50" s="18"/>
      <c r="J50" s="19"/>
      <c r="K50" s="18"/>
      <c r="L50" s="11"/>
      <c r="M50" s="14"/>
      <c r="N50" s="13"/>
      <c r="O50" s="11"/>
      <c r="P50" s="18"/>
      <c r="Q50" s="18"/>
      <c r="R50" s="18"/>
      <c r="S50" s="18"/>
      <c r="T50" s="18"/>
      <c r="U50" s="18"/>
      <c r="V50" s="18"/>
      <c r="W50" s="19"/>
      <c r="X50" s="18"/>
      <c r="Y50" s="19"/>
      <c r="Z50" s="18"/>
      <c r="AA50" s="11"/>
      <c r="AB50" s="14"/>
      <c r="AC50" s="14"/>
      <c r="AD50" s="11"/>
    </row>
    <row r="51" spans="1:30" ht="55.5" customHeight="1" x14ac:dyDescent="0.25">
      <c r="A51" s="20"/>
      <c r="B51" s="18">
        <v>2025</v>
      </c>
      <c r="C51" s="18" t="s">
        <v>69</v>
      </c>
      <c r="D51" s="18" t="s">
        <v>206</v>
      </c>
      <c r="E51" s="18" t="s">
        <v>214</v>
      </c>
      <c r="F51" s="18" t="s">
        <v>215</v>
      </c>
      <c r="G51" s="27" t="s">
        <v>216</v>
      </c>
      <c r="H51" s="19">
        <v>46179</v>
      </c>
      <c r="I51" s="18">
        <v>2</v>
      </c>
      <c r="J51" s="19">
        <f>WORKDAY.INTL(H51,I51,1,'Año 2026'!A51:A65)</f>
        <v>46182</v>
      </c>
      <c r="K51" s="18">
        <f t="shared" ref="K51" ca="1" si="22">J51-TODAY()</f>
        <v>-10</v>
      </c>
      <c r="L51" s="11" t="str">
        <f t="array" aca="1" ref="L51" ca="1">_xlfn.IFS(N51="AJUSTES AL PLAZO","NUEVA FECHA",N51="ENTREGADO","CONCLUIDO",TRUE,_xlfn.IFS(J51&lt;TODAY(),"🚨 VENCIDO",J51-TODAY()&lt;=2,"⚠️POR VENCER",TRUE,"EN PLAZO"))</f>
        <v>NUEVA FECHA</v>
      </c>
      <c r="M51" s="14" t="str">
        <f t="array" aca="1" ref="M51" ca="1">_xlfn.IFS(N51="AJUSTES AL PLAZO","NUEVA FECHA",N51="ENTREGADO","CONCLUIDO",TRUE,IF(J51&lt;TODAY(),"❌ Vencido por "&amp;TODAY()-J51&amp;" días",IF(J51-TODAY()&lt;=2,"⏳ Faltan solo "&amp;J51-TODAY()&amp;" días","✅ En orden")))</f>
        <v>NUEVA FECHA</v>
      </c>
      <c r="N51" s="13" t="s">
        <v>30</v>
      </c>
      <c r="O51" s="11"/>
      <c r="P51" s="18" t="s">
        <v>46</v>
      </c>
      <c r="Q51" s="18"/>
      <c r="R51" s="18"/>
      <c r="S51" s="18"/>
      <c r="T51" s="18"/>
      <c r="U51" s="18"/>
      <c r="V51" s="18"/>
      <c r="W51" s="19"/>
      <c r="X51" s="18"/>
      <c r="Y51" s="19"/>
      <c r="Z51" s="18"/>
      <c r="AA51" s="11"/>
      <c r="AB51" s="14"/>
      <c r="AC51" s="14"/>
      <c r="AD51" s="11"/>
    </row>
    <row r="52" spans="1:30" ht="86.25" customHeight="1" x14ac:dyDescent="0.25">
      <c r="A52" s="20"/>
      <c r="B52" s="18">
        <v>2025</v>
      </c>
      <c r="C52" s="18" t="s">
        <v>69</v>
      </c>
      <c r="D52" s="18" t="s">
        <v>175</v>
      </c>
      <c r="E52" s="18" t="s">
        <v>217</v>
      </c>
      <c r="F52" s="18" t="s">
        <v>218</v>
      </c>
      <c r="G52" s="29"/>
      <c r="H52" s="19"/>
      <c r="I52" s="18"/>
      <c r="J52" s="19"/>
      <c r="K52" s="18"/>
      <c r="L52" s="11"/>
      <c r="M52" s="14"/>
      <c r="N52" s="13"/>
      <c r="O52" s="11"/>
      <c r="P52" s="18"/>
      <c r="Q52" s="18"/>
      <c r="R52" s="18"/>
      <c r="S52" s="18"/>
      <c r="T52" s="18"/>
      <c r="U52" s="18"/>
      <c r="V52" s="18"/>
      <c r="W52" s="19"/>
      <c r="X52" s="18"/>
      <c r="Y52" s="19"/>
      <c r="Z52" s="18"/>
      <c r="AA52" s="11"/>
      <c r="AB52" s="14"/>
      <c r="AC52" s="14"/>
      <c r="AD52" s="11"/>
    </row>
    <row r="53" spans="1:30" ht="77.25" customHeight="1" x14ac:dyDescent="0.25">
      <c r="A53" s="20"/>
      <c r="B53" s="18">
        <v>2025</v>
      </c>
      <c r="C53" s="18" t="s">
        <v>69</v>
      </c>
      <c r="D53" s="18" t="s">
        <v>219</v>
      </c>
      <c r="E53" s="18" t="s">
        <v>220</v>
      </c>
      <c r="F53" s="18" t="s">
        <v>221</v>
      </c>
      <c r="G53" s="29"/>
      <c r="H53" s="19"/>
      <c r="I53" s="18"/>
      <c r="J53" s="19"/>
      <c r="K53" s="18"/>
      <c r="L53" s="11"/>
      <c r="M53" s="14"/>
      <c r="N53" s="13"/>
      <c r="O53" s="11"/>
      <c r="P53" s="18"/>
      <c r="Q53" s="18"/>
      <c r="R53" s="18"/>
      <c r="S53" s="18"/>
      <c r="T53" s="18"/>
      <c r="U53" s="18"/>
      <c r="V53" s="18"/>
      <c r="W53" s="19"/>
      <c r="X53" s="18"/>
      <c r="Y53" s="19"/>
      <c r="Z53" s="18"/>
      <c r="AA53" s="11"/>
      <c r="AB53" s="14"/>
      <c r="AC53" s="14"/>
      <c r="AD53" s="11"/>
    </row>
    <row r="54" spans="1:30" ht="55.5" customHeight="1" x14ac:dyDescent="0.25">
      <c r="A54" s="20"/>
      <c r="B54" s="18">
        <v>2025</v>
      </c>
      <c r="C54" s="18" t="s">
        <v>69</v>
      </c>
      <c r="D54" s="18" t="s">
        <v>222</v>
      </c>
      <c r="E54" s="18" t="s">
        <v>223</v>
      </c>
      <c r="F54" s="18" t="s">
        <v>224</v>
      </c>
      <c r="G54" s="18" t="s">
        <v>225</v>
      </c>
      <c r="H54" s="19">
        <v>46101</v>
      </c>
      <c r="I54" s="18">
        <v>5</v>
      </c>
      <c r="J54" s="19">
        <f>WORKDAY.INTL(H54,I54,1,'Año 2026'!A54:A68)</f>
        <v>46108</v>
      </c>
      <c r="K54" s="18">
        <f t="shared" ref="K54:K55" ca="1" si="23">J54-TODAY()</f>
        <v>-84</v>
      </c>
      <c r="L54" s="11" t="str">
        <f t="array" aca="1" ref="L54" ca="1">_xlfn.IFS(N54="AJUSTES AL PLAZO","NUEVA FECHA",N54="ENTREGADO","CONCLUIDO",TRUE,_xlfn.IFS(J54&lt;TODAY(),"🚨 VENCIDO",J54-TODAY()&lt;=2,"⚠️POR VENCER",TRUE,"EN PLAZO"))</f>
        <v>NUEVA FECHA</v>
      </c>
      <c r="M54" s="14" t="str">
        <f t="array" aca="1" ref="M54" ca="1">_xlfn.IFS(N54="AJUSTES AL PLAZO","NUEVA FECHA",N54="ENTREGADO","CONCLUIDO",TRUE,IF(J54&lt;TODAY(),"❌ Vencido por "&amp;TODAY()-J54&amp;" días",IF(J54-TODAY()&lt;=2,"⏳ Faltan solo "&amp;J54-TODAY()&amp;" días","✅ En orden")))</f>
        <v>NUEVA FECHA</v>
      </c>
      <c r="N54" s="13" t="s">
        <v>30</v>
      </c>
      <c r="O54" s="12" t="s">
        <v>226</v>
      </c>
      <c r="P54" s="18"/>
      <c r="Q54" s="18"/>
      <c r="R54" s="18"/>
      <c r="S54" s="18"/>
      <c r="T54" s="18"/>
      <c r="U54" s="18"/>
      <c r="V54" s="18"/>
      <c r="W54" s="19"/>
      <c r="X54" s="18"/>
      <c r="Y54" s="19"/>
      <c r="Z54" s="18"/>
      <c r="AA54" s="11"/>
      <c r="AB54" s="14"/>
      <c r="AC54" s="14"/>
      <c r="AD54" s="11"/>
    </row>
    <row r="55" spans="1:30" ht="55.5" customHeight="1" x14ac:dyDescent="0.25">
      <c r="A55" s="20"/>
      <c r="B55" s="18">
        <v>2025</v>
      </c>
      <c r="C55" s="18" t="s">
        <v>69</v>
      </c>
      <c r="D55" s="18" t="s">
        <v>227</v>
      </c>
      <c r="E55" s="18" t="s">
        <v>228</v>
      </c>
      <c r="F55" s="18" t="s">
        <v>229</v>
      </c>
      <c r="G55" s="18" t="s">
        <v>230</v>
      </c>
      <c r="H55" s="19">
        <v>46155</v>
      </c>
      <c r="I55" s="18">
        <v>10</v>
      </c>
      <c r="J55" s="19">
        <f>WORKDAY.INTL(H55,I55,1,'Año 2026'!A55:A69)</f>
        <v>46169</v>
      </c>
      <c r="K55" s="18">
        <f t="shared" ca="1" si="23"/>
        <v>-23</v>
      </c>
      <c r="L55" s="11" t="str" cm="1">
        <f t="array" aca="1" ref="L55" ca="1">_xlfn.IFS(N55="AJUSTES AL PLAZO","NUEVA FECHA",N55="ENTREGADO","CONCLUIDO",TRUE,_xlfn.IFS(J55&lt;TODAY(),"🚨 VENCIDO",J55-TODAY()&lt;=2,"⚠️POR VENCER",TRUE,"EN PLAZO"))</f>
        <v>🚨 VENCIDO</v>
      </c>
      <c r="M55" s="14" t="str" cm="1">
        <f t="array" aca="1" ref="M55" ca="1">_xlfn.IFS(N55="AJUSTES AL PLAZO","NUEVA FECHA",N55="ENTREGADO","CONCLUIDO",TRUE,IF(J55&lt;TODAY(),"❌ Vencido por "&amp;TODAY()-J55&amp;" días",IF(J55-TODAY()&lt;=2,"⏳ Faltan solo "&amp;J55-TODAY()&amp;" días","✅ En orden")))</f>
        <v>❌ Vencido por 23 días</v>
      </c>
      <c r="N55" s="13"/>
      <c r="O55" s="11"/>
      <c r="P55" s="18"/>
      <c r="Q55" s="18"/>
      <c r="R55" s="18"/>
      <c r="S55" s="18"/>
      <c r="T55" s="18"/>
      <c r="U55" s="18"/>
      <c r="V55" s="18"/>
      <c r="W55" s="19"/>
      <c r="X55" s="18"/>
      <c r="Y55" s="19"/>
      <c r="Z55" s="18"/>
      <c r="AA55" s="11"/>
      <c r="AB55" s="14"/>
      <c r="AC55" s="14"/>
      <c r="AD55" s="11"/>
    </row>
    <row r="56" spans="1:30" ht="55.5" customHeight="1" x14ac:dyDescent="0.25">
      <c r="A56" s="20"/>
      <c r="B56" s="18">
        <v>2025</v>
      </c>
      <c r="C56" s="18" t="s">
        <v>69</v>
      </c>
      <c r="D56" s="18" t="s">
        <v>166</v>
      </c>
      <c r="E56" s="18" t="s">
        <v>231</v>
      </c>
      <c r="F56" s="18" t="s">
        <v>232</v>
      </c>
      <c r="G56" s="18" t="s">
        <v>233</v>
      </c>
      <c r="H56" s="19">
        <v>46057</v>
      </c>
      <c r="I56" s="18">
        <v>2</v>
      </c>
      <c r="J56" s="19">
        <f>WORKDAY.INTL(H56,I56,1,'Año 2026'!A56:A70)</f>
        <v>46059</v>
      </c>
      <c r="K56" s="18">
        <f t="shared" ref="K56" ca="1" si="24">J56-TODAY()</f>
        <v>-133</v>
      </c>
      <c r="L56" s="11" t="str" cm="1">
        <f t="array" aca="1" ref="L56" ca="1">_xlfn.IFS(N56="AJUSTES AL PLAZO","NUEVA FECHA",N56="ENTREGADO","CONCLUIDO",TRUE,_xlfn.IFS(J56&lt;TODAY(),"🚨 VENCIDO",J56-TODAY()&lt;=2,"⚠️POR VENCER",TRUE,"EN PLAZO"))</f>
        <v>🚨 VENCIDO</v>
      </c>
      <c r="M56" s="14" t="str" cm="1">
        <f t="array" aca="1" ref="M56" ca="1">_xlfn.IFS(N56="AJUSTES AL PLAZO","NUEVA FECHA",N56="ENTREGADO","CONCLUIDO",TRUE,IF(J56&lt;TODAY(),"❌ Vencido por "&amp;TODAY()-J56&amp;" días",IF(J56-TODAY()&lt;=2,"⏳ Faltan solo "&amp;J56-TODAY()&amp;" días","✅ En orden")))</f>
        <v>❌ Vencido por 133 días</v>
      </c>
      <c r="N56" s="13"/>
      <c r="O56" s="11" t="s">
        <v>234</v>
      </c>
      <c r="P56" s="18"/>
      <c r="Q56" s="18"/>
      <c r="R56" s="18"/>
      <c r="S56" s="18"/>
      <c r="T56" s="18"/>
      <c r="U56" s="18"/>
      <c r="V56" s="18"/>
      <c r="W56" s="19"/>
      <c r="X56" s="18"/>
      <c r="Y56" s="19"/>
      <c r="Z56" s="18"/>
      <c r="AA56" s="11"/>
      <c r="AB56" s="14"/>
      <c r="AC56" s="14"/>
      <c r="AD56" s="11"/>
    </row>
    <row r="57" spans="1:30" ht="55.5" customHeight="1" x14ac:dyDescent="0.25">
      <c r="A57" s="20"/>
      <c r="B57" s="18">
        <v>2025</v>
      </c>
      <c r="C57" s="18" t="s">
        <v>69</v>
      </c>
      <c r="D57" s="18" t="s">
        <v>235</v>
      </c>
      <c r="E57" s="18" t="s">
        <v>236</v>
      </c>
      <c r="F57" s="18" t="s">
        <v>237</v>
      </c>
      <c r="G57" s="18" t="s">
        <v>238</v>
      </c>
      <c r="H57" s="19">
        <v>46135</v>
      </c>
      <c r="I57" s="18">
        <v>5</v>
      </c>
      <c r="J57" s="19">
        <f>WORKDAY.INTL(H57,I57,1,'Año 2026'!A57:A71)</f>
        <v>46142</v>
      </c>
      <c r="K57" s="18">
        <f t="shared" ref="K57:K58" ca="1" si="25">J57-TODAY()</f>
        <v>-50</v>
      </c>
      <c r="L57" s="11" t="str" cm="1">
        <f t="array" aca="1" ref="L57" ca="1">_xlfn.IFS(N57="AJUSTES AL PLAZO","NUEVA FECHA",N57="ENTREGADO","CONCLUIDO",TRUE,_xlfn.IFS(J57&lt;TODAY(),"🚨 VENCIDO",J57-TODAY()&lt;=2,"⚠️POR VENCER",TRUE,"EN PLAZO"))</f>
        <v>🚨 VENCIDO</v>
      </c>
      <c r="M57" s="14" t="str" cm="1">
        <f t="array" aca="1" ref="M57" ca="1">_xlfn.IFS(N57="AJUSTES AL PLAZO","NUEVA FECHA",N57="ENTREGADO","CONCLUIDO",TRUE,IF(J57&lt;TODAY(),"❌ Vencido por "&amp;TODAY()-J57&amp;" días",IF(J57-TODAY()&lt;=2,"⏳ Faltan solo "&amp;J57-TODAY()&amp;" días","✅ En orden")))</f>
        <v>❌ Vencido por 50 días</v>
      </c>
      <c r="N57" s="13"/>
      <c r="O57" s="11"/>
      <c r="P57" s="18"/>
      <c r="Q57" s="18"/>
      <c r="R57" s="18"/>
      <c r="S57" s="18"/>
      <c r="T57" s="18"/>
      <c r="U57" s="18"/>
      <c r="V57" s="18"/>
      <c r="W57" s="19"/>
      <c r="X57" s="18"/>
      <c r="Y57" s="19"/>
      <c r="Z57" s="18"/>
      <c r="AA57" s="11"/>
      <c r="AB57" s="14"/>
      <c r="AC57" s="14"/>
      <c r="AD57" s="11"/>
    </row>
    <row r="58" spans="1:30" ht="38.450000000000003" customHeight="1" x14ac:dyDescent="0.25">
      <c r="A58" s="17"/>
      <c r="B58" s="18">
        <v>2026</v>
      </c>
      <c r="C58" s="18" t="s">
        <v>137</v>
      </c>
      <c r="D58" s="18" t="s">
        <v>239</v>
      </c>
      <c r="E58" s="18" t="s">
        <v>240</v>
      </c>
      <c r="F58" s="25" t="s">
        <v>241</v>
      </c>
      <c r="G58" s="18" t="s">
        <v>242</v>
      </c>
      <c r="H58" s="19">
        <v>46164</v>
      </c>
      <c r="I58" s="18">
        <v>2</v>
      </c>
      <c r="J58" s="19">
        <f>WORKDAY.INTL(H58,I58,1,'Año 2026'!A58:A72)</f>
        <v>46168</v>
      </c>
      <c r="K58" s="18">
        <f t="shared" ca="1" si="25"/>
        <v>-24</v>
      </c>
      <c r="L58" s="11" t="str" cm="1">
        <f t="array" aca="1" ref="L58" ca="1">_xlfn.IFS(N58="AJUSTES AL PLAZO","NUEVA FECHA",N58="ENTREGADO","CONCLUIDO",TRUE,_xlfn.IFS(J58&lt;TODAY(),"🚨 VENCIDO",J58-TODAY()&lt;=2,"⚠️POR VENCER",TRUE,"EN PLAZO"))</f>
        <v>🚨 VENCIDO</v>
      </c>
      <c r="M58" s="14" t="str" cm="1">
        <f t="array" aca="1" ref="M58" ca="1">_xlfn.IFS(N58="AJUSTES AL PLAZO","NUEVA FECHA",N58="ENTREGADO","CONCLUIDO",TRUE,IF(J58&lt;TODAY(),"❌ Vencido por "&amp;TODAY()-J58&amp;" días",IF(J58-TODAY()&lt;=2,"⏳ Faltan solo "&amp;J58-TODAY()&amp;" días","✅ En orden")))</f>
        <v>❌ Vencido por 24 días</v>
      </c>
      <c r="N58" s="13"/>
      <c r="O58" s="23"/>
      <c r="P58" s="18" t="s">
        <v>46</v>
      </c>
      <c r="Q58" s="23"/>
      <c r="R58" s="23"/>
      <c r="S58" s="23"/>
      <c r="T58" s="23"/>
      <c r="U58" s="23"/>
      <c r="V58" s="18" t="s">
        <v>243</v>
      </c>
      <c r="W58" s="24">
        <v>46185</v>
      </c>
      <c r="X58" s="18">
        <v>10</v>
      </c>
      <c r="Y58" s="19" t="e">
        <f>WORKDAY.INTL(W58,X58,1,#REF!)</f>
        <v>#REF!</v>
      </c>
      <c r="Z58" s="18" t="e">
        <f ca="1">Y58-TODAY()</f>
        <v>#REF!</v>
      </c>
      <c r="AA58" s="11" t="e" cm="1">
        <f t="array" aca="1" ref="AA58" ca="1">_xlfn.IFS(AD58="AJUSTES AL PLAZO","NUEVA FECHA",AD58="ENTREGADO","CONCLUIDO",TRUE,_xlfn.IFS(Y58&lt;TODAY(),"🚨 VENCIDO",Y58-TODAY()&lt;=2,"⚠️POR VENCER",TRUE,"EN PLAZO"))</f>
        <v>#REF!</v>
      </c>
      <c r="AB58" s="14" t="e">
        <f t="array" aca="1" ref="AB58" ca="1">_xlfn.IFS(AD58="AJUSTES AL PLAZO","NUEVA FECHA",AD58="ENTREGADO","CONCLUIDO",TRUE,IF(Y58&lt;TODAY(),"❌ Vencido por "&amp;TODAY()-Y58&amp;" días",IF(Y58-TODAY()&lt;=2,"⏳ Faltan solo "&amp;Y58-TODAY()&amp;" días","✅ En orden")))</f>
        <v>#REF!</v>
      </c>
      <c r="AC58" s="14"/>
      <c r="AD58" s="23"/>
    </row>
    <row r="59" spans="1:30" ht="30" x14ac:dyDescent="0.25">
      <c r="B59" s="23">
        <v>2026</v>
      </c>
      <c r="C59" s="23" t="s">
        <v>69</v>
      </c>
      <c r="D59" s="18" t="s">
        <v>244</v>
      </c>
      <c r="E59" s="18" t="s">
        <v>245</v>
      </c>
      <c r="F59" s="23" t="s">
        <v>246</v>
      </c>
      <c r="G59" s="30"/>
      <c r="H59" s="23"/>
      <c r="I59" s="23"/>
      <c r="J59" s="23"/>
      <c r="K59" s="23"/>
      <c r="L59" s="23"/>
      <c r="M59" s="23"/>
      <c r="N59" s="23"/>
      <c r="O59" s="23"/>
      <c r="P59" s="23"/>
      <c r="Q59" s="23"/>
      <c r="R59" s="23"/>
      <c r="S59" s="23"/>
      <c r="T59" s="23"/>
      <c r="U59" s="23"/>
      <c r="V59" s="23"/>
      <c r="W59" s="23"/>
      <c r="X59" s="23"/>
      <c r="Y59" s="23"/>
      <c r="Z59" s="23"/>
      <c r="AA59" s="23"/>
      <c r="AB59" s="23"/>
      <c r="AC59" s="23"/>
      <c r="AD59" s="23"/>
    </row>
    <row r="60" spans="1:30" ht="30" x14ac:dyDescent="0.25">
      <c r="B60" s="23">
        <v>2026</v>
      </c>
      <c r="C60" s="23" t="s">
        <v>69</v>
      </c>
      <c r="D60" s="23" t="s">
        <v>125</v>
      </c>
      <c r="E60" s="18" t="s">
        <v>247</v>
      </c>
      <c r="F60" s="23" t="s">
        <v>248</v>
      </c>
      <c r="G60" s="30"/>
      <c r="H60" s="23"/>
      <c r="I60" s="23"/>
      <c r="J60" s="23"/>
      <c r="K60" s="23"/>
      <c r="L60" s="23"/>
      <c r="M60" s="23"/>
      <c r="N60" s="23"/>
      <c r="O60" s="23"/>
      <c r="P60" s="23"/>
      <c r="Q60" s="23"/>
      <c r="R60" s="23"/>
      <c r="S60" s="23"/>
      <c r="T60" s="23"/>
      <c r="U60" s="23"/>
      <c r="V60" s="23"/>
      <c r="W60" s="23"/>
      <c r="X60" s="23"/>
      <c r="Y60" s="23"/>
      <c r="Z60" s="23"/>
      <c r="AA60" s="23"/>
      <c r="AB60" s="23"/>
      <c r="AC60" s="23"/>
      <c r="AD60" s="23"/>
    </row>
    <row r="61" spans="1:30" ht="30" x14ac:dyDescent="0.25">
      <c r="B61" s="28">
        <v>2024</v>
      </c>
      <c r="C61" s="28" t="s">
        <v>69</v>
      </c>
      <c r="D61" s="28" t="s">
        <v>249</v>
      </c>
      <c r="E61" s="28" t="s">
        <v>250</v>
      </c>
      <c r="F61" s="28" t="s">
        <v>251</v>
      </c>
      <c r="G61" s="28" t="s">
        <v>252</v>
      </c>
      <c r="H61" s="18"/>
      <c r="I61" s="23"/>
      <c r="J61" s="23"/>
      <c r="K61" s="23"/>
      <c r="L61" s="23"/>
      <c r="M61" s="23"/>
      <c r="N61" s="23"/>
      <c r="O61" s="23"/>
      <c r="P61" s="23"/>
      <c r="Q61" s="23"/>
      <c r="R61" s="23"/>
      <c r="S61" s="23"/>
      <c r="T61" s="23"/>
      <c r="U61" s="23"/>
      <c r="V61" s="23"/>
      <c r="W61" s="23"/>
      <c r="X61" s="23"/>
      <c r="Y61" s="23"/>
      <c r="Z61" s="23"/>
      <c r="AA61" s="23"/>
      <c r="AB61" s="23"/>
      <c r="AC61" s="23"/>
      <c r="AD61" s="23"/>
    </row>
    <row r="62" spans="1:30" ht="30" x14ac:dyDescent="0.25">
      <c r="B62" s="28">
        <v>2024</v>
      </c>
      <c r="C62" s="28" t="s">
        <v>69</v>
      </c>
      <c r="D62" s="28" t="s">
        <v>253</v>
      </c>
      <c r="E62" s="28" t="s">
        <v>254</v>
      </c>
      <c r="F62" s="28" t="s">
        <v>255</v>
      </c>
      <c r="G62" s="28" t="s">
        <v>256</v>
      </c>
      <c r="H62" s="18"/>
      <c r="I62" s="23"/>
      <c r="J62" s="23"/>
      <c r="K62" s="23"/>
      <c r="L62" s="23"/>
      <c r="M62" s="23"/>
      <c r="N62" s="23"/>
      <c r="O62" s="23"/>
      <c r="P62" s="23"/>
      <c r="Q62" s="23"/>
      <c r="R62" s="23"/>
      <c r="S62" s="23"/>
      <c r="T62" s="23"/>
      <c r="U62" s="23"/>
      <c r="V62" s="23"/>
      <c r="W62" s="23"/>
      <c r="X62" s="23"/>
      <c r="Y62" s="23"/>
      <c r="Z62" s="23"/>
      <c r="AA62" s="23"/>
      <c r="AB62" s="23"/>
      <c r="AC62" s="23"/>
      <c r="AD62" s="23"/>
    </row>
    <row r="63" spans="1:30" ht="30" x14ac:dyDescent="0.25">
      <c r="B63" s="28">
        <v>2024</v>
      </c>
      <c r="C63" s="28" t="s">
        <v>69</v>
      </c>
      <c r="D63" s="28" t="s">
        <v>257</v>
      </c>
      <c r="E63" s="28" t="s">
        <v>258</v>
      </c>
      <c r="F63" s="28" t="s">
        <v>259</v>
      </c>
      <c r="G63" s="28" t="s">
        <v>260</v>
      </c>
      <c r="H63" s="18"/>
      <c r="I63" s="23"/>
      <c r="J63" s="23"/>
      <c r="K63" s="23"/>
      <c r="L63" s="23"/>
      <c r="M63" s="23"/>
      <c r="N63" s="23"/>
      <c r="O63" s="23"/>
      <c r="P63" s="23"/>
      <c r="Q63" s="23"/>
      <c r="R63" s="23"/>
      <c r="S63" s="23"/>
      <c r="T63" s="23"/>
      <c r="U63" s="23"/>
      <c r="V63" s="23"/>
      <c r="W63" s="23"/>
      <c r="X63" s="23"/>
      <c r="Y63" s="23"/>
      <c r="Z63" s="23"/>
      <c r="AA63" s="23"/>
      <c r="AB63" s="23"/>
      <c r="AC63" s="23"/>
      <c r="AD63" s="23"/>
    </row>
    <row r="64" spans="1:30" ht="30" x14ac:dyDescent="0.25">
      <c r="B64" s="28">
        <v>2024</v>
      </c>
      <c r="C64" s="28" t="s">
        <v>69</v>
      </c>
      <c r="D64" s="28" t="s">
        <v>222</v>
      </c>
      <c r="E64" s="28" t="s">
        <v>261</v>
      </c>
      <c r="F64" s="28" t="s">
        <v>262</v>
      </c>
      <c r="G64" s="28" t="s">
        <v>263</v>
      </c>
      <c r="H64" s="18"/>
      <c r="I64" s="23"/>
      <c r="J64" s="23"/>
      <c r="K64" s="23"/>
      <c r="L64" s="23"/>
      <c r="M64" s="23"/>
      <c r="N64" s="23"/>
      <c r="O64" s="23"/>
      <c r="P64" s="23"/>
      <c r="Q64" s="23"/>
      <c r="R64" s="23"/>
      <c r="S64" s="23"/>
      <c r="T64" s="23"/>
      <c r="U64" s="23"/>
      <c r="V64" s="23"/>
      <c r="W64" s="23"/>
      <c r="X64" s="23"/>
      <c r="Y64" s="23"/>
      <c r="Z64" s="23"/>
      <c r="AA64" s="23"/>
      <c r="AB64" s="23"/>
      <c r="AC64" s="23"/>
      <c r="AD64" s="23"/>
    </row>
    <row r="65" spans="2:30" x14ac:dyDescent="0.25">
      <c r="B65" s="18"/>
      <c r="C65" s="18" t="s">
        <v>69</v>
      </c>
      <c r="D65" s="18"/>
      <c r="E65" s="18"/>
      <c r="F65" s="18"/>
      <c r="G65" s="18"/>
      <c r="H65" s="18"/>
      <c r="I65" s="23"/>
      <c r="J65" s="23"/>
      <c r="K65" s="23"/>
      <c r="L65" s="23"/>
      <c r="M65" s="23"/>
      <c r="N65" s="23"/>
      <c r="O65" s="23"/>
      <c r="P65" s="23"/>
      <c r="Q65" s="23"/>
      <c r="R65" s="23"/>
      <c r="S65" s="23"/>
      <c r="T65" s="23"/>
      <c r="U65" s="23"/>
      <c r="V65" s="23"/>
      <c r="W65" s="23"/>
      <c r="X65" s="23"/>
      <c r="Y65" s="23"/>
      <c r="Z65" s="23"/>
      <c r="AA65" s="23"/>
      <c r="AB65" s="23"/>
      <c r="AC65" s="23"/>
      <c r="AD65" s="23"/>
    </row>
    <row r="66" spans="2:30" x14ac:dyDescent="0.25">
      <c r="B66" s="18"/>
      <c r="C66" s="18" t="s">
        <v>69</v>
      </c>
      <c r="D66" s="18"/>
      <c r="E66" s="18"/>
      <c r="F66" s="18"/>
      <c r="G66" s="18"/>
      <c r="H66" s="18"/>
      <c r="I66" s="23"/>
      <c r="J66" s="23"/>
      <c r="K66" s="23"/>
      <c r="L66" s="23"/>
      <c r="M66" s="23"/>
      <c r="N66" s="23"/>
      <c r="O66" s="23"/>
      <c r="P66" s="23"/>
      <c r="Q66" s="23"/>
      <c r="R66" s="23"/>
      <c r="S66" s="23"/>
      <c r="T66" s="23"/>
      <c r="U66" s="23"/>
      <c r="V66" s="23"/>
      <c r="W66" s="23"/>
      <c r="X66" s="23"/>
      <c r="Y66" s="23"/>
      <c r="Z66" s="23"/>
      <c r="AA66" s="23"/>
      <c r="AB66" s="23"/>
      <c r="AC66" s="23"/>
      <c r="AD66" s="23"/>
    </row>
  </sheetData>
  <autoFilter ref="A2:AD66" xr:uid="{00000000-0001-0000-0000-000000000000}"/>
  <mergeCells count="3">
    <mergeCell ref="A1:F1"/>
    <mergeCell ref="P1:AD1"/>
    <mergeCell ref="G1:O1"/>
  </mergeCells>
  <conditionalFormatting sqref="A1:G1 P1 A2:J2 AD2 S2:S4 O58 AD58:XFD58">
    <cfRule type="containsText" dxfId="37" priority="430" operator="containsText" text="EXTEMPORÁNEA">
      <formula>NOT(ISERROR(SEARCH("EXTEMPORÁNEA",A1)))</formula>
    </cfRule>
  </conditionalFormatting>
  <conditionalFormatting sqref="A4:I58">
    <cfRule type="containsText" dxfId="36" priority="9" operator="containsText" text="NO APLICA">
      <formula>NOT(ISERROR(SEARCH("NO APLICA",A4)))</formula>
    </cfRule>
    <cfRule type="containsText" dxfId="35" priority="10" operator="containsText" text="EXTEMPORÁNEA">
      <formula>NOT(ISERROR(SEARCH("EXTEMPORÁNEA",A4)))</formula>
    </cfRule>
  </conditionalFormatting>
  <conditionalFormatting sqref="A59:XFD1048576">
    <cfRule type="containsText" dxfId="34" priority="5" operator="containsText" text="NO APLICA">
      <formula>NOT(ISERROR(SEARCH("NO APLICA",A59)))</formula>
    </cfRule>
    <cfRule type="containsText" dxfId="33" priority="6" operator="containsText" text="EXTEMPORÁNEA">
      <formula>NOT(ISERROR(SEARCH("EXTEMPORÁNEA",A59)))</formula>
    </cfRule>
  </conditionalFormatting>
  <conditionalFormatting sqref="J16:K23 J30:K30 J33:K33 J35:K37 J40:K40 J42:K46 J49:K50 J52:K53">
    <cfRule type="containsText" dxfId="32" priority="259" operator="containsText" text="NO APLICA">
      <formula>NOT(ISERROR(SEARCH("NO APLICA",J16)))</formula>
    </cfRule>
    <cfRule type="containsText" dxfId="31" priority="260" operator="containsText" text="EXTEMPORÁNEA">
      <formula>NOT(ISERROR(SEARCH("EXTEMPORÁNEA",J16)))</formula>
    </cfRule>
  </conditionalFormatting>
  <conditionalFormatting sqref="J55:K58">
    <cfRule type="containsText" dxfId="30" priority="15" operator="containsText" text="NO APLICA">
      <formula>NOT(ISERROR(SEARCH("NO APLICA",J55)))</formula>
    </cfRule>
    <cfRule type="containsText" dxfId="29" priority="16" operator="containsText" text="EXTEMPORÁNEA">
      <formula>NOT(ISERROR(SEARCH("EXTEMPORÁNEA",J55)))</formula>
    </cfRule>
  </conditionalFormatting>
  <conditionalFormatting sqref="L3:L58 N3:N58">
    <cfRule type="containsText" dxfId="28" priority="263" operator="containsText" text="EN PLAZO">
      <formula>NOT(ISERROR(SEARCH("EN PLAZO",L3)))</formula>
    </cfRule>
    <cfRule type="containsText" dxfId="27" priority="264" operator="containsText" text="POR VENCER">
      <formula>NOT(ISERROR(SEARCH("POR VENCER",L3)))</formula>
    </cfRule>
    <cfRule type="containsText" dxfId="26" priority="265" operator="containsText" text="VENCIDO">
      <formula>NOT(ISERROR(SEARCH("VENCIDO",L3)))</formula>
    </cfRule>
  </conditionalFormatting>
  <conditionalFormatting sqref="P2:Z6 Q7:Z13 Q14:AA15 X16:AA16 Y17:AA20 AA3:AA13 A3:L3 J4:L15 L16:L23 J24:L29 L30 J31:L32 L33 J34:L34 L35:L37 J38:L39 L40 J41:L41 L42:L46 J47:L48 L49:L50 J51:L51 L52:L53 J54:L54 L55:L58 P6:P58">
    <cfRule type="containsText" dxfId="25" priority="414" operator="containsText" text="NO APLICA">
      <formula>NOT(ISERROR(SEARCH("NO APLICA",A2)))</formula>
    </cfRule>
  </conditionalFormatting>
  <conditionalFormatting sqref="Q16:W16 Z16:Z20">
    <cfRule type="containsText" dxfId="24" priority="389" operator="containsText" text="NO APLICA">
      <formula>NOT(ISERROR(SEARCH("NO APLICA",Q16)))</formula>
    </cfRule>
  </conditionalFormatting>
  <conditionalFormatting sqref="Q17:X20">
    <cfRule type="containsText" dxfId="23" priority="257" operator="containsText" text="NO APLICA">
      <formula>NOT(ISERROR(SEARCH("NO APLICA",Q17)))</formula>
    </cfRule>
    <cfRule type="containsText" dxfId="22" priority="258" operator="containsText" text="EXTEMPORÁNEA">
      <formula>NOT(ISERROR(SEARCH("EXTEMPORÁNEA",Q17)))</formula>
    </cfRule>
  </conditionalFormatting>
  <conditionalFormatting sqref="Q14:AA16 Z16:Z20">
    <cfRule type="containsText" dxfId="21" priority="390" operator="containsText" text="EXTEMPORÁNEA">
      <formula>NOT(ISERROR(SEARCH("EXTEMPORÁNEA",Q14)))</formula>
    </cfRule>
  </conditionalFormatting>
  <conditionalFormatting sqref="Q21:AA21">
    <cfRule type="containsText" dxfId="20" priority="375" operator="containsText" text="NO APLICA">
      <formula>NOT(ISERROR(SEARCH("NO APLICA",Q21)))</formula>
    </cfRule>
    <cfRule type="containsText" dxfId="19" priority="376" operator="containsText" text="EXTEMPORÁNEA">
      <formula>NOT(ISERROR(SEARCH("EXTEMPORÁNEA",Q21)))</formula>
    </cfRule>
  </conditionalFormatting>
  <conditionalFormatting sqref="Q22:AA24">
    <cfRule type="containsText" dxfId="18" priority="228" operator="containsText" text="NO APLICA">
      <formula>NOT(ISERROR(SEARCH("NO APLICA",Q22)))</formula>
    </cfRule>
    <cfRule type="containsText" dxfId="17" priority="229" operator="containsText" text="EXTEMPORÁNEA">
      <formula>NOT(ISERROR(SEARCH("EXTEMPORÁNEA",Q22)))</formula>
    </cfRule>
  </conditionalFormatting>
  <conditionalFormatting sqref="Q25:AA58">
    <cfRule type="containsText" dxfId="16" priority="1" operator="containsText" text="NO APLICA">
      <formula>NOT(ISERROR(SEARCH("NO APLICA",Q25)))</formula>
    </cfRule>
    <cfRule type="containsText" dxfId="15" priority="2" operator="containsText" text="EXTEMPORÁNEA">
      <formula>NOT(ISERROR(SEARCH("EXTEMPORÁNEA",Q25)))</formula>
    </cfRule>
  </conditionalFormatting>
  <conditionalFormatting sqref="R3:S4">
    <cfRule type="expression" dxfId="14" priority="419">
      <formula>AND(ISNUMBER(R3),R3&lt;TODAY())</formula>
    </cfRule>
    <cfRule type="expression" dxfId="13" priority="420">
      <formula>AND(ISNUMBER(R3),R3&gt;=TODAY(),R3&lt;=TODAY()+5)</formula>
    </cfRule>
  </conditionalFormatting>
  <conditionalFormatting sqref="S2:S4 A1:G1 P1 A2:J2 AD2 O58 AD58:XFD58">
    <cfRule type="containsText" dxfId="12" priority="429" operator="containsText" text="NO APLICA">
      <formula>NOT(ISERROR(SEARCH("NO APLICA",A1)))</formula>
    </cfRule>
  </conditionalFormatting>
  <conditionalFormatting sqref="Z3:Z58">
    <cfRule type="expression" dxfId="11" priority="400">
      <formula>AND(ISNUMBER(Z3),Z3&gt;=TODAY(),Z3&lt;=TODAY()+5)</formula>
    </cfRule>
  </conditionalFormatting>
  <conditionalFormatting sqref="Z17:AA20">
    <cfRule type="containsText" dxfId="10" priority="365" operator="containsText" text="NO APLICA">
      <formula>NOT(ISERROR(SEARCH("NO APLICA",Z17)))</formula>
    </cfRule>
    <cfRule type="containsText" dxfId="9" priority="366" operator="containsText" text="EXTEMPORÁNEA">
      <formula>NOT(ISERROR(SEARCH("EXTEMPORÁNEA",Z17)))</formula>
    </cfRule>
  </conditionalFormatting>
  <conditionalFormatting sqref="AA3:AA13 Y17:AA20 A3:L3 J4:L15 L16:L23 J24:L29 L30 J31:L32 L33 J34:L34 L35:L37 J38:L39 L40 J41:L41 L42:L46 J47:L48 L49:L50 J51:L51 L52:L53 J54:L54 L55:L58 P2:Z6 P6:P58 Q7:Z13">
    <cfRule type="containsText" dxfId="8" priority="415" operator="containsText" text="EXTEMPORÁNEA">
      <formula>NOT(ISERROR(SEARCH("EXTEMPORÁNEA",A2)))</formula>
    </cfRule>
  </conditionalFormatting>
  <conditionalFormatting sqref="AA3:AA21">
    <cfRule type="containsText" dxfId="7" priority="371" operator="containsText" text="EN PLAZO">
      <formula>NOT(ISERROR(SEARCH("EN PLAZO",AA3)))</formula>
    </cfRule>
    <cfRule type="containsText" dxfId="6" priority="372" operator="containsText" text="POR VENCER">
      <formula>NOT(ISERROR(SEARCH("POR VENCER",AA3)))</formula>
    </cfRule>
    <cfRule type="containsText" dxfId="5" priority="373" operator="containsText" text="VENCIDO">
      <formula>NOT(ISERROR(SEARCH("VENCIDO",AA3)))</formula>
    </cfRule>
  </conditionalFormatting>
  <conditionalFormatting sqref="AA22:AA58">
    <cfRule type="containsText" dxfId="4" priority="225" operator="containsText" text="EN PLAZO">
      <formula>NOT(ISERROR(SEARCH("EN PLAZO",AA22)))</formula>
    </cfRule>
    <cfRule type="containsText" dxfId="3" priority="226" operator="containsText" text="POR VENCER">
      <formula>NOT(ISERROR(SEARCH("POR VENCER",AA22)))</formula>
    </cfRule>
    <cfRule type="containsText" dxfId="2" priority="227" operator="containsText" text="VENCIDO">
      <formula>NOT(ISERROR(SEARCH("VENCIDO",AA22)))</formula>
    </cfRule>
  </conditionalFormatting>
  <conditionalFormatting sqref="AE1:XFD57">
    <cfRule type="containsText" dxfId="1" priority="394" operator="containsText" text="NO APLICA">
      <formula>NOT(ISERROR(SEARCH("NO APLICA",AE1)))</formula>
    </cfRule>
    <cfRule type="containsText" dxfId="0" priority="395" operator="containsText" text="EXTEMPORÁNEA">
      <formula>NOT(ISERROR(SEARCH("EXTEMPORÁNEA",AE1)))</formula>
    </cfRule>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323B1ED-23F7-4C90-BD0B-3CFD5205C576}">
          <x14:formula1>
            <xm:f>#REF!</xm:f>
          </x14:formula1>
          <xm:sqref>N3:N23 N31:N41 N47:N48 N51:N58</xm:sqref>
        </x14:dataValidation>
        <x14:dataValidation type="list" allowBlank="1" showInputMessage="1" showErrorMessage="1" xr:uid="{2DF50666-2FCA-4F12-B40C-D138103E8AAD}">
          <x14:formula1>
            <xm:f>#REF!</xm:f>
          </x14:formula1>
          <xm:sqref>P3:P23 P31:P36 P38:P39 P41:P58</xm:sqref>
        </x14:dataValidation>
        <x14:dataValidation type="list" allowBlank="1" showInputMessage="1" showErrorMessage="1" xr:uid="{7CA00F76-949F-4ACC-A0CC-19CA939E468D}">
          <x14:formula1>
            <xm:f>#REF!</xm:f>
          </x14:formula1>
          <xm:sqref>C14:C23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3FD3-9D28-4823-BEEF-A95BC3B3AE7B}">
  <dimension ref="A1:F62"/>
  <sheetViews>
    <sheetView workbookViewId="0">
      <pane ySplit="2" topLeftCell="A30" activePane="bottomLeft" state="frozen"/>
      <selection pane="bottomLeft" activeCell="A34" sqref="A34:XFD39"/>
    </sheetView>
  </sheetViews>
  <sheetFormatPr baseColWidth="10" defaultRowHeight="15" x14ac:dyDescent="0.25"/>
  <cols>
    <col min="1" max="1" width="15.28515625" customWidth="1"/>
    <col min="2" max="2" width="28.5703125" customWidth="1"/>
    <col min="3" max="4" width="38.140625" customWidth="1"/>
    <col min="5" max="5" width="15.28515625" customWidth="1"/>
    <col min="6" max="6" width="53.28515625" customWidth="1"/>
  </cols>
  <sheetData>
    <row r="1" spans="1:6" ht="15.75" x14ac:dyDescent="0.25">
      <c r="A1" s="128" t="s">
        <v>3055</v>
      </c>
    </row>
    <row r="2" spans="1:6" x14ac:dyDescent="0.25">
      <c r="A2" s="129" t="s">
        <v>3056</v>
      </c>
      <c r="B2" s="130" t="s">
        <v>3057</v>
      </c>
      <c r="C2" s="130" t="s">
        <v>3058</v>
      </c>
      <c r="D2" s="130" t="s">
        <v>3059</v>
      </c>
      <c r="E2" s="130" t="s">
        <v>3060</v>
      </c>
      <c r="F2" s="131" t="s">
        <v>3061</v>
      </c>
    </row>
    <row r="3" spans="1:6" x14ac:dyDescent="0.25">
      <c r="A3" s="31" t="s">
        <v>3062</v>
      </c>
      <c r="B3" s="132" t="s">
        <v>3063</v>
      </c>
      <c r="C3" s="132" t="s">
        <v>767</v>
      </c>
      <c r="D3" s="134" t="s">
        <v>3064</v>
      </c>
      <c r="E3" s="132" t="s">
        <v>3065</v>
      </c>
      <c r="F3" s="133" t="s">
        <v>3066</v>
      </c>
    </row>
    <row r="4" spans="1:6" x14ac:dyDescent="0.25">
      <c r="A4" s="31" t="s">
        <v>3067</v>
      </c>
      <c r="B4" s="132" t="s">
        <v>3063</v>
      </c>
      <c r="C4" s="132" t="s">
        <v>766</v>
      </c>
      <c r="D4" s="134" t="s">
        <v>3068</v>
      </c>
      <c r="E4" s="132" t="s">
        <v>3065</v>
      </c>
      <c r="F4" s="133"/>
    </row>
    <row r="5" spans="1:6" x14ac:dyDescent="0.25">
      <c r="A5" s="31" t="s">
        <v>3069</v>
      </c>
      <c r="B5" s="132" t="s">
        <v>3063</v>
      </c>
      <c r="C5" s="132" t="s">
        <v>765</v>
      </c>
      <c r="D5" s="134" t="s">
        <v>3070</v>
      </c>
      <c r="E5" s="132" t="s">
        <v>3071</v>
      </c>
      <c r="F5" s="133" t="s">
        <v>3072</v>
      </c>
    </row>
    <row r="6" spans="1:6" x14ac:dyDescent="0.25">
      <c r="A6" s="31" t="s">
        <v>3073</v>
      </c>
      <c r="B6" s="132" t="s">
        <v>3063</v>
      </c>
      <c r="C6" s="132" t="s">
        <v>3074</v>
      </c>
      <c r="D6" s="134" t="s">
        <v>3075</v>
      </c>
      <c r="E6" s="132" t="s">
        <v>3071</v>
      </c>
      <c r="F6" s="133"/>
    </row>
    <row r="7" spans="1:6" x14ac:dyDescent="0.25">
      <c r="A7" s="31" t="s">
        <v>3076</v>
      </c>
      <c r="B7" s="132" t="s">
        <v>3063</v>
      </c>
      <c r="C7" s="132" t="s">
        <v>3077</v>
      </c>
      <c r="D7" s="134" t="s">
        <v>3078</v>
      </c>
      <c r="E7" s="132" t="s">
        <v>3071</v>
      </c>
      <c r="F7" s="133"/>
    </row>
    <row r="8" spans="1:6" x14ac:dyDescent="0.25">
      <c r="A8" s="31" t="s">
        <v>3079</v>
      </c>
      <c r="B8" s="132" t="s">
        <v>3063</v>
      </c>
      <c r="C8" s="132" t="s">
        <v>762</v>
      </c>
      <c r="D8" s="134" t="s">
        <v>3080</v>
      </c>
      <c r="E8" s="132" t="s">
        <v>3071</v>
      </c>
      <c r="F8" s="133"/>
    </row>
    <row r="9" spans="1:6" x14ac:dyDescent="0.25">
      <c r="A9" s="31" t="s">
        <v>3081</v>
      </c>
      <c r="B9" s="132" t="s">
        <v>3063</v>
      </c>
      <c r="C9" s="132" t="s">
        <v>761</v>
      </c>
      <c r="D9" s="134" t="s">
        <v>3082</v>
      </c>
      <c r="E9" s="132" t="s">
        <v>3071</v>
      </c>
      <c r="F9" s="133"/>
    </row>
    <row r="10" spans="1:6" x14ac:dyDescent="0.25">
      <c r="A10" s="31" t="s">
        <v>3083</v>
      </c>
      <c r="B10" s="132" t="s">
        <v>3063</v>
      </c>
      <c r="C10" s="132" t="s">
        <v>1108</v>
      </c>
      <c r="D10" s="134" t="s">
        <v>3084</v>
      </c>
      <c r="E10" s="132" t="s">
        <v>3065</v>
      </c>
      <c r="F10" s="133" t="s">
        <v>3085</v>
      </c>
    </row>
    <row r="11" spans="1:6" x14ac:dyDescent="0.25">
      <c r="A11" s="31" t="s">
        <v>813</v>
      </c>
      <c r="B11" s="132" t="s">
        <v>3063</v>
      </c>
      <c r="C11" s="132" t="s">
        <v>759</v>
      </c>
      <c r="D11" s="134" t="s">
        <v>3086</v>
      </c>
      <c r="E11" s="132" t="s">
        <v>3071</v>
      </c>
      <c r="F11" s="133"/>
    </row>
    <row r="12" spans="1:6" x14ac:dyDescent="0.25">
      <c r="A12" s="31" t="s">
        <v>3087</v>
      </c>
      <c r="B12" s="132" t="s">
        <v>3063</v>
      </c>
      <c r="C12" s="132" t="s">
        <v>757</v>
      </c>
      <c r="D12" s="134" t="s">
        <v>3088</v>
      </c>
      <c r="E12" s="132" t="s">
        <v>3071</v>
      </c>
      <c r="F12" s="133" t="s">
        <v>3089</v>
      </c>
    </row>
    <row r="13" spans="1:6" x14ac:dyDescent="0.25">
      <c r="A13" s="31" t="s">
        <v>3090</v>
      </c>
      <c r="B13" s="132" t="s">
        <v>3063</v>
      </c>
      <c r="C13" s="132" t="s">
        <v>756</v>
      </c>
      <c r="D13" s="134" t="s">
        <v>3091</v>
      </c>
      <c r="E13" s="132" t="s">
        <v>3071</v>
      </c>
      <c r="F13" s="133" t="s">
        <v>3092</v>
      </c>
    </row>
    <row r="14" spans="1:6" x14ac:dyDescent="0.25">
      <c r="A14" s="31" t="s">
        <v>3093</v>
      </c>
      <c r="B14" s="132" t="s">
        <v>3063</v>
      </c>
      <c r="C14" s="132" t="s">
        <v>755</v>
      </c>
      <c r="D14" s="134" t="s">
        <v>3094</v>
      </c>
      <c r="E14" s="132" t="s">
        <v>3071</v>
      </c>
      <c r="F14" s="133" t="s">
        <v>3095</v>
      </c>
    </row>
    <row r="15" spans="1:6" x14ac:dyDescent="0.25">
      <c r="A15" s="31" t="s">
        <v>3096</v>
      </c>
      <c r="B15" s="132" t="s">
        <v>3063</v>
      </c>
      <c r="C15" s="132" t="s">
        <v>754</v>
      </c>
      <c r="D15" s="134" t="s">
        <v>3097</v>
      </c>
      <c r="E15" s="132" t="s">
        <v>3071</v>
      </c>
      <c r="F15" s="133" t="s">
        <v>3095</v>
      </c>
    </row>
    <row r="16" spans="1:6" x14ac:dyDescent="0.25">
      <c r="A16" s="31" t="s">
        <v>3098</v>
      </c>
      <c r="B16" s="132" t="s">
        <v>3063</v>
      </c>
      <c r="C16" s="132" t="s">
        <v>753</v>
      </c>
      <c r="D16" s="134" t="s">
        <v>3099</v>
      </c>
      <c r="E16" s="132" t="s">
        <v>3071</v>
      </c>
      <c r="F16" s="133" t="s">
        <v>3095</v>
      </c>
    </row>
    <row r="17" spans="1:6" x14ac:dyDescent="0.25">
      <c r="A17" s="31" t="s">
        <v>3100</v>
      </c>
      <c r="B17" s="132" t="s">
        <v>3063</v>
      </c>
      <c r="C17" s="132" t="s">
        <v>3054</v>
      </c>
      <c r="D17" s="134" t="s">
        <v>3054</v>
      </c>
      <c r="E17" s="132" t="s">
        <v>3071</v>
      </c>
      <c r="F17" s="133" t="s">
        <v>798</v>
      </c>
    </row>
    <row r="18" spans="1:6" x14ac:dyDescent="0.25">
      <c r="A18" s="31" t="s">
        <v>3101</v>
      </c>
      <c r="B18" s="132" t="s">
        <v>3063</v>
      </c>
      <c r="C18" s="132" t="s">
        <v>752</v>
      </c>
      <c r="D18" s="134" t="s">
        <v>3102</v>
      </c>
      <c r="E18" s="132" t="s">
        <v>3071</v>
      </c>
      <c r="F18" s="133" t="s">
        <v>3103</v>
      </c>
    </row>
    <row r="19" spans="1:6" x14ac:dyDescent="0.25">
      <c r="A19" s="31" t="s">
        <v>3104</v>
      </c>
      <c r="B19" s="132" t="s">
        <v>3063</v>
      </c>
      <c r="C19" s="132" t="s">
        <v>751</v>
      </c>
      <c r="D19" s="134" t="s">
        <v>3105</v>
      </c>
      <c r="E19" s="132" t="s">
        <v>3071</v>
      </c>
      <c r="F19" s="133" t="s">
        <v>3106</v>
      </c>
    </row>
    <row r="20" spans="1:6" x14ac:dyDescent="0.25">
      <c r="A20" s="31" t="s">
        <v>3107</v>
      </c>
      <c r="B20" s="132" t="s">
        <v>3063</v>
      </c>
      <c r="C20" s="132" t="s">
        <v>758</v>
      </c>
      <c r="D20" s="134" t="s">
        <v>3108</v>
      </c>
      <c r="E20" s="132" t="s">
        <v>3071</v>
      </c>
      <c r="F20" s="133"/>
    </row>
    <row r="21" spans="1:6" x14ac:dyDescent="0.25">
      <c r="A21" s="31" t="s">
        <v>3109</v>
      </c>
      <c r="B21" s="132" t="s">
        <v>3063</v>
      </c>
      <c r="C21" s="132" t="s">
        <v>750</v>
      </c>
      <c r="D21" s="134" t="s">
        <v>3110</v>
      </c>
      <c r="E21" s="132" t="s">
        <v>3071</v>
      </c>
      <c r="F21" s="133" t="s">
        <v>3111</v>
      </c>
    </row>
    <row r="22" spans="1:6" x14ac:dyDescent="0.25">
      <c r="A22" s="31" t="s">
        <v>3112</v>
      </c>
      <c r="B22" s="132" t="s">
        <v>3063</v>
      </c>
      <c r="C22" s="132" t="s">
        <v>749</v>
      </c>
      <c r="D22" s="134" t="s">
        <v>3113</v>
      </c>
      <c r="E22" s="132" t="s">
        <v>3071</v>
      </c>
      <c r="F22" s="133"/>
    </row>
    <row r="23" spans="1:6" x14ac:dyDescent="0.25">
      <c r="A23" s="31" t="s">
        <v>3114</v>
      </c>
      <c r="B23" s="132" t="s">
        <v>3063</v>
      </c>
      <c r="C23" s="132" t="s">
        <v>748</v>
      </c>
      <c r="D23" s="134" t="s">
        <v>3115</v>
      </c>
      <c r="E23" s="132" t="s">
        <v>3071</v>
      </c>
      <c r="F23" s="133"/>
    </row>
    <row r="24" spans="1:6" x14ac:dyDescent="0.25">
      <c r="A24" s="31" t="s">
        <v>2298</v>
      </c>
      <c r="B24" s="132" t="s">
        <v>3063</v>
      </c>
      <c r="C24" s="132" t="s">
        <v>747</v>
      </c>
      <c r="D24" s="134" t="s">
        <v>3116</v>
      </c>
      <c r="E24" s="132" t="s">
        <v>3117</v>
      </c>
      <c r="F24" s="133" t="s">
        <v>3118</v>
      </c>
    </row>
    <row r="25" spans="1:6" x14ac:dyDescent="0.25">
      <c r="A25" s="31" t="s">
        <v>3119</v>
      </c>
      <c r="B25" s="132" t="s">
        <v>3063</v>
      </c>
      <c r="C25" s="132" t="s">
        <v>746</v>
      </c>
      <c r="D25" s="134" t="s">
        <v>3120</v>
      </c>
      <c r="E25" s="132" t="s">
        <v>3071</v>
      </c>
      <c r="F25" s="133"/>
    </row>
    <row r="26" spans="1:6" x14ac:dyDescent="0.25">
      <c r="A26" s="31" t="s">
        <v>3121</v>
      </c>
      <c r="B26" s="132" t="s">
        <v>3063</v>
      </c>
      <c r="C26" s="132" t="s">
        <v>3122</v>
      </c>
      <c r="D26" s="134" t="s">
        <v>3123</v>
      </c>
      <c r="E26" s="132" t="s">
        <v>3071</v>
      </c>
      <c r="F26" s="133"/>
    </row>
    <row r="27" spans="1:6" x14ac:dyDescent="0.25">
      <c r="A27" s="31" t="s">
        <v>3124</v>
      </c>
      <c r="B27" s="132" t="s">
        <v>3063</v>
      </c>
      <c r="C27" s="132" t="s">
        <v>745</v>
      </c>
      <c r="D27" s="134" t="s">
        <v>3125</v>
      </c>
      <c r="E27" s="132" t="s">
        <v>3071</v>
      </c>
      <c r="F27" s="133"/>
    </row>
    <row r="28" spans="1:6" x14ac:dyDescent="0.25">
      <c r="A28" s="31" t="s">
        <v>3126</v>
      </c>
      <c r="B28" s="132" t="s">
        <v>3063</v>
      </c>
      <c r="C28" s="132" t="s">
        <v>3127</v>
      </c>
      <c r="D28" s="134" t="s">
        <v>3128</v>
      </c>
      <c r="E28" s="132" t="s">
        <v>3071</v>
      </c>
      <c r="F28" s="133" t="s">
        <v>3129</v>
      </c>
    </row>
    <row r="29" spans="1:6" x14ac:dyDescent="0.25">
      <c r="A29" s="31" t="s">
        <v>3130</v>
      </c>
      <c r="B29" s="132" t="s">
        <v>744</v>
      </c>
      <c r="C29" s="132" t="s">
        <v>741</v>
      </c>
      <c r="D29" s="134" t="s">
        <v>3131</v>
      </c>
      <c r="E29" s="132" t="s">
        <v>3117</v>
      </c>
      <c r="F29" s="133"/>
    </row>
    <row r="30" spans="1:6" x14ac:dyDescent="0.25">
      <c r="A30" s="31" t="s">
        <v>3132</v>
      </c>
      <c r="B30" s="132" t="s">
        <v>744</v>
      </c>
      <c r="C30" s="132" t="s">
        <v>16</v>
      </c>
      <c r="D30" s="134" t="s">
        <v>3133</v>
      </c>
      <c r="E30" s="132" t="s">
        <v>3071</v>
      </c>
      <c r="F30" s="133"/>
    </row>
    <row r="31" spans="1:6" x14ac:dyDescent="0.25">
      <c r="A31" s="31" t="s">
        <v>3134</v>
      </c>
      <c r="B31" s="132" t="s">
        <v>743</v>
      </c>
      <c r="C31" s="132" t="s">
        <v>740</v>
      </c>
      <c r="D31" s="134" t="s">
        <v>3135</v>
      </c>
      <c r="E31" s="132" t="s">
        <v>3117</v>
      </c>
      <c r="F31" s="133"/>
    </row>
    <row r="32" spans="1:6" x14ac:dyDescent="0.25">
      <c r="A32" s="31" t="s">
        <v>290</v>
      </c>
      <c r="B32" s="132" t="s">
        <v>743</v>
      </c>
      <c r="C32" s="132" t="s">
        <v>16</v>
      </c>
      <c r="D32" s="134" t="s">
        <v>3136</v>
      </c>
      <c r="E32" s="132" t="s">
        <v>3071</v>
      </c>
      <c r="F32" s="133"/>
    </row>
    <row r="33" spans="1:6" x14ac:dyDescent="0.25">
      <c r="A33" s="31" t="s">
        <v>3137</v>
      </c>
      <c r="B33" s="132" t="s">
        <v>3063</v>
      </c>
      <c r="C33" s="132" t="s">
        <v>742</v>
      </c>
      <c r="D33" s="134" t="s">
        <v>3138</v>
      </c>
      <c r="E33" s="132" t="s">
        <v>3071</v>
      </c>
      <c r="F33" s="133"/>
    </row>
    <row r="34" spans="1:6" x14ac:dyDescent="0.25">
      <c r="A34" s="31" t="s">
        <v>3139</v>
      </c>
      <c r="B34" s="132" t="s">
        <v>0</v>
      </c>
      <c r="C34" s="132" t="s">
        <v>3</v>
      </c>
      <c r="D34" s="134" t="s">
        <v>3140</v>
      </c>
      <c r="E34" s="132" t="s">
        <v>3065</v>
      </c>
      <c r="F34" s="133" t="s">
        <v>3141</v>
      </c>
    </row>
    <row r="35" spans="1:6" x14ac:dyDescent="0.25">
      <c r="A35" s="31" t="s">
        <v>3142</v>
      </c>
      <c r="B35" s="132" t="s">
        <v>0</v>
      </c>
      <c r="C35" s="132" t="s">
        <v>4</v>
      </c>
      <c r="D35" s="134" t="s">
        <v>3143</v>
      </c>
      <c r="E35" s="132" t="s">
        <v>3065</v>
      </c>
      <c r="F35" s="133"/>
    </row>
    <row r="36" spans="1:6" x14ac:dyDescent="0.25">
      <c r="A36" s="31" t="s">
        <v>3144</v>
      </c>
      <c r="B36" s="132" t="s">
        <v>0</v>
      </c>
      <c r="C36" s="132" t="s">
        <v>5</v>
      </c>
      <c r="D36" s="134" t="s">
        <v>3145</v>
      </c>
      <c r="E36" s="132" t="s">
        <v>3071</v>
      </c>
      <c r="F36" s="133"/>
    </row>
    <row r="37" spans="1:6" x14ac:dyDescent="0.25">
      <c r="A37" s="31" t="s">
        <v>3146</v>
      </c>
      <c r="B37" s="132" t="s">
        <v>0</v>
      </c>
      <c r="C37" s="132" t="s">
        <v>6</v>
      </c>
      <c r="D37" s="134" t="s">
        <v>3147</v>
      </c>
      <c r="E37" s="132" t="s">
        <v>3071</v>
      </c>
      <c r="F37" s="133"/>
    </row>
    <row r="38" spans="1:6" x14ac:dyDescent="0.25">
      <c r="A38" s="31" t="s">
        <v>3148</v>
      </c>
      <c r="B38" s="132" t="s">
        <v>0</v>
      </c>
      <c r="C38" s="132" t="s">
        <v>7</v>
      </c>
      <c r="D38" s="134" t="s">
        <v>3149</v>
      </c>
      <c r="E38" s="132" t="s">
        <v>3071</v>
      </c>
      <c r="F38" s="133"/>
    </row>
    <row r="39" spans="1:6" x14ac:dyDescent="0.25">
      <c r="A39" s="31" t="s">
        <v>3150</v>
      </c>
      <c r="B39" s="132" t="s">
        <v>0</v>
      </c>
      <c r="C39" s="132" t="s">
        <v>8</v>
      </c>
      <c r="D39" s="134" t="s">
        <v>3151</v>
      </c>
      <c r="E39" s="132" t="s">
        <v>3071</v>
      </c>
      <c r="F39" s="133"/>
    </row>
    <row r="40" spans="1:6" x14ac:dyDescent="0.25">
      <c r="A40" s="31" t="s">
        <v>3152</v>
      </c>
      <c r="B40" s="132" t="s">
        <v>3153</v>
      </c>
      <c r="C40" s="132" t="s">
        <v>23</v>
      </c>
      <c r="D40" s="134" t="s">
        <v>3154</v>
      </c>
      <c r="E40" s="132" t="s">
        <v>3071</v>
      </c>
      <c r="F40" s="133"/>
    </row>
    <row r="41" spans="1:6" x14ac:dyDescent="0.25">
      <c r="A41" s="31" t="s">
        <v>3155</v>
      </c>
      <c r="B41" s="132" t="s">
        <v>3153</v>
      </c>
      <c r="C41" s="132" t="s">
        <v>24</v>
      </c>
      <c r="D41" s="134" t="s">
        <v>3156</v>
      </c>
      <c r="E41" s="132" t="s">
        <v>3117</v>
      </c>
      <c r="F41" s="133"/>
    </row>
    <row r="42" spans="1:6" x14ac:dyDescent="0.25">
      <c r="A42" s="31" t="s">
        <v>3157</v>
      </c>
      <c r="B42" s="132" t="s">
        <v>3153</v>
      </c>
      <c r="C42" s="132" t="s">
        <v>3158</v>
      </c>
      <c r="D42" s="134" t="s">
        <v>3159</v>
      </c>
      <c r="E42" s="132" t="s">
        <v>3065</v>
      </c>
      <c r="F42" s="133"/>
    </row>
    <row r="43" spans="1:6" x14ac:dyDescent="0.25">
      <c r="A43" s="31" t="s">
        <v>3160</v>
      </c>
      <c r="B43" s="132" t="s">
        <v>3153</v>
      </c>
      <c r="C43" s="132" t="s">
        <v>12</v>
      </c>
      <c r="D43" s="134" t="s">
        <v>3161</v>
      </c>
      <c r="E43" s="132" t="s">
        <v>3117</v>
      </c>
      <c r="F43" s="133"/>
    </row>
    <row r="44" spans="1:6" x14ac:dyDescent="0.25">
      <c r="A44" s="31" t="s">
        <v>3162</v>
      </c>
      <c r="B44" s="132" t="s">
        <v>3153</v>
      </c>
      <c r="C44" s="132" t="s">
        <v>3163</v>
      </c>
      <c r="D44" s="134" t="s">
        <v>3164</v>
      </c>
      <c r="E44" s="132" t="s">
        <v>3065</v>
      </c>
      <c r="F44" s="133"/>
    </row>
    <row r="45" spans="1:6" x14ac:dyDescent="0.25">
      <c r="A45" s="31" t="s">
        <v>3165</v>
      </c>
      <c r="B45" s="132" t="s">
        <v>3153</v>
      </c>
      <c r="C45" s="132" t="s">
        <v>14</v>
      </c>
      <c r="D45" s="134" t="s">
        <v>3166</v>
      </c>
      <c r="E45" s="132" t="s">
        <v>3071</v>
      </c>
      <c r="F45" s="133"/>
    </row>
    <row r="46" spans="1:6" x14ac:dyDescent="0.25">
      <c r="A46" s="31" t="s">
        <v>3167</v>
      </c>
      <c r="B46" s="132" t="s">
        <v>3153</v>
      </c>
      <c r="C46" s="132" t="s">
        <v>15</v>
      </c>
      <c r="D46" s="134" t="s">
        <v>3168</v>
      </c>
      <c r="E46" s="132" t="s">
        <v>3071</v>
      </c>
      <c r="F46" s="133"/>
    </row>
    <row r="47" spans="1:6" x14ac:dyDescent="0.25">
      <c r="A47" s="31" t="s">
        <v>3169</v>
      </c>
      <c r="B47" s="132" t="s">
        <v>3153</v>
      </c>
      <c r="C47" s="132" t="s">
        <v>16</v>
      </c>
      <c r="D47" s="134" t="s">
        <v>3170</v>
      </c>
      <c r="E47" s="132" t="s">
        <v>3071</v>
      </c>
      <c r="F47" s="133"/>
    </row>
    <row r="48" spans="1:6" x14ac:dyDescent="0.25">
      <c r="A48" s="31" t="s">
        <v>3171</v>
      </c>
      <c r="B48" s="132" t="s">
        <v>3153</v>
      </c>
      <c r="C48" s="132" t="s">
        <v>17</v>
      </c>
      <c r="D48" s="134" t="s">
        <v>3172</v>
      </c>
      <c r="E48" s="132" t="s">
        <v>3071</v>
      </c>
      <c r="F48" s="133"/>
    </row>
    <row r="49" spans="1:6" x14ac:dyDescent="0.25">
      <c r="A49" s="31" t="s">
        <v>3173</v>
      </c>
      <c r="B49" s="132" t="s">
        <v>3174</v>
      </c>
      <c r="C49" s="132" t="s">
        <v>18</v>
      </c>
      <c r="D49" s="134" t="s">
        <v>3175</v>
      </c>
      <c r="E49" s="132" t="s">
        <v>3071</v>
      </c>
      <c r="F49" s="133"/>
    </row>
    <row r="50" spans="1:6" x14ac:dyDescent="0.25">
      <c r="A50" s="31" t="s">
        <v>3176</v>
      </c>
      <c r="B50" s="132" t="s">
        <v>3174</v>
      </c>
      <c r="C50" s="132" t="s">
        <v>3177</v>
      </c>
      <c r="D50" s="134" t="s">
        <v>3178</v>
      </c>
      <c r="E50" s="132" t="s">
        <v>3117</v>
      </c>
      <c r="F50" s="133"/>
    </row>
    <row r="51" spans="1:6" x14ac:dyDescent="0.25">
      <c r="A51" s="31" t="s">
        <v>3179</v>
      </c>
      <c r="B51" s="132" t="s">
        <v>3174</v>
      </c>
      <c r="C51" s="132" t="s">
        <v>20</v>
      </c>
      <c r="D51" s="134" t="s">
        <v>3180</v>
      </c>
      <c r="E51" s="132" t="s">
        <v>3071</v>
      </c>
      <c r="F51" s="133"/>
    </row>
    <row r="52" spans="1:6" x14ac:dyDescent="0.25">
      <c r="A52" s="31" t="s">
        <v>3181</v>
      </c>
      <c r="B52" s="132" t="s">
        <v>3174</v>
      </c>
      <c r="C52" s="132" t="s">
        <v>3182</v>
      </c>
      <c r="D52" s="134" t="s">
        <v>3183</v>
      </c>
      <c r="E52" s="132" t="s">
        <v>3065</v>
      </c>
      <c r="F52" s="133"/>
    </row>
    <row r="53" spans="1:6" x14ac:dyDescent="0.25">
      <c r="A53" s="31" t="s">
        <v>3184</v>
      </c>
      <c r="B53" s="132" t="s">
        <v>3174</v>
      </c>
      <c r="C53" s="132" t="s">
        <v>17</v>
      </c>
      <c r="D53" s="134" t="s">
        <v>3185</v>
      </c>
      <c r="E53" s="132" t="s">
        <v>3071</v>
      </c>
      <c r="F53" s="133"/>
    </row>
    <row r="54" spans="1:6" x14ac:dyDescent="0.25">
      <c r="A54" s="31" t="s">
        <v>3186</v>
      </c>
      <c r="B54" s="132" t="s">
        <v>3174</v>
      </c>
      <c r="C54" s="132" t="s">
        <v>22</v>
      </c>
      <c r="D54" s="134" t="s">
        <v>3187</v>
      </c>
      <c r="E54" s="132" t="s">
        <v>3071</v>
      </c>
      <c r="F54" s="133"/>
    </row>
    <row r="55" spans="1:6" x14ac:dyDescent="0.25">
      <c r="A55" s="31" t="s">
        <v>3188</v>
      </c>
      <c r="B55" s="132" t="s">
        <v>3174</v>
      </c>
      <c r="C55" s="132" t="s">
        <v>23</v>
      </c>
      <c r="D55" s="134" t="s">
        <v>3189</v>
      </c>
      <c r="E55" s="132" t="s">
        <v>3071</v>
      </c>
      <c r="F55" s="133"/>
    </row>
    <row r="56" spans="1:6" x14ac:dyDescent="0.25">
      <c r="A56" s="31" t="s">
        <v>3190</v>
      </c>
      <c r="B56" s="132" t="s">
        <v>3174</v>
      </c>
      <c r="C56" s="132" t="s">
        <v>24</v>
      </c>
      <c r="D56" s="134" t="s">
        <v>3191</v>
      </c>
      <c r="E56" s="132" t="s">
        <v>3117</v>
      </c>
      <c r="F56" s="133"/>
    </row>
    <row r="57" spans="1:6" x14ac:dyDescent="0.25">
      <c r="A57" s="31" t="s">
        <v>3192</v>
      </c>
      <c r="B57" s="132" t="s">
        <v>3174</v>
      </c>
      <c r="C57" s="132" t="s">
        <v>3158</v>
      </c>
      <c r="D57" s="134" t="s">
        <v>3193</v>
      </c>
      <c r="E57" s="132" t="s">
        <v>3065</v>
      </c>
      <c r="F57" s="133"/>
    </row>
    <row r="58" spans="1:6" x14ac:dyDescent="0.25">
      <c r="A58" s="31" t="s">
        <v>3194</v>
      </c>
      <c r="B58" s="132" t="s">
        <v>3174</v>
      </c>
      <c r="C58" s="132" t="s">
        <v>12</v>
      </c>
      <c r="D58" s="134" t="s">
        <v>3195</v>
      </c>
      <c r="E58" s="132" t="s">
        <v>3117</v>
      </c>
      <c r="F58" s="133"/>
    </row>
    <row r="59" spans="1:6" x14ac:dyDescent="0.25">
      <c r="A59" s="31" t="s">
        <v>3196</v>
      </c>
      <c r="B59" s="132" t="s">
        <v>3174</v>
      </c>
      <c r="C59" s="132" t="s">
        <v>3163</v>
      </c>
      <c r="D59" s="134" t="s">
        <v>3197</v>
      </c>
      <c r="E59" s="132" t="s">
        <v>3065</v>
      </c>
      <c r="F59" s="133"/>
    </row>
    <row r="60" spans="1:6" x14ac:dyDescent="0.25">
      <c r="A60" s="31" t="s">
        <v>3198</v>
      </c>
      <c r="B60" s="132" t="s">
        <v>3174</v>
      </c>
      <c r="C60" s="132" t="s">
        <v>14</v>
      </c>
      <c r="D60" s="134" t="s">
        <v>3199</v>
      </c>
      <c r="E60" s="132" t="s">
        <v>3071</v>
      </c>
      <c r="F60" s="133"/>
    </row>
    <row r="61" spans="1:6" x14ac:dyDescent="0.25">
      <c r="A61" s="31" t="s">
        <v>3200</v>
      </c>
      <c r="B61" s="132" t="s">
        <v>3174</v>
      </c>
      <c r="C61" s="132" t="s">
        <v>15</v>
      </c>
      <c r="D61" s="134" t="s">
        <v>3201</v>
      </c>
      <c r="E61" s="132" t="s">
        <v>3071</v>
      </c>
      <c r="F61" s="133"/>
    </row>
    <row r="62" spans="1:6" x14ac:dyDescent="0.25">
      <c r="A62" s="31" t="s">
        <v>3202</v>
      </c>
      <c r="B62" s="132" t="s">
        <v>3174</v>
      </c>
      <c r="C62" s="132" t="s">
        <v>16</v>
      </c>
      <c r="D62" s="134" t="s">
        <v>3203</v>
      </c>
      <c r="E62" s="132" t="s">
        <v>3071</v>
      </c>
      <c r="F62" s="1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904F7310BDF14B805AD0F3C0F2A888" ma:contentTypeVersion="18" ma:contentTypeDescription="Crear nuevo documento." ma:contentTypeScope="" ma:versionID="3d356ef201034202fbe62197c89e2d11">
  <xsd:schema xmlns:xsd="http://www.w3.org/2001/XMLSchema" xmlns:xs="http://www.w3.org/2001/XMLSchema" xmlns:p="http://schemas.microsoft.com/office/2006/metadata/properties" xmlns:ns2="08a49d64-6cd4-467b-941b-b19731f408ef" xmlns:ns3="267edd70-1dee-4484-9a11-70118a857e9d" targetNamespace="http://schemas.microsoft.com/office/2006/metadata/properties" ma:root="true" ma:fieldsID="4aab8756331975f75c7900da7349c635" ns2:_="" ns3:_="">
    <xsd:import namespace="08a49d64-6cd4-467b-941b-b19731f408ef"/>
    <xsd:import namespace="267edd70-1dee-4484-9a11-70118a857e9d"/>
    <xsd:element name="properties">
      <xsd:complexType>
        <xsd:sequence>
          <xsd:element name="documentManagement">
            <xsd:complexType>
              <xsd:all>
                <xsd:element ref="ns2:Informaci_x00f3_nAdicional" minOccurs="0"/>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a49d64-6cd4-467b-941b-b19731f408ef" elementFormDefault="qualified">
    <xsd:import namespace="http://schemas.microsoft.com/office/2006/documentManagement/types"/>
    <xsd:import namespace="http://schemas.microsoft.com/office/infopath/2007/PartnerControls"/>
    <xsd:element name="Informaci_x00f3_nAdicional" ma:index="3" nillable="true" ma:displayName="Información Adicional" ma:format="Dropdown" ma:internalName="Informaci_x00f3_nAdicional" ma:readOnly="false">
      <xsd:simpleType>
        <xsd:restriction base="dms:Text">
          <xsd:maxLength value="255"/>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184c731e-9aca-4a7f-9c2e-541bb4a203f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0" nillable="true" ma:displayName="Location" ma:hidden="true"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7edd70-1dee-4484-9a11-70118a857e9d" elementFormDefault="qualified">
    <xsd:import namespace="http://schemas.microsoft.com/office/2006/documentManagement/types"/>
    <xsd:import namespace="http://schemas.microsoft.com/office/infopath/2007/PartnerControls"/>
    <xsd:element name="SharedWithUsers" ma:index="10" nillable="true" ma:displayName="Compartido c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hidden="true" ma:internalName="SharedWithDetails" ma:readOnly="true">
      <xsd:simpleType>
        <xsd:restriction base="dms:Note"/>
      </xsd:simpleType>
    </xsd:element>
    <xsd:element name="TaxCatchAll" ma:index="18" nillable="true" ma:displayName="Taxonomy Catch All Column" ma:hidden="true" ma:list="{9fcef67b-d7c8-49a2-ab20-054a7f558a4d}" ma:internalName="TaxCatchAll" ma:readOnly="false" ma:showField="CatchAllData" ma:web="267edd70-1dee-4484-9a11-70118a857e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7edd70-1dee-4484-9a11-70118a857e9d" xsi:nil="true"/>
    <lcf76f155ced4ddcb4097134ff3c332f xmlns="08a49d64-6cd4-467b-941b-b19731f408ef">
      <Terms xmlns="http://schemas.microsoft.com/office/infopath/2007/PartnerControls"/>
    </lcf76f155ced4ddcb4097134ff3c332f>
    <Informaci_x00f3_nAdicional xmlns="08a49d64-6cd4-467b-941b-b19731f408ef" xsi:nil="true"/>
  </documentManagement>
</p:properties>
</file>

<file path=customXml/itemProps1.xml><?xml version="1.0" encoding="utf-8"?>
<ds:datastoreItem xmlns:ds="http://schemas.openxmlformats.org/officeDocument/2006/customXml" ds:itemID="{631AD3B1-DC2B-4359-B192-F61492826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a49d64-6cd4-467b-941b-b19731f408ef"/>
    <ds:schemaRef ds:uri="267edd70-1dee-4484-9a11-70118a857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77A5C0-FE9C-4B9D-9009-82C9B259FA44}">
  <ds:schemaRefs>
    <ds:schemaRef ds:uri="http://schemas.microsoft.com/sharepoint/v3/contenttype/forms"/>
  </ds:schemaRefs>
</ds:datastoreItem>
</file>

<file path=customXml/itemProps3.xml><?xml version="1.0" encoding="utf-8"?>
<ds:datastoreItem xmlns:ds="http://schemas.openxmlformats.org/officeDocument/2006/customXml" ds:itemID="{30E7C0E8-60B4-4793-A081-DCBE6A58BAE5}">
  <ds:schemaRefs>
    <ds:schemaRef ds:uri="http://purl.org/dc/elements/1.1/"/>
    <ds:schemaRef ds:uri="267edd70-1dee-4484-9a11-70118a857e9d"/>
    <ds:schemaRef ds:uri="http://purl.org/dc/dcmitype/"/>
    <ds:schemaRef ds:uri="http://schemas.microsoft.com/office/2006/documentManagement/types"/>
    <ds:schemaRef ds:uri="http://purl.org/dc/terms/"/>
    <ds:schemaRef ds:uri="08a49d64-6cd4-467b-941b-b19731f408ef"/>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SNP-AD-DEN</vt:lpstr>
      <vt:lpstr>dimUniversidades</vt:lpstr>
      <vt:lpstr>dimLocales</vt:lpstr>
      <vt:lpstr>dimIndicadores</vt:lpstr>
      <vt:lpstr>Gwendy</vt:lpstr>
      <vt:lpstr>Año 2026</vt:lpstr>
      <vt:lpstr>Mapeo_BD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Nicolas Ricci</cp:lastModifiedBy>
  <cp:revision/>
  <dcterms:created xsi:type="dcterms:W3CDTF">2026-05-04T13:10:02Z</dcterms:created>
  <dcterms:modified xsi:type="dcterms:W3CDTF">2026-06-19T05:33:27Z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0x0101009D904F7310BDF14B805AD0F3C0F2A888</vt:lpwstr>
  </property>
  <property fmtid="{D5CDD505-2E9C-101B-9397-08002B2CF9AE}" pid="3" name="MediaServiceImageTags">
    <vt:lpwstr/>
  </property>
</Properties>
</file>